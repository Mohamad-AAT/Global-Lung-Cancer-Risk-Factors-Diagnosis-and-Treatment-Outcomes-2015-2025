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adaataout/Desktop/Tableau Datasets/archive 2/"/>
    </mc:Choice>
  </mc:AlternateContent>
  <xr:revisionPtr revIDLastSave="0" documentId="13_ncr:1_{09440DB2-B0DD-5E47-8880-E98516A3A06B}" xr6:coauthVersionLast="47" xr6:coauthVersionMax="47" xr10:uidLastSave="{00000000-0000-0000-0000-000000000000}"/>
  <bookViews>
    <workbookView xWindow="3260" yWindow="2160" windowWidth="28040" windowHeight="17440" firstSheet="1" activeTab="6" xr2:uid="{E59895F0-812C-E241-848C-347B66280B1A}"/>
  </bookViews>
  <sheets>
    <sheet name="lung_cancer_dataset" sheetId="2" r:id="rId1"/>
    <sheet name="Pivot" sheetId="3" r:id="rId2"/>
    <sheet name="Chi-Square Test" sheetId="4" r:id="rId3"/>
    <sheet name="Chi-Sqaure Results Cancer Types" sheetId="8" r:id="rId4"/>
    <sheet name="Chi-Sqaure Results Cancer Stage" sheetId="5" r:id="rId5"/>
    <sheet name="Normality Stages &amp; Types" sheetId="6" r:id="rId6"/>
    <sheet name="Results T-test Cancer Types" sheetId="9" r:id="rId7"/>
    <sheet name="Results ANOVA Cancer Stage" sheetId="7" r:id="rId8"/>
  </sheets>
  <definedNames>
    <definedName name="Age">lung_cancer_dataset!$F$2:$F$1501</definedName>
    <definedName name="Air_Pollution_Exposure">lung_cancer_dataset!$N$2:$N$1501</definedName>
    <definedName name="Alcohol_Use">lung_cancer_dataset!$O$2:$O$1501</definedName>
    <definedName name="Asbestos_Exposure">lung_cancer_dataset!$S$2:$S$1501</definedName>
    <definedName name="BMI">lung_cancer_dataset!$P$2:$P$1501</definedName>
    <definedName name="Cancer_Stage">lung_cancer_dataset!$AI$2:$AI$1501</definedName>
    <definedName name="Cancer_Type">lung_cancer_dataset!$AG$2:$AG$1501</definedName>
    <definedName name="Chest_Pain">lung_cancer_dataset!$Y$2:$Y$1501</definedName>
    <definedName name="Chronic_Lung_Disease">lung_cancer_dataset!$R$2:$R$1501</definedName>
    <definedName name="Cigarettes_Per_Day">lung_cancer_dataset!$I$2:$I$1501</definedName>
    <definedName name="Coughing">lung_cancer_dataset!$W$2:$W$1501</definedName>
    <definedName name="Coughing_Blood">lung_cancer_dataset!$Z$2:$Z$1501</definedName>
    <definedName name="Country">lung_cancer_dataset!$E$2:$E$1501</definedName>
    <definedName name="Diagnosis_Date">lung_cancer_dataset!$C$2:$C$1501</definedName>
    <definedName name="Diagnosis_Method">lung_cancer_dataset!$AL$2:$AL$1501</definedName>
    <definedName name="Diagnosis_Year">lung_cancer_dataset!$B$2:$B$1501</definedName>
    <definedName name="Exercise_Frequency">lung_cancer_dataset!$Q$2:$Q$1501</definedName>
    <definedName name="ExternalData_1" localSheetId="0" hidden="1">lung_cancer_dataset!$A$1:$AO$1501</definedName>
    <definedName name="Family_History">lung_cancer_dataset!$L$2:$L$1501</definedName>
    <definedName name="Fatigue">lung_cancer_dataset!$AA$2:$AA$1501</definedName>
    <definedName name="Finger_Clubbing">lung_cancer_dataset!$AF$2:$AF$1501</definedName>
    <definedName name="Gender">lung_cancer_dataset!$G$2:$G$1501</definedName>
    <definedName name="Genetic_Mutation">lung_cancer_dataset!$V$2:$V$1501</definedName>
    <definedName name="Metastasis">lung_cancer_dataset!$AK$2:$AK$1501</definedName>
    <definedName name="NSCLC_Subtype">lung_cancer_dataset!$AH$2:$AH$1501</definedName>
    <definedName name="Occupational_Hazard">lung_cancer_dataset!$M$2:$M$1501</definedName>
    <definedName name="Patient_ID">lung_cancer_dataset!$A$2:$A$1501</definedName>
    <definedName name="Previous_Cancer_History">lung_cancer_dataset!$U$2:$U$1501</definedName>
    <definedName name="Radon_Exposure">lung_cancer_dataset!$T$2:$T$1501</definedName>
    <definedName name="Recurrent_Infections">lung_cancer_dataset!$AD$2:$AD$1501</definedName>
    <definedName name="Secondhand_Smoke">lung_cancer_dataset!$K$2:$K$1501</definedName>
    <definedName name="Shortness_of_Breath">lung_cancer_dataset!$X$2:$X$1501</definedName>
    <definedName name="Smoking_Status">lung_cancer_dataset!$H$2:$H$1501</definedName>
    <definedName name="Survival_Months">lung_cancer_dataset!$AN$2:$AN$1501</definedName>
    <definedName name="Survived">lung_cancer_dataset!$AO$2:$AO$1501</definedName>
    <definedName name="Swallowing_Difficulty">lung_cancer_dataset!$AE$2:$AE$1501</definedName>
    <definedName name="Treatment">lung_cancer_dataset!$AM$2:$AM$1501</definedName>
    <definedName name="Tumor_Size_cm">lung_cancer_dataset!$AJ$2:$AJ$1501</definedName>
    <definedName name="Weight_Loss">lung_cancer_dataset!$AB$2:$AB$1501</definedName>
    <definedName name="Wheezing">lung_cancer_dataset!$AC$2:$AC$1501</definedName>
    <definedName name="WHO_Region">lung_cancer_dataset!$D$2:$D$1501</definedName>
    <definedName name="Years_Smoking">lung_cancer_dataset!$J$2:$J$1501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6" l="1" a="1"/>
  <c r="P2" i="6" s="1"/>
  <c r="O2" i="6" a="1"/>
  <c r="O2" i="6" s="1"/>
  <c r="N2" i="6" a="1"/>
  <c r="N2" i="6" s="1"/>
  <c r="M2" i="6" a="1"/>
  <c r="M2" i="6" s="1"/>
  <c r="J27" i="6" a="1"/>
  <c r="J27" i="6" s="1"/>
  <c r="I27" i="6" a="1"/>
  <c r="I27" i="6" s="1"/>
  <c r="J21" i="6" a="1"/>
  <c r="J21" i="6" s="1"/>
  <c r="I21" i="6" a="1"/>
  <c r="I21" i="6" s="1"/>
  <c r="J15" i="6" a="1"/>
  <c r="J15" i="6" s="1"/>
  <c r="I15" i="6" a="1"/>
  <c r="I15" i="6" s="1"/>
  <c r="J9" i="6" a="1"/>
  <c r="J9" i="6" s="1"/>
  <c r="I9" i="6" a="1"/>
  <c r="I9" i="6" s="1"/>
  <c r="J26" i="6" a="1"/>
  <c r="J26" i="6" s="1"/>
  <c r="I26" i="6" a="1"/>
  <c r="I26" i="6" s="1"/>
  <c r="J20" i="6" a="1"/>
  <c r="J20" i="6" s="1"/>
  <c r="I20" i="6" a="1"/>
  <c r="I20" i="6" s="1"/>
  <c r="J14" i="6" a="1"/>
  <c r="J14" i="6" s="1"/>
  <c r="I14" i="6" a="1"/>
  <c r="I14" i="6" s="1"/>
  <c r="J8" i="6" a="1"/>
  <c r="J8" i="6" s="1"/>
  <c r="I8" i="6" a="1"/>
  <c r="I8" i="6" s="1"/>
  <c r="J3" i="6" a="1"/>
  <c r="J3" i="6" s="1"/>
  <c r="J2" i="6" a="1"/>
  <c r="J2" i="6" s="1"/>
  <c r="I3" i="6" a="1"/>
  <c r="I3" i="6" s="1"/>
  <c r="I2" i="6" a="1"/>
  <c r="I2" i="6" s="1"/>
  <c r="J4" i="4"/>
  <c r="J3" i="4"/>
  <c r="I4" i="4"/>
  <c r="I3" i="4"/>
  <c r="M3" i="4" s="1"/>
  <c r="N3" i="4" s="1"/>
  <c r="O38" i="5"/>
  <c r="D29" i="6" a="1"/>
  <c r="D29" i="6" s="1"/>
  <c r="D28" i="6" a="1"/>
  <c r="D28" i="6" s="1"/>
  <c r="D27" i="6" a="1"/>
  <c r="D27" i="6" s="1"/>
  <c r="D26" i="6" a="1"/>
  <c r="D26" i="6" s="1"/>
  <c r="C29" i="6" a="1"/>
  <c r="C29" i="6" s="1"/>
  <c r="C28" i="6" a="1"/>
  <c r="C28" i="6" s="1"/>
  <c r="C27" i="6" a="1"/>
  <c r="C27" i="6" s="1"/>
  <c r="C26" i="6" a="1"/>
  <c r="C26" i="6" s="1"/>
  <c r="F89" i="7"/>
  <c r="D23" i="6" a="1"/>
  <c r="D23" i="6" s="1"/>
  <c r="D22" i="6" a="1"/>
  <c r="D22" i="6" s="1"/>
  <c r="D21" i="6" a="1"/>
  <c r="D21" i="6" s="1"/>
  <c r="D20" i="6" a="1"/>
  <c r="D20" i="6" s="1"/>
  <c r="C23" i="6" a="1"/>
  <c r="C23" i="6" s="1"/>
  <c r="C22" i="6" a="1"/>
  <c r="C22" i="6" s="1"/>
  <c r="C21" i="6" a="1"/>
  <c r="C21" i="6" s="1"/>
  <c r="C20" i="6" a="1"/>
  <c r="C20" i="6" s="1"/>
  <c r="F56" i="7"/>
  <c r="D17" i="6" a="1"/>
  <c r="D17" i="6" s="1"/>
  <c r="D16" i="6" a="1"/>
  <c r="D16" i="6" s="1"/>
  <c r="D15" i="6" a="1"/>
  <c r="D15" i="6" s="1"/>
  <c r="D14" i="6" a="1"/>
  <c r="D14" i="6" s="1"/>
  <c r="C17" i="6" a="1"/>
  <c r="C17" i="6" s="1"/>
  <c r="C16" i="6" a="1"/>
  <c r="C16" i="6" s="1"/>
  <c r="C15" i="6" a="1"/>
  <c r="C15" i="6" s="1"/>
  <c r="C14" i="6" a="1"/>
  <c r="C14" i="6" s="1"/>
  <c r="C2" i="6" a="1"/>
  <c r="C2" i="6" s="1"/>
  <c r="C3" i="6" a="1"/>
  <c r="C3" i="6" s="1"/>
  <c r="C4" i="6" a="1"/>
  <c r="C4" i="6" s="1"/>
  <c r="C5" i="6" a="1"/>
  <c r="C5" i="6" s="1"/>
  <c r="D2" i="6" a="1"/>
  <c r="D2" i="6" s="1"/>
  <c r="D3" i="6" a="1"/>
  <c r="D3" i="6" s="1"/>
  <c r="D4" i="6" a="1"/>
  <c r="D4" i="6" s="1"/>
  <c r="D5" i="6" a="1"/>
  <c r="D5" i="6" s="1"/>
  <c r="D11" i="6" a="1"/>
  <c r="D11" i="6" s="1"/>
  <c r="D10" i="6" a="1"/>
  <c r="D10" i="6" s="1"/>
  <c r="D9" i="6" a="1"/>
  <c r="D9" i="6" s="1"/>
  <c r="D8" i="6" a="1"/>
  <c r="D8" i="6" s="1"/>
  <c r="C11" i="6" a="1"/>
  <c r="C11" i="6" s="1"/>
  <c r="C10" i="6" a="1"/>
  <c r="C10" i="6" s="1"/>
  <c r="C9" i="6" a="1"/>
  <c r="C9" i="6" s="1"/>
  <c r="C8" i="6" a="1"/>
  <c r="C8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9F5403-7DB7-7E4E-968B-E248528E89CA}" keepAlive="1" name="Query - lung_cancer_dataset" description="Connection to the 'lung_cancer_dataset' query in the workbook." type="5" refreshedVersion="8" background="1" saveData="1">
    <dbPr connection="Provider=Microsoft.Mashup.OleDb.1;Data Source=$Workbook$;Location=lung_cancer_dataset;Extended Properties=&quot;&quot;" command="SELECT * FROM [lung_cancer_datase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<sst xmlns="http://schemas.openxmlformats.org/spreadsheetml/2006/main" count="50345" uniqueCount="1758">
  <si>
    <t>Patient_ID</t>
  </si>
  <si>
    <t>Diagnosis_Year</t>
  </si>
  <si>
    <t>Diagnosis_Date</t>
  </si>
  <si>
    <t>WHO_Region</t>
  </si>
  <si>
    <t>Country</t>
  </si>
  <si>
    <t>Age</t>
  </si>
  <si>
    <t>Gender</t>
  </si>
  <si>
    <t>Smoking_Status</t>
  </si>
  <si>
    <t>Cigarettes_Per_Day</t>
  </si>
  <si>
    <t>Years_Smoking</t>
  </si>
  <si>
    <t>Secondhand_Smoke</t>
  </si>
  <si>
    <t>Family_History</t>
  </si>
  <si>
    <t>Occupational_Hazard</t>
  </si>
  <si>
    <t>Air_Pollution_Exposure</t>
  </si>
  <si>
    <t>Alcohol_Use</t>
  </si>
  <si>
    <t>BMI</t>
  </si>
  <si>
    <t>Exercise_Frequency</t>
  </si>
  <si>
    <t>Chronic_Lung_Disease</t>
  </si>
  <si>
    <t>Asbestos_Exposure</t>
  </si>
  <si>
    <t>Radon_Exposure</t>
  </si>
  <si>
    <t>Previous_Cancer_History</t>
  </si>
  <si>
    <t>Genetic_Mutation</t>
  </si>
  <si>
    <t>Coughing</t>
  </si>
  <si>
    <t>Shortness_of_Breath</t>
  </si>
  <si>
    <t>Chest_Pain</t>
  </si>
  <si>
    <t>Coughing_Blood</t>
  </si>
  <si>
    <t>Fatigue</t>
  </si>
  <si>
    <t>Weight_Loss</t>
  </si>
  <si>
    <t>Wheezing</t>
  </si>
  <si>
    <t>Recurrent_Infections</t>
  </si>
  <si>
    <t>Swallowing_Difficulty</t>
  </si>
  <si>
    <t>Finger_Clubbing</t>
  </si>
  <si>
    <t>Cancer_Type</t>
  </si>
  <si>
    <t>NSCLC_Subtype</t>
  </si>
  <si>
    <t>Cancer_Stage</t>
  </si>
  <si>
    <t>Tumor_Size_cm</t>
  </si>
  <si>
    <t>Metastasis</t>
  </si>
  <si>
    <t>Diagnosis_Method</t>
  </si>
  <si>
    <t>Treatment</t>
  </si>
  <si>
    <t>Survival_Months</t>
  </si>
  <si>
    <t>Survived</t>
  </si>
  <si>
    <t>LC-0001</t>
  </si>
  <si>
    <t>Western Pacific</t>
  </si>
  <si>
    <t>China</t>
  </si>
  <si>
    <t>Female</t>
  </si>
  <si>
    <t>Current Smoker</t>
  </si>
  <si>
    <t>Yes</t>
  </si>
  <si>
    <t>No</t>
  </si>
  <si>
    <t>Moderate</t>
  </si>
  <si>
    <t>No Alcohol</t>
  </si>
  <si>
    <t>Low</t>
  </si>
  <si>
    <t>No Mutation</t>
  </si>
  <si>
    <t>NSCLC</t>
  </si>
  <si>
    <t>Adenocarcinoma</t>
  </si>
  <si>
    <t>Stage IV</t>
  </si>
  <si>
    <t>MRI</t>
  </si>
  <si>
    <t>Chemo + Radiation</t>
  </si>
  <si>
    <t>LC-0002</t>
  </si>
  <si>
    <t>Americas</t>
  </si>
  <si>
    <t>Mexico</t>
  </si>
  <si>
    <t>Male</t>
  </si>
  <si>
    <t>Former Smoker</t>
  </si>
  <si>
    <t>High</t>
  </si>
  <si>
    <t>Heavy</t>
  </si>
  <si>
    <t>KRAS</t>
  </si>
  <si>
    <t>Stage I</t>
  </si>
  <si>
    <t>Biopsy</t>
  </si>
  <si>
    <t>Surgery + Chemotherapy</t>
  </si>
  <si>
    <t>LC-0003</t>
  </si>
  <si>
    <t>Japan</t>
  </si>
  <si>
    <t>Never Smoked</t>
  </si>
  <si>
    <t>Squamous Cell</t>
  </si>
  <si>
    <t>LDCT Screening</t>
  </si>
  <si>
    <t>Surgery</t>
  </si>
  <si>
    <t>LC-0004</t>
  </si>
  <si>
    <t>Singapore</t>
  </si>
  <si>
    <t>CT Scan</t>
  </si>
  <si>
    <t>Chemotherapy</t>
  </si>
  <si>
    <t>LC-0005</t>
  </si>
  <si>
    <t>Malaysia</t>
  </si>
  <si>
    <t>Stage III</t>
  </si>
  <si>
    <t>Bronchoscopy</t>
  </si>
  <si>
    <t>Immunotherapy</t>
  </si>
  <si>
    <t>LC-0006</t>
  </si>
  <si>
    <t>Eastern Mediterranean</t>
  </si>
  <si>
    <t>Iran</t>
  </si>
  <si>
    <t>EGFR</t>
  </si>
  <si>
    <t>Stage II</t>
  </si>
  <si>
    <t>LC-0007</t>
  </si>
  <si>
    <t>Qatar</t>
  </si>
  <si>
    <t>Large Cell</t>
  </si>
  <si>
    <t>LC-0008</t>
  </si>
  <si>
    <t>ROS1</t>
  </si>
  <si>
    <t>LC-0009</t>
  </si>
  <si>
    <t>LC-0010</t>
  </si>
  <si>
    <t>Europe</t>
  </si>
  <si>
    <t>Poland</t>
  </si>
  <si>
    <t>LC-0011</t>
  </si>
  <si>
    <t>Africa</t>
  </si>
  <si>
    <t>Nigeria</t>
  </si>
  <si>
    <t>PET Scan</t>
  </si>
  <si>
    <t>LC-0012</t>
  </si>
  <si>
    <t>Lebanon</t>
  </si>
  <si>
    <t>Radiotherapy</t>
  </si>
  <si>
    <t>LC-0013</t>
  </si>
  <si>
    <t>France</t>
  </si>
  <si>
    <t>LC-0014</t>
  </si>
  <si>
    <t>Russia</t>
  </si>
  <si>
    <t>LC-0015</t>
  </si>
  <si>
    <t>LC-0016</t>
  </si>
  <si>
    <t>South-East Asia</t>
  </si>
  <si>
    <t>Sri Lanka</t>
  </si>
  <si>
    <t>RET</t>
  </si>
  <si>
    <t>LC-0017</t>
  </si>
  <si>
    <t>UK</t>
  </si>
  <si>
    <t>LC-0018</t>
  </si>
  <si>
    <t>Timor-Leste</t>
  </si>
  <si>
    <t>ALK</t>
  </si>
  <si>
    <t>Targeted Therapy</t>
  </si>
  <si>
    <t>LC-0019</t>
  </si>
  <si>
    <t>Germany</t>
  </si>
  <si>
    <t>SCLC</t>
  </si>
  <si>
    <t>Not Applicable</t>
  </si>
  <si>
    <t>LC-0020</t>
  </si>
  <si>
    <t>Bhutan</t>
  </si>
  <si>
    <t>LC-0021</t>
  </si>
  <si>
    <t>UAE</t>
  </si>
  <si>
    <t>LC-0022</t>
  </si>
  <si>
    <t>HER2</t>
  </si>
  <si>
    <t>LC-0023</t>
  </si>
  <si>
    <t>Spain</t>
  </si>
  <si>
    <t>LC-0024</t>
  </si>
  <si>
    <t>Italy</t>
  </si>
  <si>
    <t>LC-0025</t>
  </si>
  <si>
    <t>Argentina</t>
  </si>
  <si>
    <t>LC-0026</t>
  </si>
  <si>
    <t>Vietnam</t>
  </si>
  <si>
    <t>LC-0027</t>
  </si>
  <si>
    <t>Colombia</t>
  </si>
  <si>
    <t>LC-0028</t>
  </si>
  <si>
    <t>LC-0029</t>
  </si>
  <si>
    <t>LC-0030</t>
  </si>
  <si>
    <t>Brazil</t>
  </si>
  <si>
    <t>LC-0031</t>
  </si>
  <si>
    <t>LC-0032</t>
  </si>
  <si>
    <t>Turkey</t>
  </si>
  <si>
    <t>LC-0033</t>
  </si>
  <si>
    <t>Netherlands</t>
  </si>
  <si>
    <t>LC-0034</t>
  </si>
  <si>
    <t>LC-0035</t>
  </si>
  <si>
    <t>USA</t>
  </si>
  <si>
    <t>TP53</t>
  </si>
  <si>
    <t>LC-0036</t>
  </si>
  <si>
    <t>LC-0037</t>
  </si>
  <si>
    <t>Mongolia</t>
  </si>
  <si>
    <t>LC-0038</t>
  </si>
  <si>
    <t>Chest X-Ray</t>
  </si>
  <si>
    <t>LC-0039</t>
  </si>
  <si>
    <t>LC-0040</t>
  </si>
  <si>
    <t>LC-0041</t>
  </si>
  <si>
    <t>Australia</t>
  </si>
  <si>
    <t>LC-0042</t>
  </si>
  <si>
    <t>LC-0043</t>
  </si>
  <si>
    <t>Venezuela</t>
  </si>
  <si>
    <t>LC-0044</t>
  </si>
  <si>
    <t>LC-0045</t>
  </si>
  <si>
    <t>South Korea</t>
  </si>
  <si>
    <t>LC-0046</t>
  </si>
  <si>
    <t>LC-0047</t>
  </si>
  <si>
    <t>Canada</t>
  </si>
  <si>
    <t>LC-0048</t>
  </si>
  <si>
    <t>BRAF</t>
  </si>
  <si>
    <t>LC-0049</t>
  </si>
  <si>
    <t>LC-0050</t>
  </si>
  <si>
    <t>LC-0051</t>
  </si>
  <si>
    <t>Algeria</t>
  </si>
  <si>
    <t>LC-0052</t>
  </si>
  <si>
    <t>India</t>
  </si>
  <si>
    <t>LC-0053</t>
  </si>
  <si>
    <t>LC-0054</t>
  </si>
  <si>
    <t>LC-0055</t>
  </si>
  <si>
    <t>LC-0056</t>
  </si>
  <si>
    <t>Saudi Arabia</t>
  </si>
  <si>
    <t>LC-0057</t>
  </si>
  <si>
    <t>Iraq</t>
  </si>
  <si>
    <t>LC-0058</t>
  </si>
  <si>
    <t>LC-0059</t>
  </si>
  <si>
    <t>LC-0060</t>
  </si>
  <si>
    <t>LC-0061</t>
  </si>
  <si>
    <t>Jordan</t>
  </si>
  <si>
    <t>LC-0062</t>
  </si>
  <si>
    <t>LC-0063</t>
  </si>
  <si>
    <t>Ghana</t>
  </si>
  <si>
    <t>MET</t>
  </si>
  <si>
    <t>LC-0064</t>
  </si>
  <si>
    <t>LC-0065</t>
  </si>
  <si>
    <t>Ethiopia</t>
  </si>
  <si>
    <t>LC-0066</t>
  </si>
  <si>
    <t>LC-0067</t>
  </si>
  <si>
    <t>LC-0068</t>
  </si>
  <si>
    <t>LC-0069</t>
  </si>
  <si>
    <t>LC-0070</t>
  </si>
  <si>
    <t>Morocco</t>
  </si>
  <si>
    <t>LC-0071</t>
  </si>
  <si>
    <t>LC-0072</t>
  </si>
  <si>
    <t>LC-0073</t>
  </si>
  <si>
    <t>LC-0074</t>
  </si>
  <si>
    <t>LC-0075</t>
  </si>
  <si>
    <t>LC-0076</t>
  </si>
  <si>
    <t>LC-0077</t>
  </si>
  <si>
    <t>New Zealand</t>
  </si>
  <si>
    <t>LC-0078</t>
  </si>
  <si>
    <t>Egypt</t>
  </si>
  <si>
    <t>LC-0079</t>
  </si>
  <si>
    <t>LC-0080</t>
  </si>
  <si>
    <t>LC-0081</t>
  </si>
  <si>
    <t>LC-0082</t>
  </si>
  <si>
    <t>LC-0083</t>
  </si>
  <si>
    <t>Pakistan</t>
  </si>
  <si>
    <t>LC-0084</t>
  </si>
  <si>
    <t>Cuba</t>
  </si>
  <si>
    <t>LC-0085</t>
  </si>
  <si>
    <t>LC-0086</t>
  </si>
  <si>
    <t>LC-0087</t>
  </si>
  <si>
    <t>LC-0088</t>
  </si>
  <si>
    <t>Maldives</t>
  </si>
  <si>
    <t>LC-0089</t>
  </si>
  <si>
    <t>Bangladesh</t>
  </si>
  <si>
    <t>LC-0090</t>
  </si>
  <si>
    <t>Chile</t>
  </si>
  <si>
    <t>LC-0091</t>
  </si>
  <si>
    <t>Nepal</t>
  </si>
  <si>
    <t>LC-0092</t>
  </si>
  <si>
    <t>LC-0093</t>
  </si>
  <si>
    <t>LC-0094</t>
  </si>
  <si>
    <t>LC-0095</t>
  </si>
  <si>
    <t>Thailand</t>
  </si>
  <si>
    <t>LC-0096</t>
  </si>
  <si>
    <t>LC-0097</t>
  </si>
  <si>
    <t>LC-0098</t>
  </si>
  <si>
    <t>LC-0099</t>
  </si>
  <si>
    <t>LC-0100</t>
  </si>
  <si>
    <t>LC-0101</t>
  </si>
  <si>
    <t>LC-0102</t>
  </si>
  <si>
    <t>LC-0103</t>
  </si>
  <si>
    <t>LC-0104</t>
  </si>
  <si>
    <t>LC-0105</t>
  </si>
  <si>
    <t>Philippines</t>
  </si>
  <si>
    <t>LC-0106</t>
  </si>
  <si>
    <t>Tanzania</t>
  </si>
  <si>
    <t>LC-0107</t>
  </si>
  <si>
    <t>LC-0108</t>
  </si>
  <si>
    <t>Peru</t>
  </si>
  <si>
    <t>LC-0109</t>
  </si>
  <si>
    <t>LC-0110</t>
  </si>
  <si>
    <t>Sweden</t>
  </si>
  <si>
    <t>LC-0111</t>
  </si>
  <si>
    <t>LC-0112</t>
  </si>
  <si>
    <t>LC-0113</t>
  </si>
  <si>
    <t>LC-0114</t>
  </si>
  <si>
    <t>LC-0115</t>
  </si>
  <si>
    <t>LC-0116</t>
  </si>
  <si>
    <t>LC-0117</t>
  </si>
  <si>
    <t>South Africa</t>
  </si>
  <si>
    <t>LC-0118</t>
  </si>
  <si>
    <t>Palliative Care</t>
  </si>
  <si>
    <t>LC-0119</t>
  </si>
  <si>
    <t>LC-0120</t>
  </si>
  <si>
    <t>LC-0121</t>
  </si>
  <si>
    <t>LC-0122</t>
  </si>
  <si>
    <t>LC-0123</t>
  </si>
  <si>
    <t>LC-0124</t>
  </si>
  <si>
    <t>LC-0125</t>
  </si>
  <si>
    <t>LC-0126</t>
  </si>
  <si>
    <t>LC-0127</t>
  </si>
  <si>
    <t>LC-0128</t>
  </si>
  <si>
    <t>LC-0129</t>
  </si>
  <si>
    <t>LC-0130</t>
  </si>
  <si>
    <t>LC-0131</t>
  </si>
  <si>
    <t>LC-0132</t>
  </si>
  <si>
    <t>LC-0133</t>
  </si>
  <si>
    <t>LC-0134</t>
  </si>
  <si>
    <t>LC-0135</t>
  </si>
  <si>
    <t>LC-0136</t>
  </si>
  <si>
    <t>LC-0137</t>
  </si>
  <si>
    <t>LC-0138</t>
  </si>
  <si>
    <t>LC-0139</t>
  </si>
  <si>
    <t>LC-0140</t>
  </si>
  <si>
    <t>LC-0141</t>
  </si>
  <si>
    <t>LC-0142</t>
  </si>
  <si>
    <t>LC-0143</t>
  </si>
  <si>
    <t>LC-0144</t>
  </si>
  <si>
    <t>LC-0145</t>
  </si>
  <si>
    <t>LC-0146</t>
  </si>
  <si>
    <t>Indonesia</t>
  </si>
  <si>
    <t>LC-0147</t>
  </si>
  <si>
    <t>LC-0148</t>
  </si>
  <si>
    <t>LC-0149</t>
  </si>
  <si>
    <t>LC-0150</t>
  </si>
  <si>
    <t>LC-0151</t>
  </si>
  <si>
    <t>LC-0152</t>
  </si>
  <si>
    <t>LC-0153</t>
  </si>
  <si>
    <t>LC-0154</t>
  </si>
  <si>
    <t>LC-0155</t>
  </si>
  <si>
    <t>LC-0156</t>
  </si>
  <si>
    <t>LC-0157</t>
  </si>
  <si>
    <t>LC-0158</t>
  </si>
  <si>
    <t>LC-0159</t>
  </si>
  <si>
    <t>LC-0160</t>
  </si>
  <si>
    <t>LC-0161</t>
  </si>
  <si>
    <t>LC-0162</t>
  </si>
  <si>
    <t>LC-0163</t>
  </si>
  <si>
    <t>LC-0164</t>
  </si>
  <si>
    <t>LC-0165</t>
  </si>
  <si>
    <t>LC-0166</t>
  </si>
  <si>
    <t>LC-0167</t>
  </si>
  <si>
    <t>LC-0168</t>
  </si>
  <si>
    <t>LC-0169</t>
  </si>
  <si>
    <t>LC-0170</t>
  </si>
  <si>
    <t>LC-0171</t>
  </si>
  <si>
    <t>LC-0172</t>
  </si>
  <si>
    <t>LC-0173</t>
  </si>
  <si>
    <t>LC-0174</t>
  </si>
  <si>
    <t>LC-0175</t>
  </si>
  <si>
    <t>LC-0176</t>
  </si>
  <si>
    <t>LC-0177</t>
  </si>
  <si>
    <t>LC-0178</t>
  </si>
  <si>
    <t>LC-0179</t>
  </si>
  <si>
    <t>LC-0180</t>
  </si>
  <si>
    <t>LC-0181</t>
  </si>
  <si>
    <t>LC-0182</t>
  </si>
  <si>
    <t>LC-0183</t>
  </si>
  <si>
    <t>LC-0184</t>
  </si>
  <si>
    <t>LC-0185</t>
  </si>
  <si>
    <t>LC-0186</t>
  </si>
  <si>
    <t>LC-0187</t>
  </si>
  <si>
    <t>LC-0188</t>
  </si>
  <si>
    <t>LC-0189</t>
  </si>
  <si>
    <t>LC-0190</t>
  </si>
  <si>
    <t>LC-0191</t>
  </si>
  <si>
    <t>LC-0192</t>
  </si>
  <si>
    <t>LC-0193</t>
  </si>
  <si>
    <t>LC-0194</t>
  </si>
  <si>
    <t>LC-0195</t>
  </si>
  <si>
    <t>LC-0196</t>
  </si>
  <si>
    <t>LC-0197</t>
  </si>
  <si>
    <t>LC-0198</t>
  </si>
  <si>
    <t>LC-0199</t>
  </si>
  <si>
    <t>LC-0200</t>
  </si>
  <si>
    <t>LC-0201</t>
  </si>
  <si>
    <t>LC-0202</t>
  </si>
  <si>
    <t>LC-0203</t>
  </si>
  <si>
    <t>LC-0204</t>
  </si>
  <si>
    <t>LC-0205</t>
  </si>
  <si>
    <t>LC-0206</t>
  </si>
  <si>
    <t>LC-0207</t>
  </si>
  <si>
    <t>LC-0208</t>
  </si>
  <si>
    <t>LC-0209</t>
  </si>
  <si>
    <t>LC-0210</t>
  </si>
  <si>
    <t>LC-0211</t>
  </si>
  <si>
    <t>LC-0212</t>
  </si>
  <si>
    <t>LC-0213</t>
  </si>
  <si>
    <t>LC-0214</t>
  </si>
  <si>
    <t>LC-0215</t>
  </si>
  <si>
    <t>LC-0216</t>
  </si>
  <si>
    <t>LC-0217</t>
  </si>
  <si>
    <t>LC-0218</t>
  </si>
  <si>
    <t>LC-0219</t>
  </si>
  <si>
    <t>LC-0220</t>
  </si>
  <si>
    <t>LC-0221</t>
  </si>
  <si>
    <t>LC-0222</t>
  </si>
  <si>
    <t>LC-0223</t>
  </si>
  <si>
    <t>LC-0224</t>
  </si>
  <si>
    <t>LC-0225</t>
  </si>
  <si>
    <t>LC-0226</t>
  </si>
  <si>
    <t>LC-0227</t>
  </si>
  <si>
    <t>LC-0228</t>
  </si>
  <si>
    <t>LC-0229</t>
  </si>
  <si>
    <t>LC-0230</t>
  </si>
  <si>
    <t>LC-0231</t>
  </si>
  <si>
    <t>LC-0232</t>
  </si>
  <si>
    <t>LC-0233</t>
  </si>
  <si>
    <t>LC-0234</t>
  </si>
  <si>
    <t>LC-0235</t>
  </si>
  <si>
    <t>LC-0236</t>
  </si>
  <si>
    <t>LC-0237</t>
  </si>
  <si>
    <t>LC-0238</t>
  </si>
  <si>
    <t>LC-0239</t>
  </si>
  <si>
    <t>LC-0240</t>
  </si>
  <si>
    <t>LC-0241</t>
  </si>
  <si>
    <t>LC-0242</t>
  </si>
  <si>
    <t>LC-0243</t>
  </si>
  <si>
    <t>LC-0244</t>
  </si>
  <si>
    <t>LC-0245</t>
  </si>
  <si>
    <t>LC-0246</t>
  </si>
  <si>
    <t>LC-0247</t>
  </si>
  <si>
    <t>LC-0248</t>
  </si>
  <si>
    <t>LC-0249</t>
  </si>
  <si>
    <t>LC-0250</t>
  </si>
  <si>
    <t>LC-0251</t>
  </si>
  <si>
    <t>LC-0252</t>
  </si>
  <si>
    <t>LC-0253</t>
  </si>
  <si>
    <t>LC-0254</t>
  </si>
  <si>
    <t>LC-0255</t>
  </si>
  <si>
    <t>LC-0256</t>
  </si>
  <si>
    <t>LC-0257</t>
  </si>
  <si>
    <t>LC-0258</t>
  </si>
  <si>
    <t>LC-0259</t>
  </si>
  <si>
    <t>LC-0260</t>
  </si>
  <si>
    <t>LC-0261</t>
  </si>
  <si>
    <t>Myanmar</t>
  </si>
  <si>
    <t>LC-0262</t>
  </si>
  <si>
    <t>LC-0263</t>
  </si>
  <si>
    <t>LC-0264</t>
  </si>
  <si>
    <t>LC-0265</t>
  </si>
  <si>
    <t>LC-0266</t>
  </si>
  <si>
    <t>LC-0267</t>
  </si>
  <si>
    <t>LC-0268</t>
  </si>
  <si>
    <t>LC-0269</t>
  </si>
  <si>
    <t>LC-0270</t>
  </si>
  <si>
    <t>LC-0271</t>
  </si>
  <si>
    <t>LC-0272</t>
  </si>
  <si>
    <t>LC-0273</t>
  </si>
  <si>
    <t>LC-0274</t>
  </si>
  <si>
    <t>LC-0275</t>
  </si>
  <si>
    <t>LC-0276</t>
  </si>
  <si>
    <t>LC-0277</t>
  </si>
  <si>
    <t>LC-0278</t>
  </si>
  <si>
    <t>LC-0279</t>
  </si>
  <si>
    <t>LC-0280</t>
  </si>
  <si>
    <t>LC-0281</t>
  </si>
  <si>
    <t>LC-0282</t>
  </si>
  <si>
    <t>LC-0283</t>
  </si>
  <si>
    <t>LC-0284</t>
  </si>
  <si>
    <t>LC-0285</t>
  </si>
  <si>
    <t>LC-0286</t>
  </si>
  <si>
    <t>LC-0287</t>
  </si>
  <si>
    <t>LC-0288</t>
  </si>
  <si>
    <t>LC-0289</t>
  </si>
  <si>
    <t>LC-0290</t>
  </si>
  <si>
    <t>LC-0291</t>
  </si>
  <si>
    <t>LC-0292</t>
  </si>
  <si>
    <t>LC-0293</t>
  </si>
  <si>
    <t>LC-0294</t>
  </si>
  <si>
    <t>LC-0295</t>
  </si>
  <si>
    <t>LC-0296</t>
  </si>
  <si>
    <t>LC-0297</t>
  </si>
  <si>
    <t>LC-0298</t>
  </si>
  <si>
    <t>LC-0299</t>
  </si>
  <si>
    <t>Kuwait</t>
  </si>
  <si>
    <t>LC-0300</t>
  </si>
  <si>
    <t>LC-0301</t>
  </si>
  <si>
    <t>LC-0302</t>
  </si>
  <si>
    <t>LC-0303</t>
  </si>
  <si>
    <t>LC-0304</t>
  </si>
  <si>
    <t>LC-0305</t>
  </si>
  <si>
    <t>LC-0306</t>
  </si>
  <si>
    <t>LC-0307</t>
  </si>
  <si>
    <t>LC-0308</t>
  </si>
  <si>
    <t>LC-0309</t>
  </si>
  <si>
    <t>LC-0310</t>
  </si>
  <si>
    <t>LC-0311</t>
  </si>
  <si>
    <t>LC-0312</t>
  </si>
  <si>
    <t>LC-0313</t>
  </si>
  <si>
    <t>LC-0314</t>
  </si>
  <si>
    <t>Kenya</t>
  </si>
  <si>
    <t>LC-0315</t>
  </si>
  <si>
    <t>LC-0316</t>
  </si>
  <si>
    <t>LC-0317</t>
  </si>
  <si>
    <t>LC-0318</t>
  </si>
  <si>
    <t>LC-0319</t>
  </si>
  <si>
    <t>LC-0320</t>
  </si>
  <si>
    <t>LC-0321</t>
  </si>
  <si>
    <t>LC-0322</t>
  </si>
  <si>
    <t>LC-0323</t>
  </si>
  <si>
    <t>LC-0324</t>
  </si>
  <si>
    <t>LC-0325</t>
  </si>
  <si>
    <t>LC-0326</t>
  </si>
  <si>
    <t>LC-0327</t>
  </si>
  <si>
    <t>LC-0328</t>
  </si>
  <si>
    <t>LC-0329</t>
  </si>
  <si>
    <t>LC-0330</t>
  </si>
  <si>
    <t>LC-0331</t>
  </si>
  <si>
    <t>LC-0332</t>
  </si>
  <si>
    <t>Uganda</t>
  </si>
  <si>
    <t>LC-0333</t>
  </si>
  <si>
    <t>LC-0334</t>
  </si>
  <si>
    <t>LC-0335</t>
  </si>
  <si>
    <t>LC-0336</t>
  </si>
  <si>
    <t>LC-0337</t>
  </si>
  <si>
    <t>LC-0338</t>
  </si>
  <si>
    <t>LC-0339</t>
  </si>
  <si>
    <t>LC-0340</t>
  </si>
  <si>
    <t>LC-0341</t>
  </si>
  <si>
    <t>LC-0342</t>
  </si>
  <si>
    <t>LC-0343</t>
  </si>
  <si>
    <t>LC-0344</t>
  </si>
  <si>
    <t>LC-0345</t>
  </si>
  <si>
    <t>LC-0346</t>
  </si>
  <si>
    <t>LC-0347</t>
  </si>
  <si>
    <t>LC-0348</t>
  </si>
  <si>
    <t>LC-0349</t>
  </si>
  <si>
    <t>LC-0350</t>
  </si>
  <si>
    <t>LC-0351</t>
  </si>
  <si>
    <t>LC-0352</t>
  </si>
  <si>
    <t>LC-0353</t>
  </si>
  <si>
    <t>LC-0354</t>
  </si>
  <si>
    <t>LC-0355</t>
  </si>
  <si>
    <t>LC-0356</t>
  </si>
  <si>
    <t>LC-0357</t>
  </si>
  <si>
    <t>LC-0358</t>
  </si>
  <si>
    <t>LC-0359</t>
  </si>
  <si>
    <t>LC-0360</t>
  </si>
  <si>
    <t>LC-0361</t>
  </si>
  <si>
    <t>LC-0362</t>
  </si>
  <si>
    <t>LC-0363</t>
  </si>
  <si>
    <t>LC-0364</t>
  </si>
  <si>
    <t>LC-0365</t>
  </si>
  <si>
    <t>LC-0366</t>
  </si>
  <si>
    <t>LC-0367</t>
  </si>
  <si>
    <t>LC-0368</t>
  </si>
  <si>
    <t>LC-0369</t>
  </si>
  <si>
    <t>LC-0370</t>
  </si>
  <si>
    <t>LC-0371</t>
  </si>
  <si>
    <t>LC-0372</t>
  </si>
  <si>
    <t>LC-0373</t>
  </si>
  <si>
    <t>LC-0374</t>
  </si>
  <si>
    <t>LC-0375</t>
  </si>
  <si>
    <t>LC-0376</t>
  </si>
  <si>
    <t>LC-0377</t>
  </si>
  <si>
    <t>LC-0378</t>
  </si>
  <si>
    <t>LC-0379</t>
  </si>
  <si>
    <t>LC-0380</t>
  </si>
  <si>
    <t>LC-0381</t>
  </si>
  <si>
    <t>LC-0382</t>
  </si>
  <si>
    <t>LC-0383</t>
  </si>
  <si>
    <t>LC-0384</t>
  </si>
  <si>
    <t>LC-0385</t>
  </si>
  <si>
    <t>LC-0386</t>
  </si>
  <si>
    <t>LC-0387</t>
  </si>
  <si>
    <t>LC-0388</t>
  </si>
  <si>
    <t>LC-0389</t>
  </si>
  <si>
    <t>LC-0390</t>
  </si>
  <si>
    <t>LC-0391</t>
  </si>
  <si>
    <t>LC-0392</t>
  </si>
  <si>
    <t>LC-0393</t>
  </si>
  <si>
    <t>LC-0394</t>
  </si>
  <si>
    <t>LC-0395</t>
  </si>
  <si>
    <t>LC-0396</t>
  </si>
  <si>
    <t>LC-0397</t>
  </si>
  <si>
    <t>LC-0398</t>
  </si>
  <si>
    <t>LC-0399</t>
  </si>
  <si>
    <t>LC-0400</t>
  </si>
  <si>
    <t>LC-0401</t>
  </si>
  <si>
    <t>LC-0402</t>
  </si>
  <si>
    <t>LC-0403</t>
  </si>
  <si>
    <t>LC-0404</t>
  </si>
  <si>
    <t>LC-0405</t>
  </si>
  <si>
    <t>LC-0406</t>
  </si>
  <si>
    <t>LC-0407</t>
  </si>
  <si>
    <t>LC-0408</t>
  </si>
  <si>
    <t>LC-0409</t>
  </si>
  <si>
    <t>LC-0410</t>
  </si>
  <si>
    <t>LC-0411</t>
  </si>
  <si>
    <t>LC-0412</t>
  </si>
  <si>
    <t>LC-0413</t>
  </si>
  <si>
    <t>LC-0414</t>
  </si>
  <si>
    <t>LC-0415</t>
  </si>
  <si>
    <t>LC-0416</t>
  </si>
  <si>
    <t>LC-0417</t>
  </si>
  <si>
    <t>LC-0418</t>
  </si>
  <si>
    <t>Oman</t>
  </si>
  <si>
    <t>LC-0419</t>
  </si>
  <si>
    <t>LC-0420</t>
  </si>
  <si>
    <t>LC-0421</t>
  </si>
  <si>
    <t>LC-0422</t>
  </si>
  <si>
    <t>LC-0423</t>
  </si>
  <si>
    <t>LC-0424</t>
  </si>
  <si>
    <t>LC-0425</t>
  </si>
  <si>
    <t>LC-0426</t>
  </si>
  <si>
    <t>LC-0427</t>
  </si>
  <si>
    <t>LC-0428</t>
  </si>
  <si>
    <t>LC-0429</t>
  </si>
  <si>
    <t>LC-0430</t>
  </si>
  <si>
    <t>LC-0431</t>
  </si>
  <si>
    <t>LC-0432</t>
  </si>
  <si>
    <t>LC-0433</t>
  </si>
  <si>
    <t>LC-0434</t>
  </si>
  <si>
    <t>LC-0435</t>
  </si>
  <si>
    <t>LC-0436</t>
  </si>
  <si>
    <t>LC-0437</t>
  </si>
  <si>
    <t>LC-0438</t>
  </si>
  <si>
    <t>LC-0439</t>
  </si>
  <si>
    <t>LC-0440</t>
  </si>
  <si>
    <t>LC-0441</t>
  </si>
  <si>
    <t>LC-0442</t>
  </si>
  <si>
    <t>LC-0443</t>
  </si>
  <si>
    <t>LC-0444</t>
  </si>
  <si>
    <t>LC-0445</t>
  </si>
  <si>
    <t>LC-0446</t>
  </si>
  <si>
    <t>LC-0447</t>
  </si>
  <si>
    <t>LC-0448</t>
  </si>
  <si>
    <t>LC-0449</t>
  </si>
  <si>
    <t>LC-0450</t>
  </si>
  <si>
    <t>LC-0451</t>
  </si>
  <si>
    <t>LC-0452</t>
  </si>
  <si>
    <t>LC-0453</t>
  </si>
  <si>
    <t>LC-0454</t>
  </si>
  <si>
    <t>LC-0455</t>
  </si>
  <si>
    <t>LC-0456</t>
  </si>
  <si>
    <t>LC-0457</t>
  </si>
  <si>
    <t>LC-0458</t>
  </si>
  <si>
    <t>LC-0459</t>
  </si>
  <si>
    <t>LC-0460</t>
  </si>
  <si>
    <t>LC-0461</t>
  </si>
  <si>
    <t>LC-0462</t>
  </si>
  <si>
    <t>LC-0463</t>
  </si>
  <si>
    <t>LC-0464</t>
  </si>
  <si>
    <t>LC-0465</t>
  </si>
  <si>
    <t>LC-0466</t>
  </si>
  <si>
    <t>LC-0467</t>
  </si>
  <si>
    <t>LC-0468</t>
  </si>
  <si>
    <t>LC-0469</t>
  </si>
  <si>
    <t>LC-0470</t>
  </si>
  <si>
    <t>LC-0471</t>
  </si>
  <si>
    <t>LC-0472</t>
  </si>
  <si>
    <t>LC-0473</t>
  </si>
  <si>
    <t>LC-0474</t>
  </si>
  <si>
    <t>LC-0475</t>
  </si>
  <si>
    <t>LC-0476</t>
  </si>
  <si>
    <t>LC-0477</t>
  </si>
  <si>
    <t>LC-0478</t>
  </si>
  <si>
    <t>LC-0479</t>
  </si>
  <si>
    <t>LC-0480</t>
  </si>
  <si>
    <t>LC-0481</t>
  </si>
  <si>
    <t>LC-0482</t>
  </si>
  <si>
    <t>LC-0483</t>
  </si>
  <si>
    <t>LC-0484</t>
  </si>
  <si>
    <t>LC-0485</t>
  </si>
  <si>
    <t>LC-0486</t>
  </si>
  <si>
    <t>LC-0487</t>
  </si>
  <si>
    <t>LC-0488</t>
  </si>
  <si>
    <t>LC-0489</t>
  </si>
  <si>
    <t>LC-0490</t>
  </si>
  <si>
    <t>LC-0491</t>
  </si>
  <si>
    <t>LC-0492</t>
  </si>
  <si>
    <t>LC-0493</t>
  </si>
  <si>
    <t>LC-0494</t>
  </si>
  <si>
    <t>LC-0495</t>
  </si>
  <si>
    <t>LC-0496</t>
  </si>
  <si>
    <t>LC-0497</t>
  </si>
  <si>
    <t>LC-0498</t>
  </si>
  <si>
    <t>LC-0499</t>
  </si>
  <si>
    <t>LC-0500</t>
  </si>
  <si>
    <t>LC-0501</t>
  </si>
  <si>
    <t>LC-0502</t>
  </si>
  <si>
    <t>LC-0503</t>
  </si>
  <si>
    <t>LC-0504</t>
  </si>
  <si>
    <t>LC-0505</t>
  </si>
  <si>
    <t>LC-0506</t>
  </si>
  <si>
    <t>LC-0507</t>
  </si>
  <si>
    <t>LC-0508</t>
  </si>
  <si>
    <t>LC-0509</t>
  </si>
  <si>
    <t>LC-0510</t>
  </si>
  <si>
    <t>LC-0511</t>
  </si>
  <si>
    <t>LC-0512</t>
  </si>
  <si>
    <t>LC-0513</t>
  </si>
  <si>
    <t>LC-0514</t>
  </si>
  <si>
    <t>LC-0515</t>
  </si>
  <si>
    <t>LC-0516</t>
  </si>
  <si>
    <t>LC-0517</t>
  </si>
  <si>
    <t>LC-0518</t>
  </si>
  <si>
    <t>LC-0519</t>
  </si>
  <si>
    <t>LC-0520</t>
  </si>
  <si>
    <t>LC-0521</t>
  </si>
  <si>
    <t>LC-0522</t>
  </si>
  <si>
    <t>LC-0523</t>
  </si>
  <si>
    <t>LC-0524</t>
  </si>
  <si>
    <t>LC-0525</t>
  </si>
  <si>
    <t>LC-0526</t>
  </si>
  <si>
    <t>LC-0527</t>
  </si>
  <si>
    <t>LC-0528</t>
  </si>
  <si>
    <t>LC-0529</t>
  </si>
  <si>
    <t>LC-0530</t>
  </si>
  <si>
    <t>LC-0531</t>
  </si>
  <si>
    <t>LC-0532</t>
  </si>
  <si>
    <t>LC-0533</t>
  </si>
  <si>
    <t>LC-0534</t>
  </si>
  <si>
    <t>LC-0535</t>
  </si>
  <si>
    <t>LC-0536</t>
  </si>
  <si>
    <t>LC-0537</t>
  </si>
  <si>
    <t>LC-0538</t>
  </si>
  <si>
    <t>LC-0539</t>
  </si>
  <si>
    <t>LC-0540</t>
  </si>
  <si>
    <t>LC-0541</t>
  </si>
  <si>
    <t>LC-0542</t>
  </si>
  <si>
    <t>LC-0543</t>
  </si>
  <si>
    <t>LC-0544</t>
  </si>
  <si>
    <t>LC-0545</t>
  </si>
  <si>
    <t>LC-0546</t>
  </si>
  <si>
    <t>LC-0547</t>
  </si>
  <si>
    <t>LC-0548</t>
  </si>
  <si>
    <t>LC-0549</t>
  </si>
  <si>
    <t>LC-0550</t>
  </si>
  <si>
    <t>LC-0551</t>
  </si>
  <si>
    <t>LC-0552</t>
  </si>
  <si>
    <t>LC-0553</t>
  </si>
  <si>
    <t>LC-0554</t>
  </si>
  <si>
    <t>LC-0555</t>
  </si>
  <si>
    <t>LC-0556</t>
  </si>
  <si>
    <t>LC-0557</t>
  </si>
  <si>
    <t>LC-0558</t>
  </si>
  <si>
    <t>LC-0559</t>
  </si>
  <si>
    <t>LC-0560</t>
  </si>
  <si>
    <t>LC-0561</t>
  </si>
  <si>
    <t>LC-0562</t>
  </si>
  <si>
    <t>LC-0563</t>
  </si>
  <si>
    <t>LC-0564</t>
  </si>
  <si>
    <t>LC-0565</t>
  </si>
  <si>
    <t>LC-0566</t>
  </si>
  <si>
    <t>LC-0567</t>
  </si>
  <si>
    <t>LC-0568</t>
  </si>
  <si>
    <t>LC-0569</t>
  </si>
  <si>
    <t>LC-0570</t>
  </si>
  <si>
    <t>LC-0571</t>
  </si>
  <si>
    <t>LC-0572</t>
  </si>
  <si>
    <t>LC-0573</t>
  </si>
  <si>
    <t>LC-0574</t>
  </si>
  <si>
    <t>LC-0575</t>
  </si>
  <si>
    <t>LC-0576</t>
  </si>
  <si>
    <t>LC-0577</t>
  </si>
  <si>
    <t>LC-0578</t>
  </si>
  <si>
    <t>LC-0579</t>
  </si>
  <si>
    <t>LC-0580</t>
  </si>
  <si>
    <t>LC-0581</t>
  </si>
  <si>
    <t>LC-0582</t>
  </si>
  <si>
    <t>LC-0583</t>
  </si>
  <si>
    <t>LC-0584</t>
  </si>
  <si>
    <t>LC-0585</t>
  </si>
  <si>
    <t>LC-0586</t>
  </si>
  <si>
    <t>LC-0587</t>
  </si>
  <si>
    <t>LC-0588</t>
  </si>
  <si>
    <t>LC-0589</t>
  </si>
  <si>
    <t>LC-0590</t>
  </si>
  <si>
    <t>LC-0591</t>
  </si>
  <si>
    <t>LC-0592</t>
  </si>
  <si>
    <t>LC-0593</t>
  </si>
  <si>
    <t>LC-0594</t>
  </si>
  <si>
    <t>LC-0595</t>
  </si>
  <si>
    <t>LC-0596</t>
  </si>
  <si>
    <t>LC-0597</t>
  </si>
  <si>
    <t>LC-0598</t>
  </si>
  <si>
    <t>LC-0599</t>
  </si>
  <si>
    <t>LC-0600</t>
  </si>
  <si>
    <t>LC-0601</t>
  </si>
  <si>
    <t>LC-0602</t>
  </si>
  <si>
    <t>LC-0603</t>
  </si>
  <si>
    <t>LC-0604</t>
  </si>
  <si>
    <t>LC-0605</t>
  </si>
  <si>
    <t>LC-0606</t>
  </si>
  <si>
    <t>LC-0607</t>
  </si>
  <si>
    <t>LC-0608</t>
  </si>
  <si>
    <t>LC-0609</t>
  </si>
  <si>
    <t>LC-0610</t>
  </si>
  <si>
    <t>LC-0611</t>
  </si>
  <si>
    <t>LC-0612</t>
  </si>
  <si>
    <t>LC-0613</t>
  </si>
  <si>
    <t>LC-0614</t>
  </si>
  <si>
    <t>LC-0615</t>
  </si>
  <si>
    <t>LC-0616</t>
  </si>
  <si>
    <t>LC-0617</t>
  </si>
  <si>
    <t>LC-0618</t>
  </si>
  <si>
    <t>LC-0619</t>
  </si>
  <si>
    <t>LC-0620</t>
  </si>
  <si>
    <t>LC-0621</t>
  </si>
  <si>
    <t>LC-0622</t>
  </si>
  <si>
    <t>LC-0623</t>
  </si>
  <si>
    <t>LC-0624</t>
  </si>
  <si>
    <t>LC-0625</t>
  </si>
  <si>
    <t>LC-0626</t>
  </si>
  <si>
    <t>LC-0627</t>
  </si>
  <si>
    <t>LC-0628</t>
  </si>
  <si>
    <t>LC-0629</t>
  </si>
  <si>
    <t>LC-0630</t>
  </si>
  <si>
    <t>LC-0631</t>
  </si>
  <si>
    <t>LC-0632</t>
  </si>
  <si>
    <t>LC-0633</t>
  </si>
  <si>
    <t>LC-0634</t>
  </si>
  <si>
    <t>LC-0635</t>
  </si>
  <si>
    <t>LC-0636</t>
  </si>
  <si>
    <t>LC-0637</t>
  </si>
  <si>
    <t>LC-0638</t>
  </si>
  <si>
    <t>LC-0639</t>
  </si>
  <si>
    <t>LC-0640</t>
  </si>
  <si>
    <t>LC-0641</t>
  </si>
  <si>
    <t>LC-0642</t>
  </si>
  <si>
    <t>LC-0643</t>
  </si>
  <si>
    <t>LC-0644</t>
  </si>
  <si>
    <t>LC-0645</t>
  </si>
  <si>
    <t>LC-0646</t>
  </si>
  <si>
    <t>LC-0647</t>
  </si>
  <si>
    <t>LC-0648</t>
  </si>
  <si>
    <t>LC-0649</t>
  </si>
  <si>
    <t>LC-0650</t>
  </si>
  <si>
    <t>LC-0651</t>
  </si>
  <si>
    <t>LC-0652</t>
  </si>
  <si>
    <t>LC-0653</t>
  </si>
  <si>
    <t>LC-0654</t>
  </si>
  <si>
    <t>LC-0655</t>
  </si>
  <si>
    <t>LC-0656</t>
  </si>
  <si>
    <t>LC-0657</t>
  </si>
  <si>
    <t>LC-0658</t>
  </si>
  <si>
    <t>LC-0659</t>
  </si>
  <si>
    <t>LC-0660</t>
  </si>
  <si>
    <t>LC-0661</t>
  </si>
  <si>
    <t>LC-0662</t>
  </si>
  <si>
    <t>LC-0663</t>
  </si>
  <si>
    <t>LC-0664</t>
  </si>
  <si>
    <t>LC-0665</t>
  </si>
  <si>
    <t>LC-0666</t>
  </si>
  <si>
    <t>LC-0667</t>
  </si>
  <si>
    <t>LC-0668</t>
  </si>
  <si>
    <t>LC-0669</t>
  </si>
  <si>
    <t>LC-0670</t>
  </si>
  <si>
    <t>LC-0671</t>
  </si>
  <si>
    <t>LC-0672</t>
  </si>
  <si>
    <t>LC-0673</t>
  </si>
  <si>
    <t>LC-0674</t>
  </si>
  <si>
    <t>LC-0675</t>
  </si>
  <si>
    <t>LC-0676</t>
  </si>
  <si>
    <t>LC-0677</t>
  </si>
  <si>
    <t>LC-0678</t>
  </si>
  <si>
    <t>LC-0679</t>
  </si>
  <si>
    <t>LC-0680</t>
  </si>
  <si>
    <t>LC-0681</t>
  </si>
  <si>
    <t>LC-0682</t>
  </si>
  <si>
    <t>LC-0683</t>
  </si>
  <si>
    <t>LC-0684</t>
  </si>
  <si>
    <t>LC-0685</t>
  </si>
  <si>
    <t>LC-0686</t>
  </si>
  <si>
    <t>LC-0687</t>
  </si>
  <si>
    <t>LC-0688</t>
  </si>
  <si>
    <t>LC-0689</t>
  </si>
  <si>
    <t>LC-0690</t>
  </si>
  <si>
    <t>LC-0691</t>
  </si>
  <si>
    <t>LC-0692</t>
  </si>
  <si>
    <t>LC-0693</t>
  </si>
  <si>
    <t>LC-0694</t>
  </si>
  <si>
    <t>LC-0695</t>
  </si>
  <si>
    <t>LC-0696</t>
  </si>
  <si>
    <t>LC-0697</t>
  </si>
  <si>
    <t>LC-0698</t>
  </si>
  <si>
    <t>LC-0699</t>
  </si>
  <si>
    <t>LC-0700</t>
  </si>
  <si>
    <t>LC-0701</t>
  </si>
  <si>
    <t>LC-0702</t>
  </si>
  <si>
    <t>LC-0703</t>
  </si>
  <si>
    <t>LC-0704</t>
  </si>
  <si>
    <t>LC-0705</t>
  </si>
  <si>
    <t>LC-0706</t>
  </si>
  <si>
    <t>LC-0707</t>
  </si>
  <si>
    <t>LC-0708</t>
  </si>
  <si>
    <t>LC-0709</t>
  </si>
  <si>
    <t>LC-0710</t>
  </si>
  <si>
    <t>LC-0711</t>
  </si>
  <si>
    <t>LC-0712</t>
  </si>
  <si>
    <t>LC-0713</t>
  </si>
  <si>
    <t>LC-0714</t>
  </si>
  <si>
    <t>LC-0715</t>
  </si>
  <si>
    <t>LC-0716</t>
  </si>
  <si>
    <t>LC-0717</t>
  </si>
  <si>
    <t>LC-0718</t>
  </si>
  <si>
    <t>LC-0719</t>
  </si>
  <si>
    <t>LC-0720</t>
  </si>
  <si>
    <t>LC-0721</t>
  </si>
  <si>
    <t>LC-0722</t>
  </si>
  <si>
    <t>LC-0723</t>
  </si>
  <si>
    <t>LC-0724</t>
  </si>
  <si>
    <t>LC-0725</t>
  </si>
  <si>
    <t>LC-0726</t>
  </si>
  <si>
    <t>LC-0727</t>
  </si>
  <si>
    <t>LC-0728</t>
  </si>
  <si>
    <t>LC-0729</t>
  </si>
  <si>
    <t>LC-0730</t>
  </si>
  <si>
    <t>LC-0731</t>
  </si>
  <si>
    <t>LC-0732</t>
  </si>
  <si>
    <t>LC-0733</t>
  </si>
  <si>
    <t>LC-0734</t>
  </si>
  <si>
    <t>LC-0735</t>
  </si>
  <si>
    <t>LC-0736</t>
  </si>
  <si>
    <t>LC-0737</t>
  </si>
  <si>
    <t>LC-0738</t>
  </si>
  <si>
    <t>LC-0739</t>
  </si>
  <si>
    <t>LC-0740</t>
  </si>
  <si>
    <t>LC-0741</t>
  </si>
  <si>
    <t>LC-0742</t>
  </si>
  <si>
    <t>LC-0743</t>
  </si>
  <si>
    <t>LC-0744</t>
  </si>
  <si>
    <t>LC-0745</t>
  </si>
  <si>
    <t>LC-0746</t>
  </si>
  <si>
    <t>LC-0747</t>
  </si>
  <si>
    <t>LC-0748</t>
  </si>
  <si>
    <t>LC-0749</t>
  </si>
  <si>
    <t>LC-0750</t>
  </si>
  <si>
    <t>LC-0751</t>
  </si>
  <si>
    <t>LC-0752</t>
  </si>
  <si>
    <t>LC-0753</t>
  </si>
  <si>
    <t>LC-0754</t>
  </si>
  <si>
    <t>LC-0755</t>
  </si>
  <si>
    <t>LC-0756</t>
  </si>
  <si>
    <t>LC-0757</t>
  </si>
  <si>
    <t>LC-0758</t>
  </si>
  <si>
    <t>LC-0759</t>
  </si>
  <si>
    <t>LC-0760</t>
  </si>
  <si>
    <t>LC-0761</t>
  </si>
  <si>
    <t>LC-0762</t>
  </si>
  <si>
    <t>LC-0763</t>
  </si>
  <si>
    <t>LC-0764</t>
  </si>
  <si>
    <t>LC-0765</t>
  </si>
  <si>
    <t>LC-0766</t>
  </si>
  <si>
    <t>LC-0767</t>
  </si>
  <si>
    <t>LC-0768</t>
  </si>
  <si>
    <t>LC-0769</t>
  </si>
  <si>
    <t>LC-0770</t>
  </si>
  <si>
    <t>LC-0771</t>
  </si>
  <si>
    <t>LC-0772</t>
  </si>
  <si>
    <t>LC-0773</t>
  </si>
  <si>
    <t>LC-0774</t>
  </si>
  <si>
    <t>LC-0775</t>
  </si>
  <si>
    <t>LC-0776</t>
  </si>
  <si>
    <t>LC-0777</t>
  </si>
  <si>
    <t>LC-0778</t>
  </si>
  <si>
    <t>LC-0779</t>
  </si>
  <si>
    <t>LC-0780</t>
  </si>
  <si>
    <t>LC-0781</t>
  </si>
  <si>
    <t>LC-0782</t>
  </si>
  <si>
    <t>LC-0783</t>
  </si>
  <si>
    <t>LC-0784</t>
  </si>
  <si>
    <t>LC-0785</t>
  </si>
  <si>
    <t>LC-0786</t>
  </si>
  <si>
    <t>LC-0787</t>
  </si>
  <si>
    <t>LC-0788</t>
  </si>
  <si>
    <t>LC-0789</t>
  </si>
  <si>
    <t>LC-0790</t>
  </si>
  <si>
    <t>LC-0791</t>
  </si>
  <si>
    <t>LC-0792</t>
  </si>
  <si>
    <t>LC-0793</t>
  </si>
  <si>
    <t>LC-0794</t>
  </si>
  <si>
    <t>LC-0795</t>
  </si>
  <si>
    <t>LC-0796</t>
  </si>
  <si>
    <t>LC-0797</t>
  </si>
  <si>
    <t>LC-0798</t>
  </si>
  <si>
    <t>LC-0799</t>
  </si>
  <si>
    <t>LC-0800</t>
  </si>
  <si>
    <t>LC-0801</t>
  </si>
  <si>
    <t>LC-0802</t>
  </si>
  <si>
    <t>LC-0803</t>
  </si>
  <si>
    <t>LC-0804</t>
  </si>
  <si>
    <t>LC-0805</t>
  </si>
  <si>
    <t>LC-0806</t>
  </si>
  <si>
    <t>LC-0807</t>
  </si>
  <si>
    <t>LC-0808</t>
  </si>
  <si>
    <t>LC-0809</t>
  </si>
  <si>
    <t>LC-0810</t>
  </si>
  <si>
    <t>LC-0811</t>
  </si>
  <si>
    <t>LC-0812</t>
  </si>
  <si>
    <t>LC-0813</t>
  </si>
  <si>
    <t>LC-0814</t>
  </si>
  <si>
    <t>LC-0815</t>
  </si>
  <si>
    <t>LC-0816</t>
  </si>
  <si>
    <t>LC-0817</t>
  </si>
  <si>
    <t>LC-0818</t>
  </si>
  <si>
    <t>LC-0819</t>
  </si>
  <si>
    <t>LC-0820</t>
  </si>
  <si>
    <t>LC-0821</t>
  </si>
  <si>
    <t>LC-0822</t>
  </si>
  <si>
    <t>LC-0823</t>
  </si>
  <si>
    <t>LC-0824</t>
  </si>
  <si>
    <t>LC-0825</t>
  </si>
  <si>
    <t>LC-0826</t>
  </si>
  <si>
    <t>LC-0827</t>
  </si>
  <si>
    <t>LC-0828</t>
  </si>
  <si>
    <t>LC-0829</t>
  </si>
  <si>
    <t>LC-0830</t>
  </si>
  <si>
    <t>LC-0831</t>
  </si>
  <si>
    <t>LC-0832</t>
  </si>
  <si>
    <t>LC-0833</t>
  </si>
  <si>
    <t>LC-0834</t>
  </si>
  <si>
    <t>LC-0835</t>
  </si>
  <si>
    <t>LC-0836</t>
  </si>
  <si>
    <t>LC-0837</t>
  </si>
  <si>
    <t>LC-0838</t>
  </si>
  <si>
    <t>LC-0839</t>
  </si>
  <si>
    <t>LC-0840</t>
  </si>
  <si>
    <t>LC-0841</t>
  </si>
  <si>
    <t>LC-0842</t>
  </si>
  <si>
    <t>LC-0843</t>
  </si>
  <si>
    <t>LC-0844</t>
  </si>
  <si>
    <t>LC-0845</t>
  </si>
  <si>
    <t>LC-0846</t>
  </si>
  <si>
    <t>LC-0847</t>
  </si>
  <si>
    <t>LC-0848</t>
  </si>
  <si>
    <t>LC-0849</t>
  </si>
  <si>
    <t>LC-0850</t>
  </si>
  <si>
    <t>LC-0851</t>
  </si>
  <si>
    <t>LC-0852</t>
  </si>
  <si>
    <t>LC-0853</t>
  </si>
  <si>
    <t>LC-0854</t>
  </si>
  <si>
    <t>LC-0855</t>
  </si>
  <si>
    <t>LC-0856</t>
  </si>
  <si>
    <t>LC-0857</t>
  </si>
  <si>
    <t>LC-0858</t>
  </si>
  <si>
    <t>LC-0859</t>
  </si>
  <si>
    <t>LC-0860</t>
  </si>
  <si>
    <t>LC-0861</t>
  </si>
  <si>
    <t>LC-0862</t>
  </si>
  <si>
    <t>LC-0863</t>
  </si>
  <si>
    <t>LC-0864</t>
  </si>
  <si>
    <t>LC-0865</t>
  </si>
  <si>
    <t>LC-0866</t>
  </si>
  <si>
    <t>LC-0867</t>
  </si>
  <si>
    <t>LC-0868</t>
  </si>
  <si>
    <t>LC-0869</t>
  </si>
  <si>
    <t>LC-0870</t>
  </si>
  <si>
    <t>LC-0871</t>
  </si>
  <si>
    <t>LC-0872</t>
  </si>
  <si>
    <t>LC-0873</t>
  </si>
  <si>
    <t>LC-0874</t>
  </si>
  <si>
    <t>LC-0875</t>
  </si>
  <si>
    <t>LC-0876</t>
  </si>
  <si>
    <t>LC-0877</t>
  </si>
  <si>
    <t>LC-0878</t>
  </si>
  <si>
    <t>LC-0879</t>
  </si>
  <si>
    <t>LC-0880</t>
  </si>
  <si>
    <t>LC-0881</t>
  </si>
  <si>
    <t>LC-0882</t>
  </si>
  <si>
    <t>LC-0883</t>
  </si>
  <si>
    <t>LC-0884</t>
  </si>
  <si>
    <t>LC-0885</t>
  </si>
  <si>
    <t>LC-0886</t>
  </si>
  <si>
    <t>LC-0887</t>
  </si>
  <si>
    <t>LC-0888</t>
  </si>
  <si>
    <t>LC-0889</t>
  </si>
  <si>
    <t>LC-0890</t>
  </si>
  <si>
    <t>LC-0891</t>
  </si>
  <si>
    <t>LC-0892</t>
  </si>
  <si>
    <t>LC-0893</t>
  </si>
  <si>
    <t>LC-0894</t>
  </si>
  <si>
    <t>LC-0895</t>
  </si>
  <si>
    <t>LC-0896</t>
  </si>
  <si>
    <t>LC-0897</t>
  </si>
  <si>
    <t>LC-0898</t>
  </si>
  <si>
    <t>LC-0899</t>
  </si>
  <si>
    <t>LC-0900</t>
  </si>
  <si>
    <t>LC-0901</t>
  </si>
  <si>
    <t>LC-0902</t>
  </si>
  <si>
    <t>LC-0903</t>
  </si>
  <si>
    <t>LC-0904</t>
  </si>
  <si>
    <t>LC-0905</t>
  </si>
  <si>
    <t>LC-0906</t>
  </si>
  <si>
    <t>LC-0907</t>
  </si>
  <si>
    <t>LC-0908</t>
  </si>
  <si>
    <t>LC-0909</t>
  </si>
  <si>
    <t>LC-0910</t>
  </si>
  <si>
    <t>LC-0911</t>
  </si>
  <si>
    <t>LC-0912</t>
  </si>
  <si>
    <t>LC-0913</t>
  </si>
  <si>
    <t>LC-0914</t>
  </si>
  <si>
    <t>LC-0915</t>
  </si>
  <si>
    <t>LC-0916</t>
  </si>
  <si>
    <t>LC-0917</t>
  </si>
  <si>
    <t>LC-0918</t>
  </si>
  <si>
    <t>LC-0919</t>
  </si>
  <si>
    <t>LC-0920</t>
  </si>
  <si>
    <t>LC-0921</t>
  </si>
  <si>
    <t>LC-0922</t>
  </si>
  <si>
    <t>LC-0923</t>
  </si>
  <si>
    <t>LC-0924</t>
  </si>
  <si>
    <t>LC-0925</t>
  </si>
  <si>
    <t>LC-0926</t>
  </si>
  <si>
    <t>LC-0927</t>
  </si>
  <si>
    <t>LC-0928</t>
  </si>
  <si>
    <t>LC-0929</t>
  </si>
  <si>
    <t>LC-0930</t>
  </si>
  <si>
    <t>LC-0931</t>
  </si>
  <si>
    <t>LC-0932</t>
  </si>
  <si>
    <t>LC-0933</t>
  </si>
  <si>
    <t>LC-0934</t>
  </si>
  <si>
    <t>LC-0935</t>
  </si>
  <si>
    <t>LC-0936</t>
  </si>
  <si>
    <t>LC-0937</t>
  </si>
  <si>
    <t>LC-0938</t>
  </si>
  <si>
    <t>LC-0939</t>
  </si>
  <si>
    <t>LC-0940</t>
  </si>
  <si>
    <t>LC-0941</t>
  </si>
  <si>
    <t>LC-0942</t>
  </si>
  <si>
    <t>LC-0943</t>
  </si>
  <si>
    <t>LC-0944</t>
  </si>
  <si>
    <t>LC-0945</t>
  </si>
  <si>
    <t>LC-0946</t>
  </si>
  <si>
    <t>LC-0947</t>
  </si>
  <si>
    <t>LC-0948</t>
  </si>
  <si>
    <t>LC-0949</t>
  </si>
  <si>
    <t>LC-0950</t>
  </si>
  <si>
    <t>LC-0951</t>
  </si>
  <si>
    <t>LC-0952</t>
  </si>
  <si>
    <t>LC-0953</t>
  </si>
  <si>
    <t>LC-0954</t>
  </si>
  <si>
    <t>LC-0955</t>
  </si>
  <si>
    <t>LC-0956</t>
  </si>
  <si>
    <t>LC-0957</t>
  </si>
  <si>
    <t>LC-0958</t>
  </si>
  <si>
    <t>LC-0959</t>
  </si>
  <si>
    <t>LC-0960</t>
  </si>
  <si>
    <t>LC-0961</t>
  </si>
  <si>
    <t>LC-0962</t>
  </si>
  <si>
    <t>LC-0963</t>
  </si>
  <si>
    <t>LC-0964</t>
  </si>
  <si>
    <t>LC-0965</t>
  </si>
  <si>
    <t>LC-0966</t>
  </si>
  <si>
    <t>LC-0967</t>
  </si>
  <si>
    <t>LC-0968</t>
  </si>
  <si>
    <t>LC-0969</t>
  </si>
  <si>
    <t>LC-0970</t>
  </si>
  <si>
    <t>LC-0971</t>
  </si>
  <si>
    <t>LC-0972</t>
  </si>
  <si>
    <t>LC-0973</t>
  </si>
  <si>
    <t>LC-0974</t>
  </si>
  <si>
    <t>LC-0975</t>
  </si>
  <si>
    <t>LC-0976</t>
  </si>
  <si>
    <t>LC-0977</t>
  </si>
  <si>
    <t>LC-0978</t>
  </si>
  <si>
    <t>LC-0979</t>
  </si>
  <si>
    <t>LC-0980</t>
  </si>
  <si>
    <t>LC-0981</t>
  </si>
  <si>
    <t>LC-0982</t>
  </si>
  <si>
    <t>LC-0983</t>
  </si>
  <si>
    <t>LC-0984</t>
  </si>
  <si>
    <t>LC-0985</t>
  </si>
  <si>
    <t>LC-0986</t>
  </si>
  <si>
    <t>LC-0987</t>
  </si>
  <si>
    <t>LC-0988</t>
  </si>
  <si>
    <t>LC-0989</t>
  </si>
  <si>
    <t>LC-0990</t>
  </si>
  <si>
    <t>LC-0991</t>
  </si>
  <si>
    <t>LC-0992</t>
  </si>
  <si>
    <t>LC-0993</t>
  </si>
  <si>
    <t>LC-0994</t>
  </si>
  <si>
    <t>LC-0995</t>
  </si>
  <si>
    <t>LC-0996</t>
  </si>
  <si>
    <t>LC-0997</t>
  </si>
  <si>
    <t>LC-0998</t>
  </si>
  <si>
    <t>LC-0999</t>
  </si>
  <si>
    <t>LC-1000</t>
  </si>
  <si>
    <t>LC-1001</t>
  </si>
  <si>
    <t>LC-1002</t>
  </si>
  <si>
    <t>LC-1003</t>
  </si>
  <si>
    <t>LC-1004</t>
  </si>
  <si>
    <t>LC-1005</t>
  </si>
  <si>
    <t>LC-1006</t>
  </si>
  <si>
    <t>LC-1007</t>
  </si>
  <si>
    <t>LC-1008</t>
  </si>
  <si>
    <t>LC-1009</t>
  </si>
  <si>
    <t>LC-1010</t>
  </si>
  <si>
    <t>LC-1011</t>
  </si>
  <si>
    <t>LC-1012</t>
  </si>
  <si>
    <t>LC-1013</t>
  </si>
  <si>
    <t>LC-1014</t>
  </si>
  <si>
    <t>LC-1015</t>
  </si>
  <si>
    <t>LC-1016</t>
  </si>
  <si>
    <t>LC-1017</t>
  </si>
  <si>
    <t>LC-1018</t>
  </si>
  <si>
    <t>LC-1019</t>
  </si>
  <si>
    <t>LC-1020</t>
  </si>
  <si>
    <t>LC-1021</t>
  </si>
  <si>
    <t>LC-1022</t>
  </si>
  <si>
    <t>LC-1023</t>
  </si>
  <si>
    <t>LC-1024</t>
  </si>
  <si>
    <t>LC-1025</t>
  </si>
  <si>
    <t>LC-1026</t>
  </si>
  <si>
    <t>LC-1027</t>
  </si>
  <si>
    <t>LC-1028</t>
  </si>
  <si>
    <t>LC-1029</t>
  </si>
  <si>
    <t>LC-1030</t>
  </si>
  <si>
    <t>LC-1031</t>
  </si>
  <si>
    <t>LC-1032</t>
  </si>
  <si>
    <t>LC-1033</t>
  </si>
  <si>
    <t>LC-1034</t>
  </si>
  <si>
    <t>LC-1035</t>
  </si>
  <si>
    <t>LC-1036</t>
  </si>
  <si>
    <t>LC-1037</t>
  </si>
  <si>
    <t>LC-1038</t>
  </si>
  <si>
    <t>LC-1039</t>
  </si>
  <si>
    <t>LC-1040</t>
  </si>
  <si>
    <t>LC-1041</t>
  </si>
  <si>
    <t>LC-1042</t>
  </si>
  <si>
    <t>LC-1043</t>
  </si>
  <si>
    <t>LC-1044</t>
  </si>
  <si>
    <t>LC-1045</t>
  </si>
  <si>
    <t>LC-1046</t>
  </si>
  <si>
    <t>LC-1047</t>
  </si>
  <si>
    <t>LC-1048</t>
  </si>
  <si>
    <t>LC-1049</t>
  </si>
  <si>
    <t>LC-1050</t>
  </si>
  <si>
    <t>LC-1051</t>
  </si>
  <si>
    <t>LC-1052</t>
  </si>
  <si>
    <t>LC-1053</t>
  </si>
  <si>
    <t>LC-1054</t>
  </si>
  <si>
    <t>LC-1055</t>
  </si>
  <si>
    <t>LC-1056</t>
  </si>
  <si>
    <t>LC-1057</t>
  </si>
  <si>
    <t>LC-1058</t>
  </si>
  <si>
    <t>LC-1059</t>
  </si>
  <si>
    <t>LC-1060</t>
  </si>
  <si>
    <t>LC-1061</t>
  </si>
  <si>
    <t>LC-1062</t>
  </si>
  <si>
    <t>LC-1063</t>
  </si>
  <si>
    <t>LC-1064</t>
  </si>
  <si>
    <t>LC-1065</t>
  </si>
  <si>
    <t>LC-1066</t>
  </si>
  <si>
    <t>LC-1067</t>
  </si>
  <si>
    <t>LC-1068</t>
  </si>
  <si>
    <t>LC-1069</t>
  </si>
  <si>
    <t>LC-1070</t>
  </si>
  <si>
    <t>LC-1071</t>
  </si>
  <si>
    <t>LC-1072</t>
  </si>
  <si>
    <t>LC-1073</t>
  </si>
  <si>
    <t>LC-1074</t>
  </si>
  <si>
    <t>LC-1075</t>
  </si>
  <si>
    <t>LC-1076</t>
  </si>
  <si>
    <t>LC-1077</t>
  </si>
  <si>
    <t>LC-1078</t>
  </si>
  <si>
    <t>LC-1079</t>
  </si>
  <si>
    <t>LC-1080</t>
  </si>
  <si>
    <t>LC-1081</t>
  </si>
  <si>
    <t>LC-1082</t>
  </si>
  <si>
    <t>LC-1083</t>
  </si>
  <si>
    <t>LC-1084</t>
  </si>
  <si>
    <t>LC-1085</t>
  </si>
  <si>
    <t>LC-1086</t>
  </si>
  <si>
    <t>LC-1087</t>
  </si>
  <si>
    <t>LC-1088</t>
  </si>
  <si>
    <t>LC-1089</t>
  </si>
  <si>
    <t>LC-1090</t>
  </si>
  <si>
    <t>LC-1091</t>
  </si>
  <si>
    <t>LC-1092</t>
  </si>
  <si>
    <t>LC-1093</t>
  </si>
  <si>
    <t>LC-1094</t>
  </si>
  <si>
    <t>LC-1095</t>
  </si>
  <si>
    <t>LC-1096</t>
  </si>
  <si>
    <t>LC-1097</t>
  </si>
  <si>
    <t>LC-1098</t>
  </si>
  <si>
    <t>LC-1099</t>
  </si>
  <si>
    <t>LC-1100</t>
  </si>
  <si>
    <t>LC-1101</t>
  </si>
  <si>
    <t>LC-1102</t>
  </si>
  <si>
    <t>LC-1103</t>
  </si>
  <si>
    <t>LC-1104</t>
  </si>
  <si>
    <t>LC-1105</t>
  </si>
  <si>
    <t>LC-1106</t>
  </si>
  <si>
    <t>LC-1107</t>
  </si>
  <si>
    <t>LC-1108</t>
  </si>
  <si>
    <t>LC-1109</t>
  </si>
  <si>
    <t>LC-1110</t>
  </si>
  <si>
    <t>LC-1111</t>
  </si>
  <si>
    <t>LC-1112</t>
  </si>
  <si>
    <t>LC-1113</t>
  </si>
  <si>
    <t>LC-1114</t>
  </si>
  <si>
    <t>LC-1115</t>
  </si>
  <si>
    <t>LC-1116</t>
  </si>
  <si>
    <t>LC-1117</t>
  </si>
  <si>
    <t>LC-1118</t>
  </si>
  <si>
    <t>LC-1119</t>
  </si>
  <si>
    <t>LC-1120</t>
  </si>
  <si>
    <t>LC-1121</t>
  </si>
  <si>
    <t>LC-1122</t>
  </si>
  <si>
    <t>LC-1123</t>
  </si>
  <si>
    <t>LC-1124</t>
  </si>
  <si>
    <t>LC-1125</t>
  </si>
  <si>
    <t>LC-1126</t>
  </si>
  <si>
    <t>LC-1127</t>
  </si>
  <si>
    <t>LC-1128</t>
  </si>
  <si>
    <t>LC-1129</t>
  </si>
  <si>
    <t>LC-1130</t>
  </si>
  <si>
    <t>LC-1131</t>
  </si>
  <si>
    <t>LC-1132</t>
  </si>
  <si>
    <t>LC-1133</t>
  </si>
  <si>
    <t>LC-1134</t>
  </si>
  <si>
    <t>LC-1135</t>
  </si>
  <si>
    <t>LC-1136</t>
  </si>
  <si>
    <t>LC-1137</t>
  </si>
  <si>
    <t>LC-1138</t>
  </si>
  <si>
    <t>LC-1139</t>
  </si>
  <si>
    <t>LC-1140</t>
  </si>
  <si>
    <t>LC-1141</t>
  </si>
  <si>
    <t>LC-1142</t>
  </si>
  <si>
    <t>LC-1143</t>
  </si>
  <si>
    <t>LC-1144</t>
  </si>
  <si>
    <t>LC-1145</t>
  </si>
  <si>
    <t>LC-1146</t>
  </si>
  <si>
    <t>LC-1147</t>
  </si>
  <si>
    <t>LC-1148</t>
  </si>
  <si>
    <t>LC-1149</t>
  </si>
  <si>
    <t>LC-1150</t>
  </si>
  <si>
    <t>LC-1151</t>
  </si>
  <si>
    <t>LC-1152</t>
  </si>
  <si>
    <t>LC-1153</t>
  </si>
  <si>
    <t>LC-1154</t>
  </si>
  <si>
    <t>LC-1155</t>
  </si>
  <si>
    <t>LC-1156</t>
  </si>
  <si>
    <t>LC-1157</t>
  </si>
  <si>
    <t>LC-1158</t>
  </si>
  <si>
    <t>LC-1159</t>
  </si>
  <si>
    <t>LC-1160</t>
  </si>
  <si>
    <t>LC-1161</t>
  </si>
  <si>
    <t>LC-1162</t>
  </si>
  <si>
    <t>LC-1163</t>
  </si>
  <si>
    <t>LC-1164</t>
  </si>
  <si>
    <t>LC-1165</t>
  </si>
  <si>
    <t>LC-1166</t>
  </si>
  <si>
    <t>LC-1167</t>
  </si>
  <si>
    <t>LC-1168</t>
  </si>
  <si>
    <t>LC-1169</t>
  </si>
  <si>
    <t>LC-1170</t>
  </si>
  <si>
    <t>LC-1171</t>
  </si>
  <si>
    <t>LC-1172</t>
  </si>
  <si>
    <t>LC-1173</t>
  </si>
  <si>
    <t>LC-1174</t>
  </si>
  <si>
    <t>LC-1175</t>
  </si>
  <si>
    <t>LC-1176</t>
  </si>
  <si>
    <t>LC-1177</t>
  </si>
  <si>
    <t>LC-1178</t>
  </si>
  <si>
    <t>LC-1179</t>
  </si>
  <si>
    <t>LC-1180</t>
  </si>
  <si>
    <t>LC-1181</t>
  </si>
  <si>
    <t>LC-1182</t>
  </si>
  <si>
    <t>LC-1183</t>
  </si>
  <si>
    <t>LC-1184</t>
  </si>
  <si>
    <t>LC-1185</t>
  </si>
  <si>
    <t>LC-1186</t>
  </si>
  <si>
    <t>LC-1187</t>
  </si>
  <si>
    <t>LC-1188</t>
  </si>
  <si>
    <t>LC-1189</t>
  </si>
  <si>
    <t>LC-1190</t>
  </si>
  <si>
    <t>LC-1191</t>
  </si>
  <si>
    <t>LC-1192</t>
  </si>
  <si>
    <t>LC-1193</t>
  </si>
  <si>
    <t>LC-1194</t>
  </si>
  <si>
    <t>LC-1195</t>
  </si>
  <si>
    <t>LC-1196</t>
  </si>
  <si>
    <t>LC-1197</t>
  </si>
  <si>
    <t>LC-1198</t>
  </si>
  <si>
    <t>LC-1199</t>
  </si>
  <si>
    <t>LC-1200</t>
  </si>
  <si>
    <t>LC-1201</t>
  </si>
  <si>
    <t>LC-1202</t>
  </si>
  <si>
    <t>LC-1203</t>
  </si>
  <si>
    <t>LC-1204</t>
  </si>
  <si>
    <t>LC-1205</t>
  </si>
  <si>
    <t>LC-1206</t>
  </si>
  <si>
    <t>LC-1207</t>
  </si>
  <si>
    <t>LC-1208</t>
  </si>
  <si>
    <t>LC-1209</t>
  </si>
  <si>
    <t>LC-1210</t>
  </si>
  <si>
    <t>LC-1211</t>
  </si>
  <si>
    <t>LC-1212</t>
  </si>
  <si>
    <t>LC-1213</t>
  </si>
  <si>
    <t>LC-1214</t>
  </si>
  <si>
    <t>LC-1215</t>
  </si>
  <si>
    <t>LC-1216</t>
  </si>
  <si>
    <t>LC-1217</t>
  </si>
  <si>
    <t>LC-1218</t>
  </si>
  <si>
    <t>LC-1219</t>
  </si>
  <si>
    <t>LC-1220</t>
  </si>
  <si>
    <t>LC-1221</t>
  </si>
  <si>
    <t>LC-1222</t>
  </si>
  <si>
    <t>LC-1223</t>
  </si>
  <si>
    <t>LC-1224</t>
  </si>
  <si>
    <t>LC-1225</t>
  </si>
  <si>
    <t>LC-1226</t>
  </si>
  <si>
    <t>LC-1227</t>
  </si>
  <si>
    <t>LC-1228</t>
  </si>
  <si>
    <t>LC-1229</t>
  </si>
  <si>
    <t>LC-1230</t>
  </si>
  <si>
    <t>LC-1231</t>
  </si>
  <si>
    <t>LC-1232</t>
  </si>
  <si>
    <t>LC-1233</t>
  </si>
  <si>
    <t>LC-1234</t>
  </si>
  <si>
    <t>LC-1235</t>
  </si>
  <si>
    <t>LC-1236</t>
  </si>
  <si>
    <t>LC-1237</t>
  </si>
  <si>
    <t>LC-1238</t>
  </si>
  <si>
    <t>LC-1239</t>
  </si>
  <si>
    <t>LC-1240</t>
  </si>
  <si>
    <t>LC-1241</t>
  </si>
  <si>
    <t>LC-1242</t>
  </si>
  <si>
    <t>LC-1243</t>
  </si>
  <si>
    <t>LC-1244</t>
  </si>
  <si>
    <t>LC-1245</t>
  </si>
  <si>
    <t>LC-1246</t>
  </si>
  <si>
    <t>LC-1247</t>
  </si>
  <si>
    <t>LC-1248</t>
  </si>
  <si>
    <t>LC-1249</t>
  </si>
  <si>
    <t>LC-1250</t>
  </si>
  <si>
    <t>LC-1251</t>
  </si>
  <si>
    <t>LC-1252</t>
  </si>
  <si>
    <t>LC-1253</t>
  </si>
  <si>
    <t>LC-1254</t>
  </si>
  <si>
    <t>LC-1255</t>
  </si>
  <si>
    <t>LC-1256</t>
  </si>
  <si>
    <t>LC-1257</t>
  </si>
  <si>
    <t>LC-1258</t>
  </si>
  <si>
    <t>LC-1259</t>
  </si>
  <si>
    <t>LC-1260</t>
  </si>
  <si>
    <t>LC-1261</t>
  </si>
  <si>
    <t>LC-1262</t>
  </si>
  <si>
    <t>LC-1263</t>
  </si>
  <si>
    <t>LC-1264</t>
  </si>
  <si>
    <t>LC-1265</t>
  </si>
  <si>
    <t>LC-1266</t>
  </si>
  <si>
    <t>LC-1267</t>
  </si>
  <si>
    <t>LC-1268</t>
  </si>
  <si>
    <t>LC-1269</t>
  </si>
  <si>
    <t>LC-1270</t>
  </si>
  <si>
    <t>LC-1271</t>
  </si>
  <si>
    <t>LC-1272</t>
  </si>
  <si>
    <t>LC-1273</t>
  </si>
  <si>
    <t>LC-1274</t>
  </si>
  <si>
    <t>LC-1275</t>
  </si>
  <si>
    <t>LC-1276</t>
  </si>
  <si>
    <t>LC-1277</t>
  </si>
  <si>
    <t>LC-1278</t>
  </si>
  <si>
    <t>LC-1279</t>
  </si>
  <si>
    <t>LC-1280</t>
  </si>
  <si>
    <t>LC-1281</t>
  </si>
  <si>
    <t>LC-1282</t>
  </si>
  <si>
    <t>LC-1283</t>
  </si>
  <si>
    <t>LC-1284</t>
  </si>
  <si>
    <t>LC-1285</t>
  </si>
  <si>
    <t>LC-1286</t>
  </si>
  <si>
    <t>LC-1287</t>
  </si>
  <si>
    <t>LC-1288</t>
  </si>
  <si>
    <t>LC-1289</t>
  </si>
  <si>
    <t>LC-1290</t>
  </si>
  <si>
    <t>LC-1291</t>
  </si>
  <si>
    <t>LC-1292</t>
  </si>
  <si>
    <t>LC-1293</t>
  </si>
  <si>
    <t>LC-1294</t>
  </si>
  <si>
    <t>LC-1295</t>
  </si>
  <si>
    <t>LC-1296</t>
  </si>
  <si>
    <t>LC-1297</t>
  </si>
  <si>
    <t>LC-1298</t>
  </si>
  <si>
    <t>LC-1299</t>
  </si>
  <si>
    <t>LC-1300</t>
  </si>
  <si>
    <t>LC-1301</t>
  </si>
  <si>
    <t>LC-1302</t>
  </si>
  <si>
    <t>LC-1303</t>
  </si>
  <si>
    <t>LC-1304</t>
  </si>
  <si>
    <t>LC-1305</t>
  </si>
  <si>
    <t>LC-1306</t>
  </si>
  <si>
    <t>LC-1307</t>
  </si>
  <si>
    <t>LC-1308</t>
  </si>
  <si>
    <t>LC-1309</t>
  </si>
  <si>
    <t>LC-1310</t>
  </si>
  <si>
    <t>LC-1311</t>
  </si>
  <si>
    <t>LC-1312</t>
  </si>
  <si>
    <t>LC-1313</t>
  </si>
  <si>
    <t>LC-1314</t>
  </si>
  <si>
    <t>LC-1315</t>
  </si>
  <si>
    <t>LC-1316</t>
  </si>
  <si>
    <t>LC-1317</t>
  </si>
  <si>
    <t>LC-1318</t>
  </si>
  <si>
    <t>LC-1319</t>
  </si>
  <si>
    <t>LC-1320</t>
  </si>
  <si>
    <t>LC-1321</t>
  </si>
  <si>
    <t>LC-1322</t>
  </si>
  <si>
    <t>LC-1323</t>
  </si>
  <si>
    <t>LC-1324</t>
  </si>
  <si>
    <t>LC-1325</t>
  </si>
  <si>
    <t>LC-1326</t>
  </si>
  <si>
    <t>LC-1327</t>
  </si>
  <si>
    <t>LC-1328</t>
  </si>
  <si>
    <t>LC-1329</t>
  </si>
  <si>
    <t>LC-1330</t>
  </si>
  <si>
    <t>LC-1331</t>
  </si>
  <si>
    <t>LC-1332</t>
  </si>
  <si>
    <t>LC-1333</t>
  </si>
  <si>
    <t>LC-1334</t>
  </si>
  <si>
    <t>LC-1335</t>
  </si>
  <si>
    <t>LC-1336</t>
  </si>
  <si>
    <t>LC-1337</t>
  </si>
  <si>
    <t>LC-1338</t>
  </si>
  <si>
    <t>LC-1339</t>
  </si>
  <si>
    <t>LC-1340</t>
  </si>
  <si>
    <t>LC-1341</t>
  </si>
  <si>
    <t>LC-1342</t>
  </si>
  <si>
    <t>LC-1343</t>
  </si>
  <si>
    <t>LC-1344</t>
  </si>
  <si>
    <t>LC-1345</t>
  </si>
  <si>
    <t>LC-1346</t>
  </si>
  <si>
    <t>LC-1347</t>
  </si>
  <si>
    <t>LC-1348</t>
  </si>
  <si>
    <t>LC-1349</t>
  </si>
  <si>
    <t>LC-1350</t>
  </si>
  <si>
    <t>LC-1351</t>
  </si>
  <si>
    <t>LC-1352</t>
  </si>
  <si>
    <t>LC-1353</t>
  </si>
  <si>
    <t>LC-1354</t>
  </si>
  <si>
    <t>LC-1355</t>
  </si>
  <si>
    <t>LC-1356</t>
  </si>
  <si>
    <t>LC-1357</t>
  </si>
  <si>
    <t>LC-1358</t>
  </si>
  <si>
    <t>LC-1359</t>
  </si>
  <si>
    <t>LC-1360</t>
  </si>
  <si>
    <t>LC-1361</t>
  </si>
  <si>
    <t>LC-1362</t>
  </si>
  <si>
    <t>LC-1363</t>
  </si>
  <si>
    <t>LC-1364</t>
  </si>
  <si>
    <t>LC-1365</t>
  </si>
  <si>
    <t>LC-1366</t>
  </si>
  <si>
    <t>LC-1367</t>
  </si>
  <si>
    <t>LC-1368</t>
  </si>
  <si>
    <t>LC-1369</t>
  </si>
  <si>
    <t>LC-1370</t>
  </si>
  <si>
    <t>LC-1371</t>
  </si>
  <si>
    <t>LC-1372</t>
  </si>
  <si>
    <t>LC-1373</t>
  </si>
  <si>
    <t>LC-1374</t>
  </si>
  <si>
    <t>LC-1375</t>
  </si>
  <si>
    <t>LC-1376</t>
  </si>
  <si>
    <t>LC-1377</t>
  </si>
  <si>
    <t>LC-1378</t>
  </si>
  <si>
    <t>LC-1379</t>
  </si>
  <si>
    <t>LC-1380</t>
  </si>
  <si>
    <t>LC-1381</t>
  </si>
  <si>
    <t>LC-1382</t>
  </si>
  <si>
    <t>LC-1383</t>
  </si>
  <si>
    <t>LC-1384</t>
  </si>
  <si>
    <t>LC-1385</t>
  </si>
  <si>
    <t>LC-1386</t>
  </si>
  <si>
    <t>LC-1387</t>
  </si>
  <si>
    <t>LC-1388</t>
  </si>
  <si>
    <t>LC-1389</t>
  </si>
  <si>
    <t>LC-1390</t>
  </si>
  <si>
    <t>LC-1391</t>
  </si>
  <si>
    <t>LC-1392</t>
  </si>
  <si>
    <t>LC-1393</t>
  </si>
  <si>
    <t>LC-1394</t>
  </si>
  <si>
    <t>LC-1395</t>
  </si>
  <si>
    <t>LC-1396</t>
  </si>
  <si>
    <t>LC-1397</t>
  </si>
  <si>
    <t>LC-1398</t>
  </si>
  <si>
    <t>LC-1399</t>
  </si>
  <si>
    <t>LC-1400</t>
  </si>
  <si>
    <t>LC-1401</t>
  </si>
  <si>
    <t>LC-1402</t>
  </si>
  <si>
    <t>LC-1403</t>
  </si>
  <si>
    <t>LC-1404</t>
  </si>
  <si>
    <t>LC-1405</t>
  </si>
  <si>
    <t>LC-1406</t>
  </si>
  <si>
    <t>LC-1407</t>
  </si>
  <si>
    <t>LC-1408</t>
  </si>
  <si>
    <t>LC-1409</t>
  </si>
  <si>
    <t>LC-1410</t>
  </si>
  <si>
    <t>LC-1411</t>
  </si>
  <si>
    <t>LC-1412</t>
  </si>
  <si>
    <t>LC-1413</t>
  </si>
  <si>
    <t>LC-1414</t>
  </si>
  <si>
    <t>LC-1415</t>
  </si>
  <si>
    <t>LC-1416</t>
  </si>
  <si>
    <t>LC-1417</t>
  </si>
  <si>
    <t>LC-1418</t>
  </si>
  <si>
    <t>LC-1419</t>
  </si>
  <si>
    <t>LC-1420</t>
  </si>
  <si>
    <t>LC-1421</t>
  </si>
  <si>
    <t>LC-1422</t>
  </si>
  <si>
    <t>LC-1423</t>
  </si>
  <si>
    <t>LC-1424</t>
  </si>
  <si>
    <t>LC-1425</t>
  </si>
  <si>
    <t>LC-1426</t>
  </si>
  <si>
    <t>LC-1427</t>
  </si>
  <si>
    <t>LC-1428</t>
  </si>
  <si>
    <t>LC-1429</t>
  </si>
  <si>
    <t>LC-1430</t>
  </si>
  <si>
    <t>LC-1431</t>
  </si>
  <si>
    <t>LC-1432</t>
  </si>
  <si>
    <t>LC-1433</t>
  </si>
  <si>
    <t>LC-1434</t>
  </si>
  <si>
    <t>LC-1435</t>
  </si>
  <si>
    <t>LC-1436</t>
  </si>
  <si>
    <t>LC-1437</t>
  </si>
  <si>
    <t>LC-1438</t>
  </si>
  <si>
    <t>LC-1439</t>
  </si>
  <si>
    <t>LC-1440</t>
  </si>
  <si>
    <t>LC-1441</t>
  </si>
  <si>
    <t>LC-1442</t>
  </si>
  <si>
    <t>LC-1443</t>
  </si>
  <si>
    <t>LC-1444</t>
  </si>
  <si>
    <t>LC-1445</t>
  </si>
  <si>
    <t>LC-1446</t>
  </si>
  <si>
    <t>LC-1447</t>
  </si>
  <si>
    <t>LC-1448</t>
  </si>
  <si>
    <t>LC-1449</t>
  </si>
  <si>
    <t>LC-1450</t>
  </si>
  <si>
    <t>LC-1451</t>
  </si>
  <si>
    <t>LC-1452</t>
  </si>
  <si>
    <t>LC-1453</t>
  </si>
  <si>
    <t>LC-1454</t>
  </si>
  <si>
    <t>LC-1455</t>
  </si>
  <si>
    <t>LC-1456</t>
  </si>
  <si>
    <t>LC-1457</t>
  </si>
  <si>
    <t>LC-1458</t>
  </si>
  <si>
    <t>LC-1459</t>
  </si>
  <si>
    <t>LC-1460</t>
  </si>
  <si>
    <t>LC-1461</t>
  </si>
  <si>
    <t>LC-1462</t>
  </si>
  <si>
    <t>LC-1463</t>
  </si>
  <si>
    <t>LC-1464</t>
  </si>
  <si>
    <t>LC-1465</t>
  </si>
  <si>
    <t>LC-1466</t>
  </si>
  <si>
    <t>LC-1467</t>
  </si>
  <si>
    <t>LC-1468</t>
  </si>
  <si>
    <t>LC-1469</t>
  </si>
  <si>
    <t>LC-1470</t>
  </si>
  <si>
    <t>LC-1471</t>
  </si>
  <si>
    <t>LC-1472</t>
  </si>
  <si>
    <t>LC-1473</t>
  </si>
  <si>
    <t>LC-1474</t>
  </si>
  <si>
    <t>LC-1475</t>
  </si>
  <si>
    <t>LC-1476</t>
  </si>
  <si>
    <t>LC-1477</t>
  </si>
  <si>
    <t>LC-1478</t>
  </si>
  <si>
    <t>LC-1479</t>
  </si>
  <si>
    <t>LC-1480</t>
  </si>
  <si>
    <t>LC-1481</t>
  </si>
  <si>
    <t>LC-1482</t>
  </si>
  <si>
    <t>LC-1483</t>
  </si>
  <si>
    <t>LC-1484</t>
  </si>
  <si>
    <t>LC-1485</t>
  </si>
  <si>
    <t>LC-1486</t>
  </si>
  <si>
    <t>LC-1487</t>
  </si>
  <si>
    <t>LC-1488</t>
  </si>
  <si>
    <t>LC-1489</t>
  </si>
  <si>
    <t>LC-1490</t>
  </si>
  <si>
    <t>LC-1491</t>
  </si>
  <si>
    <t>LC-1492</t>
  </si>
  <si>
    <t>LC-1493</t>
  </si>
  <si>
    <t>LC-1494</t>
  </si>
  <si>
    <t>LC-1495</t>
  </si>
  <si>
    <t>LC-1496</t>
  </si>
  <si>
    <t>LC-1497</t>
  </si>
  <si>
    <t>LC-1498</t>
  </si>
  <si>
    <t>LC-1499</t>
  </si>
  <si>
    <t>LC-1500</t>
  </si>
  <si>
    <t>Grand Total</t>
  </si>
  <si>
    <t>StageXAir pollution</t>
  </si>
  <si>
    <t>Fail To reject</t>
  </si>
  <si>
    <t>Stage X Alcohol Use</t>
  </si>
  <si>
    <t>Asoociations</t>
  </si>
  <si>
    <t>Observed</t>
  </si>
  <si>
    <t>Expected</t>
  </si>
  <si>
    <t>P value</t>
  </si>
  <si>
    <t>Verdict</t>
  </si>
  <si>
    <t>Stage X Asbestos</t>
  </si>
  <si>
    <t>Stage X Exercice</t>
  </si>
  <si>
    <t>Stage X Family History</t>
  </si>
  <si>
    <t>Stage X Gender</t>
  </si>
  <si>
    <t>Reject</t>
  </si>
  <si>
    <t>Stage X Occupational hazard</t>
  </si>
  <si>
    <t>Stage X Previous Cancer</t>
  </si>
  <si>
    <t>Stage X Radon</t>
  </si>
  <si>
    <t>Stage X Smoking Status</t>
  </si>
  <si>
    <t>Stage X second Hand smoking</t>
  </si>
  <si>
    <t>Kurt</t>
  </si>
  <si>
    <t xml:space="preserve">Age </t>
  </si>
  <si>
    <t>Skew</t>
  </si>
  <si>
    <t>Count of Age</t>
  </si>
  <si>
    <t>Stage 1</t>
  </si>
  <si>
    <t>Stage 2</t>
  </si>
  <si>
    <t>Stage 3</t>
  </si>
  <si>
    <t>Stage 4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</si>
  <si>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</si>
  <si>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</si>
  <si>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</si>
  <si>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</si>
  <si>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</si>
  <si>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</si>
  <si>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</si>
  <si>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</si>
  <si>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</si>
  <si>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</si>
  <si>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</si>
  <si>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</si>
  <si>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</si>
  <si>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</si>
  <si>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</si>
  <si>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</si>
  <si>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</si>
  <si>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</si>
  <si>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AGE</t>
  </si>
  <si>
    <t>Cig.Per.Day</t>
  </si>
  <si>
    <t>Interpretation</t>
  </si>
  <si>
    <t>Cigarettes per day</t>
  </si>
  <si>
    <t>Bonferroni</t>
  </si>
  <si>
    <t>Stage 1 vs Stage 2</t>
  </si>
  <si>
    <t>Stage 1 vs Stage 3</t>
  </si>
  <si>
    <t>Stage 1 vs Stage 4</t>
  </si>
  <si>
    <t>Stage 2 vs Stage 3</t>
  </si>
  <si>
    <t>Stage 2 vs Stage 4</t>
  </si>
  <si>
    <t>Stage 3 vs Stage 4</t>
  </si>
  <si>
    <t>P Value</t>
  </si>
  <si>
    <t>Significant?</t>
  </si>
  <si>
    <t>Anova</t>
  </si>
  <si>
    <t>Adjusted P value</t>
  </si>
  <si>
    <t>Comparison</t>
  </si>
  <si>
    <t>Mean Diff</t>
  </si>
  <si>
    <t>p-adj</t>
  </si>
  <si>
    <t>Turkey HSD Pairwise</t>
  </si>
  <si>
    <t>Tumor Size</t>
  </si>
  <si>
    <t>Years Smoking</t>
  </si>
  <si>
    <t>Cancer Stage</t>
  </si>
  <si>
    <t>Smoking Status</t>
  </si>
  <si>
    <t>Std Residual</t>
  </si>
  <si>
    <t>Current</t>
  </si>
  <si>
    <t>Fewer current smokers than expected</t>
  </si>
  <si>
    <t>Never</t>
  </si>
  <si>
    <t>More never smokers than expected</t>
  </si>
  <si>
    <t>Far more current smokers than expected</t>
  </si>
  <si>
    <t>Fewer never smokers than expected</t>
  </si>
  <si>
    <t>TypeXAir pollution</t>
  </si>
  <si>
    <t>Types</t>
  </si>
  <si>
    <t>Type  X Alcohol Use</t>
  </si>
  <si>
    <t>Type X Asbestos</t>
  </si>
  <si>
    <t>Type X Exercice</t>
  </si>
  <si>
    <t>Type  X Family History</t>
  </si>
  <si>
    <t>Type  X Gender</t>
  </si>
  <si>
    <t>Type  X Occupational hazard</t>
  </si>
  <si>
    <t>Type  X Previous Cancer</t>
  </si>
  <si>
    <t>Type  X Radon</t>
  </si>
  <si>
    <t>Type  X Smoking Status</t>
  </si>
  <si>
    <t>Type  X second Hand smoking</t>
  </si>
  <si>
    <t>Cancer Type</t>
  </si>
  <si>
    <t>Former</t>
  </si>
  <si>
    <t>About as expected (no meaningful difference)</t>
  </si>
  <si>
    <t>More never-smokers than expected</t>
  </si>
  <si>
    <t>Slightly fewer than expected (not significant)</t>
  </si>
  <si>
    <t>t-Test: Two-Sample Assuming Equal Variances</t>
  </si>
  <si>
    <t>Mean</t>
  </si>
  <si>
    <t>Observations</t>
  </si>
  <si>
    <t>Pooled Variance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</si>
  <si>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</si>
  <si>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</si>
  <si>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</si>
  <si>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</si>
  <si>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</si>
  <si>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</si>
  <si>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t-Test: Two-Sample Assuming Unequal Variances</t>
  </si>
  <si>
    <t>Cigarette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</si>
</sst>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Aptos Narrow"/>
      <family val="2"/>
      <scheme val="minor"/>
    </font>
    <font>
      <sz val="12"/>
      <color theme="0"/>
      <name val="Times New Roman"/>
      <family val="1"/>
    </font>
    <font>
      <i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i/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pivotButton="1"/>
    <xf numFmtId="0" fontId="1" fillId="2" borderId="1" xfId="0" applyFont="1" applyFill="1" applyBorder="1"/>
    <xf numFmtId="0" fontId="1" fillId="2" borderId="2" xfId="0" applyFont="1" applyFill="1" applyBorder="1"/>
    <xf numFmtId="0" fontId="3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3" borderId="0" xfId="0" applyFont="1" applyFill="1"/>
    <xf numFmtId="164" fontId="0" fillId="0" borderId="0" xfId="0" applyNumberFormat="1"/>
    <xf numFmtId="0" fontId="0" fillId="0" borderId="3" xfId="0" applyBorder="1"/>
    <xf numFmtId="0" fontId="8" fillId="0" borderId="4" xfId="0" applyFont="1" applyBorder="1" applyAlignment="1">
      <alignment horizontal="center"/>
    </xf>
    <xf numFmtId="0" fontId="1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330200</xdr:colOff>
      <xdr:row>66</xdr:row>
      <xdr:rowOff>88900</xdr:rowOff>
    </xdr:from>
    <xdr:to>
      <xdr:col>33</xdr:col>
      <xdr:colOff>127000</xdr:colOff>
      <xdr:row>72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59F7CD-AA1C-2746-885C-96632328257A}"/>
            </a:ext>
          </a:extLst>
        </xdr:cNvPr>
        <xdr:cNvSpPr txBox="1"/>
      </xdr:nvSpPr>
      <xdr:spPr>
        <a:xfrm>
          <a:off x="21729700" y="13500100"/>
          <a:ext cx="64008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Analysis of standardized residuals demonstrated that the significant association was primarily driven by SCLC, which was overrepresented among current smokers and underrepresented among never-smokers. In contrast, N</a:t>
          </a:r>
        </a:p>
        <a:p>
          <a:r>
            <a:rPr lang="en-US"/>
            <a:t>SCLC exhibited a weaker inverse pattern, with fewer current smokers and a modest excess of never-smokers.   The association was driven by SCLC, with excess current smokers (z = 7.74) and fewer never-smokers (z = -4.11), while NSCLC showed the opposite but weaker pattern.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330200</xdr:colOff>
      <xdr:row>66</xdr:row>
      <xdr:rowOff>88900</xdr:rowOff>
    </xdr:from>
    <xdr:to>
      <xdr:col>33</xdr:col>
      <xdr:colOff>127000</xdr:colOff>
      <xdr:row>72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B0CAFFA-9436-751E-74EA-10D0D0DBA467}"/>
            </a:ext>
          </a:extLst>
        </xdr:cNvPr>
        <xdr:cNvSpPr txBox="1"/>
      </xdr:nvSpPr>
      <xdr:spPr>
        <a:xfrm>
          <a:off x="21729700" y="13500100"/>
          <a:ext cx="6400800" cy="1130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The significant chi-square result is </a:t>
          </a:r>
          <a:r>
            <a:rPr lang="en-US" b="1"/>
            <a:t>mainly driven by Current smokers</a:t>
          </a:r>
          <a:r>
            <a:rPr lang="en-US"/>
            <a:t>:</a:t>
          </a:r>
        </a:p>
        <a:p>
          <a:r>
            <a:rPr lang="en-US"/>
            <a:t>Stage III &amp; IV have </a:t>
          </a:r>
          <a:r>
            <a:rPr lang="en-US" b="1"/>
            <a:t>much higher numbers</a:t>
          </a:r>
          <a:r>
            <a:rPr lang="en-US"/>
            <a:t> than expected.</a:t>
          </a:r>
        </a:p>
        <a:p>
          <a:r>
            <a:rPr lang="en-US"/>
            <a:t>Stage I has </a:t>
          </a:r>
          <a:r>
            <a:rPr lang="en-US" b="1"/>
            <a:t>much fewer Current smokers</a:t>
          </a:r>
          <a:r>
            <a:rPr lang="en-US"/>
            <a:t> than expected.</a:t>
          </a:r>
        </a:p>
        <a:p>
          <a:r>
            <a:rPr lang="en-US"/>
            <a:t>Never smokers are overrepresented in Stage I and underrepresented in Stage IV.</a:t>
          </a:r>
        </a:p>
        <a:p>
          <a:r>
            <a:rPr lang="en-US"/>
            <a:t>Former smokers do </a:t>
          </a:r>
          <a:r>
            <a:rPr lang="en-US" b="1"/>
            <a:t>not contribute strongly</a:t>
          </a:r>
          <a:r>
            <a:rPr lang="en-US"/>
            <a:t> (residuals &lt; 2).</a:t>
          </a:r>
        </a:p>
        <a:p>
          <a:endParaRPr lang="en-US" sz="1100"/>
        </a:p>
      </xdr:txBody>
    </xdr:sp>
    <xdr:clientData/>
  </xdr:twoCellAnchor>
  <xdr:twoCellAnchor>
    <xdr:from>
      <xdr:col>22</xdr:col>
      <xdr:colOff>177800</xdr:colOff>
      <xdr:row>37</xdr:row>
      <xdr:rowOff>88900</xdr:rowOff>
    </xdr:from>
    <xdr:to>
      <xdr:col>28</xdr:col>
      <xdr:colOff>812800</xdr:colOff>
      <xdr:row>42</xdr:row>
      <xdr:rowOff>12700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768AB3-2764-222A-1D09-E2DFCA779E8D}"/>
            </a:ext>
          </a:extLst>
        </xdr:cNvPr>
        <xdr:cNvSpPr txBox="1"/>
      </xdr:nvSpPr>
      <xdr:spPr>
        <a:xfrm>
          <a:off x="19100800" y="7607300"/>
          <a:ext cx="5588000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Gender differences across cancer stages exist but </a:t>
          </a:r>
          <a:r>
            <a:rPr lang="en-US" b="1"/>
            <a:t>no stage-gender combination is extremely over- or under-represented</a:t>
          </a:r>
          <a:r>
            <a:rPr lang="en-US"/>
            <a:t>.</a:t>
          </a:r>
        </a:p>
        <a:p>
          <a:r>
            <a:rPr lang="en-US"/>
            <a:t>This suggests a </a:t>
          </a:r>
          <a:r>
            <a:rPr lang="en-US" b="1"/>
            <a:t>moderate association</a:t>
          </a:r>
          <a:r>
            <a:rPr lang="en-US"/>
            <a:t>, not dominated by a single cell.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62</xdr:row>
      <xdr:rowOff>25400</xdr:rowOff>
    </xdr:from>
    <xdr:to>
      <xdr:col>6</xdr:col>
      <xdr:colOff>800100</xdr:colOff>
      <xdr:row>65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3662DE-A432-D642-F8CA-4BE1E55CF58B}"/>
            </a:ext>
          </a:extLst>
        </xdr:cNvPr>
        <xdr:cNvSpPr txBox="1"/>
      </xdr:nvSpPr>
      <xdr:spPr>
        <a:xfrm>
          <a:off x="50800" y="12776200"/>
          <a:ext cx="7378700" cy="69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A one-way ANOVA showed a borderline significant difference in cigarettes per day across cancer stages (p = 0.047). Tukey’s HSD post hoc test revealed that Stage 4 patients smoked significantly more than Stage 1, Stage 2, and Stage 3 patients, while differences among Stages 1–3 were not statistically significant.</a:t>
          </a:r>
          <a:endParaRPr lang="en-US" sz="1100"/>
        </a:p>
      </xdr:txBody>
    </xdr:sp>
    <xdr:clientData/>
  </xdr:twoCellAnchor>
  <xdr:twoCellAnchor>
    <xdr:from>
      <xdr:col>0</xdr:col>
      <xdr:colOff>25400</xdr:colOff>
      <xdr:row>95</xdr:row>
      <xdr:rowOff>0</xdr:rowOff>
    </xdr:from>
    <xdr:to>
      <xdr:col>6</xdr:col>
      <xdr:colOff>279400</xdr:colOff>
      <xdr:row>98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F1AFCE-3C5A-D181-C2CE-8F304C34C69F}"/>
            </a:ext>
          </a:extLst>
        </xdr:cNvPr>
        <xdr:cNvSpPr txBox="1"/>
      </xdr:nvSpPr>
      <xdr:spPr>
        <a:xfrm>
          <a:off x="25400" y="19507200"/>
          <a:ext cx="6883400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A one-way ANOVA showed a significant difference in tumor size across cancer stages. Bonferroni-adjusted post hoc tests indicated that tumor sizes differed significantly between </a:t>
          </a:r>
          <a:r>
            <a:rPr lang="en-US" b="1"/>
            <a:t>all pairs of stages</a:t>
          </a:r>
          <a:r>
            <a:rPr lang="en-US"/>
            <a:t> (p &lt; 0.001 for all comparisons). This suggests a clear progression of tumor size from Stage I to Stage IV.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ad Aataout" refreshedDate="46099.564660532407" createdVersion="8" refreshedVersion="8" minRefreshableVersion="3" recordCount="1500" xr:uid="{17A2C66E-EAAC-5943-A32B-232E17A2DD67}">
  <cacheSource type="worksheet">
    <worksheetSource name="lung_cancer_dataset"/>
  </cacheSource>
  <cacheFields count="41">
    <cacheField name="Patient_ID" numFmtId="0">
      <sharedItems/>
    </cacheField>
    <cacheField name="Diagnosis_Year" numFmtId="0">
      <sharedItems containsSemiMixedTypes="0" containsString="0" containsNumber="1" containsInteger="1" minValue="2015" maxValue="2025"/>
    </cacheField>
    <cacheField name="Diagnosis_Date" numFmtId="14">
      <sharedItems containsSemiMixedTypes="0" containsNonDate="0" containsDate="1" containsString="0" minDate="2015-01-01T00:00:00" maxDate="2025-12-28T00:00:00"/>
    </cacheField>
    <cacheField name="WHO_Region" numFmtId="0">
      <sharedItems/>
    </cacheField>
    <cacheField name="Country" numFmtId="0">
      <sharedItems/>
    </cacheField>
    <cacheField name="Age" numFmtId="0">
      <sharedItems containsSemiMixedTypes="0" containsString="0" containsNumber="1" containsInteger="1" minValue="30" maxValue="89"/>
    </cacheField>
    <cacheField name="Gender" numFmtId="0">
      <sharedItems count="2">
        <s v="Female"/>
        <s v="Male"/>
      </sharedItems>
    </cacheField>
    <cacheField name="Smoking_Status" numFmtId="0">
      <sharedItems count="3">
        <s v="Current Smoker"/>
        <s v="Former Smoker"/>
        <s v="Never Smoked"/>
      </sharedItems>
    </cacheField>
    <cacheField name="Cigarettes_Per_Day" numFmtId="0">
      <sharedItems containsSemiMixedTypes="0" containsString="0" containsNumber="1" containsInteger="1" minValue="0" maxValue="56"/>
    </cacheField>
    <cacheField name="Years_Smoking" numFmtId="0">
      <sharedItems containsSemiMixedTypes="0" containsString="0" containsNumber="1" containsInteger="1" minValue="0" maxValue="59"/>
    </cacheField>
    <cacheField name="Secondhand_Smoke" numFmtId="0">
      <sharedItems count="2">
        <s v="Yes"/>
        <s v="No"/>
      </sharedItems>
    </cacheField>
    <cacheField name="Family_History" numFmtId="0">
      <sharedItems count="2">
        <s v="No"/>
        <s v="Yes"/>
      </sharedItems>
    </cacheField>
    <cacheField name="Occupational_Hazard" numFmtId="0">
      <sharedItems count="2">
        <s v="No"/>
        <s v="Yes"/>
      </sharedItems>
    </cacheField>
    <cacheField name="Air_Pollution_Exposure" numFmtId="0">
      <sharedItems count="3">
        <s v="Moderate"/>
        <s v="High"/>
        <s v="Low"/>
      </sharedItems>
    </cacheField>
    <cacheField name="Alcohol_Use" numFmtId="0">
      <sharedItems count="3">
        <s v="No Alcohol"/>
        <s v="Heavy"/>
        <s v="Moderate"/>
      </sharedItems>
    </cacheField>
    <cacheField name="BMI" numFmtId="0">
      <sharedItems containsSemiMixedTypes="0" containsString="0" containsNumber="1" minValue="16" maxValue="40"/>
    </cacheField>
    <cacheField name="Exercise_Frequency" numFmtId="0">
      <sharedItems count="3">
        <s v="Low"/>
        <s v="Moderate"/>
        <s v="High"/>
      </sharedItems>
    </cacheField>
    <cacheField name="Chronic_Lung_Disease" numFmtId="0">
      <sharedItems/>
    </cacheField>
    <cacheField name="Asbestos_Exposure" numFmtId="0">
      <sharedItems count="2">
        <s v="No"/>
        <s v="Yes"/>
      </sharedItems>
    </cacheField>
    <cacheField name="Radon_Exposure" numFmtId="0">
      <sharedItems count="2">
        <s v="No"/>
        <s v="Yes"/>
      </sharedItems>
    </cacheField>
    <cacheField name="Previous_Cancer_History" numFmtId="0">
      <sharedItems count="2">
        <s v="No"/>
        <s v="Yes"/>
      </sharedItems>
    </cacheField>
    <cacheField name="Genetic_Mutation" numFmtId="0">
      <sharedItems/>
    </cacheField>
    <cacheField name="Coughing" numFmtId="0">
      <sharedItems/>
    </cacheField>
    <cacheField name="Shortness_of_Breath" numFmtId="0">
      <sharedItems/>
    </cacheField>
    <cacheField name="Chest_Pain" numFmtId="0">
      <sharedItems/>
    </cacheField>
    <cacheField name="Coughing_Blood" numFmtId="0">
      <sharedItems/>
    </cacheField>
    <cacheField name="Fatigue" numFmtId="0">
      <sharedItems/>
    </cacheField>
    <cacheField name="Weight_Loss" numFmtId="0">
      <sharedItems/>
    </cacheField>
    <cacheField name="Wheezing" numFmtId="0">
      <sharedItems/>
    </cacheField>
    <cacheField name="Recurrent_Infections" numFmtId="0">
      <sharedItems/>
    </cacheField>
    <cacheField name="Swallowing_Difficulty" numFmtId="0">
      <sharedItems/>
    </cacheField>
    <cacheField name="Finger_Clubbing" numFmtId="0">
      <sharedItems/>
    </cacheField>
    <cacheField name="Cancer_Type" numFmtId="0">
      <sharedItems count="2">
        <s v="NSCLC"/>
        <s v="SCLC"/>
      </sharedItems>
    </cacheField>
    <cacheField name="NSCLC_Subtype" numFmtId="0">
      <sharedItems/>
    </cacheField>
    <cacheField name="Cancer_Stage" numFmtId="0">
      <sharedItems count="4">
        <s v="Stage IV"/>
        <s v="Stage I"/>
        <s v="Stage III"/>
        <s v="Stage II"/>
      </sharedItems>
    </cacheField>
    <cacheField name="Tumor_Size_cm" numFmtId="0">
      <sharedItems containsSemiMixedTypes="0" containsString="0" containsNumber="1" minValue="0.5" maxValue="12.9"/>
    </cacheField>
    <cacheField name="Metastasis" numFmtId="0">
      <sharedItems/>
    </cacheField>
    <cacheField name="Diagnosis_Method" numFmtId="0">
      <sharedItems/>
    </cacheField>
    <cacheField name="Treatment" numFmtId="0">
      <sharedItems/>
    </cacheField>
    <cacheField name="Survival_Months" numFmtId="0">
      <sharedItems containsSemiMixedTypes="0" containsString="0" containsNumber="1" containsInteger="1" minValue="1" maxValue="109"/>
    </cacheField>
    <cacheField name="Surviv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LC-0001"/>
    <n v="2020"/>
    <d v="2020-11-04T00:00:00"/>
    <s v="Western Pacific"/>
    <s v="China"/>
    <n v="46"/>
    <x v="0"/>
    <x v="0"/>
    <n v="28"/>
    <n v="28"/>
    <x v="0"/>
    <x v="0"/>
    <x v="0"/>
    <x v="0"/>
    <x v="0"/>
    <n v="29.6"/>
    <x v="0"/>
    <s v="Yes"/>
    <x v="0"/>
    <x v="0"/>
    <x v="0"/>
    <s v="No Mutation"/>
    <s v="Yes"/>
    <s v="Yes"/>
    <s v="Yes"/>
    <s v="No"/>
    <s v="No"/>
    <s v="Yes"/>
    <s v="No"/>
    <s v="No"/>
    <s v="Yes"/>
    <s v="No"/>
    <x v="0"/>
    <s v="Adenocarcinoma"/>
    <x v="0"/>
    <n v="6.4"/>
    <s v="Yes"/>
    <s v="MRI"/>
    <s v="Chemo + Radiation"/>
    <n v="4"/>
    <s v="No"/>
  </r>
  <r>
    <s v="LC-0002"/>
    <n v="2020"/>
    <d v="2020-12-09T00:00:00"/>
    <s v="Americas"/>
    <s v="Mexico"/>
    <n v="71"/>
    <x v="1"/>
    <x v="1"/>
    <n v="5"/>
    <n v="34"/>
    <x v="0"/>
    <x v="0"/>
    <x v="0"/>
    <x v="1"/>
    <x v="1"/>
    <n v="31.3"/>
    <x v="1"/>
    <s v="No"/>
    <x v="0"/>
    <x v="0"/>
    <x v="1"/>
    <s v="KRAS"/>
    <s v="Yes"/>
    <s v="Yes"/>
    <s v="No"/>
    <s v="No"/>
    <s v="Yes"/>
    <s v="No"/>
    <s v="Yes"/>
    <s v="No"/>
    <s v="Yes"/>
    <s v="No"/>
    <x v="0"/>
    <s v="Adenocarcinoma"/>
    <x v="1"/>
    <n v="2.6"/>
    <s v="No"/>
    <s v="Biopsy"/>
    <s v="Surgery + Chemotherapy"/>
    <n v="76"/>
    <s v="Yes"/>
  </r>
  <r>
    <s v="LC-0003"/>
    <n v="2016"/>
    <d v="2016-04-05T00:00:00"/>
    <s v="Western Pacific"/>
    <s v="Japan"/>
    <n v="53"/>
    <x v="0"/>
    <x v="2"/>
    <n v="0"/>
    <n v="0"/>
    <x v="0"/>
    <x v="0"/>
    <x v="0"/>
    <x v="1"/>
    <x v="2"/>
    <n v="25.8"/>
    <x v="0"/>
    <s v="No"/>
    <x v="0"/>
    <x v="0"/>
    <x v="0"/>
    <s v="KRAS"/>
    <s v="No"/>
    <s v="No"/>
    <s v="Yes"/>
    <s v="Yes"/>
    <s v="Yes"/>
    <s v="No"/>
    <s v="No"/>
    <s v="No"/>
    <s v="No"/>
    <s v="No"/>
    <x v="0"/>
    <s v="Squamous Cell"/>
    <x v="1"/>
    <n v="2.9"/>
    <s v="No"/>
    <s v="LDCT Screening"/>
    <s v="Surgery"/>
    <n v="69"/>
    <s v="No"/>
  </r>
  <r>
    <s v="LC-0004"/>
    <n v="2017"/>
    <d v="2017-11-24T00:00:00"/>
    <s v="Western Pacific"/>
    <s v="Singapore"/>
    <n v="55"/>
    <x v="1"/>
    <x v="0"/>
    <n v="21"/>
    <n v="34"/>
    <x v="1"/>
    <x v="1"/>
    <x v="0"/>
    <x v="0"/>
    <x v="0"/>
    <n v="25.3"/>
    <x v="0"/>
    <s v="Yes"/>
    <x v="0"/>
    <x v="0"/>
    <x v="0"/>
    <s v="No Mutation"/>
    <s v="Yes"/>
    <s v="No"/>
    <s v="No"/>
    <s v="Yes"/>
    <s v="Yes"/>
    <s v="Yes"/>
    <s v="Yes"/>
    <s v="Yes"/>
    <s v="No"/>
    <s v="No"/>
    <x v="0"/>
    <s v="Adenocarcinoma"/>
    <x v="0"/>
    <n v="7"/>
    <s v="Yes"/>
    <s v="CT Scan"/>
    <s v="Chemotherapy"/>
    <n v="9"/>
    <s v="No"/>
  </r>
  <r>
    <s v="LC-0005"/>
    <n v="2023"/>
    <d v="2023-02-19T00:00:00"/>
    <s v="Western Pacific"/>
    <s v="Malaysia"/>
    <n v="54"/>
    <x v="1"/>
    <x v="2"/>
    <n v="0"/>
    <n v="0"/>
    <x v="1"/>
    <x v="0"/>
    <x v="1"/>
    <x v="1"/>
    <x v="0"/>
    <n v="32"/>
    <x v="0"/>
    <s v="Yes"/>
    <x v="0"/>
    <x v="0"/>
    <x v="1"/>
    <s v="KRAS"/>
    <s v="Yes"/>
    <s v="No"/>
    <s v="Yes"/>
    <s v="No"/>
    <s v="Yes"/>
    <s v="No"/>
    <s v="Yes"/>
    <s v="No"/>
    <s v="Yes"/>
    <s v="No"/>
    <x v="0"/>
    <s v="Adenocarcinoma"/>
    <x v="2"/>
    <n v="5.8"/>
    <s v="No"/>
    <s v="Bronchoscopy"/>
    <s v="Immunotherapy"/>
    <n v="5"/>
    <s v="Yes"/>
  </r>
  <r>
    <s v="LC-0006"/>
    <n v="2025"/>
    <d v="2025-01-01T00:00:00"/>
    <s v="Eastern Mediterranean"/>
    <s v="Iran"/>
    <n v="75"/>
    <x v="1"/>
    <x v="2"/>
    <n v="0"/>
    <n v="0"/>
    <x v="1"/>
    <x v="0"/>
    <x v="0"/>
    <x v="2"/>
    <x v="0"/>
    <n v="23"/>
    <x v="2"/>
    <s v="No"/>
    <x v="1"/>
    <x v="0"/>
    <x v="0"/>
    <s v="EGFR"/>
    <s v="Yes"/>
    <s v="No"/>
    <s v="No"/>
    <s v="No"/>
    <s v="Yes"/>
    <s v="No"/>
    <s v="No"/>
    <s v="No"/>
    <s v="No"/>
    <s v="No"/>
    <x v="0"/>
    <s v="Adenocarcinoma"/>
    <x v="3"/>
    <n v="3"/>
    <s v="No"/>
    <s v="CT Scan"/>
    <s v="Surgery"/>
    <n v="23"/>
    <s v="No"/>
  </r>
  <r>
    <s v="LC-0007"/>
    <n v="2025"/>
    <d v="2025-04-08T00:00:00"/>
    <s v="Eastern Mediterranean"/>
    <s v="Qatar"/>
    <n v="85"/>
    <x v="0"/>
    <x v="2"/>
    <n v="0"/>
    <n v="0"/>
    <x v="0"/>
    <x v="0"/>
    <x v="0"/>
    <x v="2"/>
    <x v="2"/>
    <n v="26.9"/>
    <x v="0"/>
    <s v="No"/>
    <x v="0"/>
    <x v="0"/>
    <x v="0"/>
    <s v="EGFR"/>
    <s v="No"/>
    <s v="No"/>
    <s v="No"/>
    <s v="No"/>
    <s v="No"/>
    <s v="No"/>
    <s v="No"/>
    <s v="No"/>
    <s v="No"/>
    <s v="No"/>
    <x v="0"/>
    <s v="Large Cell"/>
    <x v="2"/>
    <n v="3.8"/>
    <s v="No"/>
    <s v="Biopsy"/>
    <s v="Chemotherapy"/>
    <n v="18"/>
    <s v="No"/>
  </r>
  <r>
    <s v="LC-0008"/>
    <n v="2023"/>
    <d v="2023-10-01T00:00:00"/>
    <s v="Western Pacific"/>
    <s v="Singapore"/>
    <n v="72"/>
    <x v="1"/>
    <x v="2"/>
    <n v="0"/>
    <n v="0"/>
    <x v="1"/>
    <x v="0"/>
    <x v="0"/>
    <x v="1"/>
    <x v="2"/>
    <n v="24.1"/>
    <x v="1"/>
    <s v="No"/>
    <x v="0"/>
    <x v="0"/>
    <x v="0"/>
    <s v="ROS1"/>
    <s v="Yes"/>
    <s v="No"/>
    <s v="Yes"/>
    <s v="No"/>
    <s v="Yes"/>
    <s v="No"/>
    <s v="No"/>
    <s v="Yes"/>
    <s v="Yes"/>
    <s v="No"/>
    <x v="0"/>
    <s v="Adenocarcinoma"/>
    <x v="3"/>
    <n v="4.3"/>
    <s v="No"/>
    <s v="Bronchoscopy"/>
    <s v="Surgery + Chemotherapy"/>
    <n v="25"/>
    <s v="Yes"/>
  </r>
  <r>
    <s v="LC-0009"/>
    <n v="2022"/>
    <d v="2022-04-23T00:00:00"/>
    <s v="Eastern Mediterranean"/>
    <s v="Qatar"/>
    <n v="58"/>
    <x v="0"/>
    <x v="2"/>
    <n v="0"/>
    <n v="0"/>
    <x v="1"/>
    <x v="0"/>
    <x v="0"/>
    <x v="2"/>
    <x v="0"/>
    <n v="28.3"/>
    <x v="2"/>
    <s v="No"/>
    <x v="0"/>
    <x v="0"/>
    <x v="0"/>
    <s v="EGFR"/>
    <s v="Yes"/>
    <s v="No"/>
    <s v="No"/>
    <s v="No"/>
    <s v="Yes"/>
    <s v="No"/>
    <s v="No"/>
    <s v="No"/>
    <s v="No"/>
    <s v="No"/>
    <x v="0"/>
    <s v="Adenocarcinoma"/>
    <x v="2"/>
    <n v="6.7"/>
    <s v="Yes"/>
    <s v="CT Scan"/>
    <s v="Chemotherapy"/>
    <n v="21"/>
    <s v="No"/>
  </r>
  <r>
    <s v="LC-0010"/>
    <n v="2021"/>
    <d v="2021-07-08T00:00:00"/>
    <s v="Europe"/>
    <s v="Poland"/>
    <n v="43"/>
    <x v="1"/>
    <x v="2"/>
    <n v="0"/>
    <n v="0"/>
    <x v="1"/>
    <x v="1"/>
    <x v="0"/>
    <x v="0"/>
    <x v="2"/>
    <n v="21.3"/>
    <x v="2"/>
    <s v="No"/>
    <x v="0"/>
    <x v="1"/>
    <x v="0"/>
    <s v="EGFR"/>
    <s v="No"/>
    <s v="No"/>
    <s v="No"/>
    <s v="No"/>
    <s v="Yes"/>
    <s v="No"/>
    <s v="No"/>
    <s v="No"/>
    <s v="No"/>
    <s v="No"/>
    <x v="0"/>
    <s v="Adenocarcinoma"/>
    <x v="1"/>
    <n v="1.5"/>
    <s v="No"/>
    <s v="LDCT Screening"/>
    <s v="Surgery"/>
    <n v="65"/>
    <s v="Yes"/>
  </r>
  <r>
    <s v="LC-0011"/>
    <n v="2024"/>
    <d v="2024-10-09T00:00:00"/>
    <s v="Africa"/>
    <s v="Nigeria"/>
    <n v="51"/>
    <x v="0"/>
    <x v="2"/>
    <n v="0"/>
    <n v="0"/>
    <x v="1"/>
    <x v="0"/>
    <x v="0"/>
    <x v="1"/>
    <x v="0"/>
    <n v="25.1"/>
    <x v="0"/>
    <s v="No"/>
    <x v="0"/>
    <x v="0"/>
    <x v="0"/>
    <s v="ROS1"/>
    <s v="No"/>
    <s v="No"/>
    <s v="No"/>
    <s v="No"/>
    <s v="Yes"/>
    <s v="No"/>
    <s v="No"/>
    <s v="Yes"/>
    <s v="No"/>
    <s v="No"/>
    <x v="0"/>
    <s v="Adenocarcinoma"/>
    <x v="0"/>
    <n v="6.7"/>
    <s v="Yes"/>
    <s v="PET Scan"/>
    <s v="Chemotherapy"/>
    <n v="9"/>
    <s v="No"/>
  </r>
  <r>
    <s v="LC-0012"/>
    <n v="2022"/>
    <d v="2022-03-23T00:00:00"/>
    <s v="Eastern Mediterranean"/>
    <s v="Lebanon"/>
    <n v="52"/>
    <x v="1"/>
    <x v="2"/>
    <n v="0"/>
    <n v="0"/>
    <x v="1"/>
    <x v="0"/>
    <x v="0"/>
    <x v="2"/>
    <x v="2"/>
    <n v="21.6"/>
    <x v="0"/>
    <s v="No"/>
    <x v="0"/>
    <x v="0"/>
    <x v="0"/>
    <s v="EGFR"/>
    <s v="Yes"/>
    <s v="No"/>
    <s v="No"/>
    <s v="Yes"/>
    <s v="Yes"/>
    <s v="No"/>
    <s v="Yes"/>
    <s v="No"/>
    <s v="No"/>
    <s v="Yes"/>
    <x v="0"/>
    <s v="Large Cell"/>
    <x v="3"/>
    <n v="5.6"/>
    <s v="No"/>
    <s v="PET Scan"/>
    <s v="Radiotherapy"/>
    <n v="26"/>
    <s v="Yes"/>
  </r>
  <r>
    <s v="LC-0013"/>
    <n v="2022"/>
    <d v="2022-06-09T00:00:00"/>
    <s v="Europe"/>
    <s v="France"/>
    <n v="57"/>
    <x v="0"/>
    <x v="0"/>
    <n v="14"/>
    <n v="20"/>
    <x v="0"/>
    <x v="1"/>
    <x v="0"/>
    <x v="0"/>
    <x v="2"/>
    <n v="26.3"/>
    <x v="2"/>
    <s v="No"/>
    <x v="0"/>
    <x v="0"/>
    <x v="0"/>
    <s v="No Mutation"/>
    <s v="Yes"/>
    <s v="No"/>
    <s v="Yes"/>
    <s v="No"/>
    <s v="Yes"/>
    <s v="No"/>
    <s v="Yes"/>
    <s v="No"/>
    <s v="No"/>
    <s v="No"/>
    <x v="0"/>
    <s v="Squamous Cell"/>
    <x v="2"/>
    <n v="7"/>
    <s v="No"/>
    <s v="Biopsy"/>
    <s v="Immunotherapy"/>
    <n v="17"/>
    <s v="No"/>
  </r>
  <r>
    <s v="LC-0014"/>
    <n v="2017"/>
    <d v="2017-04-25T00:00:00"/>
    <s v="Europe"/>
    <s v="Russia"/>
    <n v="55"/>
    <x v="1"/>
    <x v="2"/>
    <n v="0"/>
    <n v="0"/>
    <x v="1"/>
    <x v="0"/>
    <x v="0"/>
    <x v="2"/>
    <x v="1"/>
    <n v="27.1"/>
    <x v="1"/>
    <s v="No"/>
    <x v="0"/>
    <x v="0"/>
    <x v="0"/>
    <s v="No Mutation"/>
    <s v="No"/>
    <s v="No"/>
    <s v="No"/>
    <s v="No"/>
    <s v="Yes"/>
    <s v="Yes"/>
    <s v="No"/>
    <s v="No"/>
    <s v="No"/>
    <s v="No"/>
    <x v="0"/>
    <s v="Adenocarcinoma"/>
    <x v="0"/>
    <n v="5.2"/>
    <s v="Yes"/>
    <s v="Bronchoscopy"/>
    <s v="Chemo + Radiation"/>
    <n v="1"/>
    <s v="No"/>
  </r>
  <r>
    <s v="LC-0015"/>
    <n v="2015"/>
    <d v="2015-02-03T00:00:00"/>
    <s v="Western Pacific"/>
    <s v="Malaysia"/>
    <n v="73"/>
    <x v="0"/>
    <x v="2"/>
    <n v="0"/>
    <n v="0"/>
    <x v="1"/>
    <x v="1"/>
    <x v="0"/>
    <x v="2"/>
    <x v="1"/>
    <n v="27.7"/>
    <x v="1"/>
    <s v="No"/>
    <x v="0"/>
    <x v="0"/>
    <x v="0"/>
    <s v="EGFR"/>
    <s v="No"/>
    <s v="No"/>
    <s v="No"/>
    <s v="No"/>
    <s v="No"/>
    <s v="No"/>
    <s v="No"/>
    <s v="No"/>
    <s v="No"/>
    <s v="No"/>
    <x v="0"/>
    <s v="Squamous Cell"/>
    <x v="2"/>
    <n v="3"/>
    <s v="No"/>
    <s v="Bronchoscopy"/>
    <s v="Chemotherapy"/>
    <n v="26"/>
    <s v="No"/>
  </r>
  <r>
    <s v="LC-0016"/>
    <n v="2025"/>
    <d v="2025-02-12T00:00:00"/>
    <s v="South-East Asia"/>
    <s v="Sri Lanka"/>
    <n v="58"/>
    <x v="1"/>
    <x v="2"/>
    <n v="0"/>
    <n v="0"/>
    <x v="1"/>
    <x v="0"/>
    <x v="1"/>
    <x v="1"/>
    <x v="2"/>
    <n v="31.8"/>
    <x v="0"/>
    <s v="No"/>
    <x v="0"/>
    <x v="0"/>
    <x v="0"/>
    <s v="RET"/>
    <s v="Yes"/>
    <s v="Yes"/>
    <s v="Yes"/>
    <s v="Yes"/>
    <s v="Yes"/>
    <s v="Yes"/>
    <s v="No"/>
    <s v="Yes"/>
    <s v="No"/>
    <s v="No"/>
    <x v="0"/>
    <s v="Adenocarcinoma"/>
    <x v="1"/>
    <n v="1.4"/>
    <s v="No"/>
    <s v="LDCT Screening"/>
    <s v="Surgery"/>
    <n v="50"/>
    <s v="Yes"/>
  </r>
  <r>
    <s v="LC-0017"/>
    <n v="2016"/>
    <d v="2016-10-09T00:00:00"/>
    <s v="Europe"/>
    <s v="UK"/>
    <n v="63"/>
    <x v="1"/>
    <x v="2"/>
    <n v="0"/>
    <n v="0"/>
    <x v="0"/>
    <x v="0"/>
    <x v="0"/>
    <x v="2"/>
    <x v="1"/>
    <n v="17.399999999999999"/>
    <x v="2"/>
    <s v="Yes"/>
    <x v="0"/>
    <x v="0"/>
    <x v="0"/>
    <s v="EGFR"/>
    <s v="Yes"/>
    <s v="No"/>
    <s v="No"/>
    <s v="No"/>
    <s v="Yes"/>
    <s v="No"/>
    <s v="No"/>
    <s v="Yes"/>
    <s v="No"/>
    <s v="No"/>
    <x v="0"/>
    <s v="Adenocarcinoma"/>
    <x v="3"/>
    <n v="4.2"/>
    <s v="No"/>
    <s v="CT Scan"/>
    <s v="Surgery"/>
    <n v="13"/>
    <s v="Yes"/>
  </r>
  <r>
    <s v="LC-0018"/>
    <n v="2015"/>
    <d v="2015-12-15T00:00:00"/>
    <s v="South-East Asia"/>
    <s v="Timor-Leste"/>
    <n v="55"/>
    <x v="1"/>
    <x v="2"/>
    <n v="0"/>
    <n v="0"/>
    <x v="1"/>
    <x v="0"/>
    <x v="0"/>
    <x v="1"/>
    <x v="0"/>
    <n v="25.1"/>
    <x v="1"/>
    <s v="No"/>
    <x v="0"/>
    <x v="0"/>
    <x v="0"/>
    <s v="ALK"/>
    <s v="Yes"/>
    <s v="No"/>
    <s v="No"/>
    <s v="No"/>
    <s v="No"/>
    <s v="No"/>
    <s v="No"/>
    <s v="Yes"/>
    <s v="No"/>
    <s v="No"/>
    <x v="0"/>
    <s v="Adenocarcinoma"/>
    <x v="1"/>
    <n v="1.3"/>
    <s v="No"/>
    <s v="LDCT Screening"/>
    <s v="Targeted Therapy"/>
    <n v="60"/>
    <s v="Yes"/>
  </r>
  <r>
    <s v="LC-0019"/>
    <n v="2016"/>
    <d v="2016-02-13T00:00:00"/>
    <s v="Europe"/>
    <s v="Germany"/>
    <n v="60"/>
    <x v="0"/>
    <x v="1"/>
    <n v="17"/>
    <n v="18"/>
    <x v="1"/>
    <x v="0"/>
    <x v="0"/>
    <x v="2"/>
    <x v="2"/>
    <n v="22.6"/>
    <x v="0"/>
    <s v="Yes"/>
    <x v="0"/>
    <x v="0"/>
    <x v="0"/>
    <s v="ALK"/>
    <s v="No"/>
    <s v="Yes"/>
    <s v="No"/>
    <s v="Yes"/>
    <s v="Yes"/>
    <s v="No"/>
    <s v="Yes"/>
    <s v="No"/>
    <s v="Yes"/>
    <s v="Yes"/>
    <x v="1"/>
    <s v="Not Applicable"/>
    <x v="3"/>
    <n v="4.9000000000000004"/>
    <s v="No"/>
    <s v="Bronchoscopy"/>
    <s v="Surgery + Chemotherapy"/>
    <n v="51"/>
    <s v="No"/>
  </r>
  <r>
    <s v="LC-0020"/>
    <n v="2020"/>
    <d v="2020-09-10T00:00:00"/>
    <s v="South-East Asia"/>
    <s v="Bhutan"/>
    <n v="61"/>
    <x v="0"/>
    <x v="2"/>
    <n v="0"/>
    <n v="0"/>
    <x v="0"/>
    <x v="1"/>
    <x v="0"/>
    <x v="1"/>
    <x v="1"/>
    <n v="24.1"/>
    <x v="0"/>
    <s v="No"/>
    <x v="0"/>
    <x v="0"/>
    <x v="0"/>
    <s v="No Mutation"/>
    <s v="No"/>
    <s v="No"/>
    <s v="No"/>
    <s v="No"/>
    <s v="Yes"/>
    <s v="No"/>
    <s v="No"/>
    <s v="No"/>
    <s v="No"/>
    <s v="No"/>
    <x v="0"/>
    <s v="Adenocarcinoma"/>
    <x v="1"/>
    <n v="2.1"/>
    <s v="No"/>
    <s v="Bronchoscopy"/>
    <s v="Surgery"/>
    <n v="76"/>
    <s v="Yes"/>
  </r>
  <r>
    <s v="LC-0021"/>
    <n v="2025"/>
    <d v="2025-06-19T00:00:00"/>
    <s v="Eastern Mediterranean"/>
    <s v="UAE"/>
    <n v="66"/>
    <x v="1"/>
    <x v="2"/>
    <n v="0"/>
    <n v="0"/>
    <x v="0"/>
    <x v="0"/>
    <x v="0"/>
    <x v="0"/>
    <x v="0"/>
    <n v="24.8"/>
    <x v="0"/>
    <s v="No"/>
    <x v="0"/>
    <x v="0"/>
    <x v="0"/>
    <s v="No Mutation"/>
    <s v="Yes"/>
    <s v="No"/>
    <s v="Yes"/>
    <s v="No"/>
    <s v="Yes"/>
    <s v="No"/>
    <s v="No"/>
    <s v="Yes"/>
    <s v="No"/>
    <s v="No"/>
    <x v="0"/>
    <s v="Adenocarcinoma"/>
    <x v="2"/>
    <n v="4.7"/>
    <s v="No"/>
    <s v="Biopsy"/>
    <s v="Chemotherapy"/>
    <n v="9"/>
    <s v="No"/>
  </r>
  <r>
    <s v="LC-0022"/>
    <n v="2020"/>
    <d v="2020-12-03T00:00:00"/>
    <s v="Europe"/>
    <s v="UK"/>
    <n v="60"/>
    <x v="0"/>
    <x v="2"/>
    <n v="0"/>
    <n v="0"/>
    <x v="1"/>
    <x v="1"/>
    <x v="0"/>
    <x v="1"/>
    <x v="2"/>
    <n v="22"/>
    <x v="1"/>
    <s v="No"/>
    <x v="0"/>
    <x v="0"/>
    <x v="0"/>
    <s v="HER2"/>
    <s v="No"/>
    <s v="No"/>
    <s v="No"/>
    <s v="No"/>
    <s v="Yes"/>
    <s v="Yes"/>
    <s v="No"/>
    <s v="No"/>
    <s v="Yes"/>
    <s v="No"/>
    <x v="0"/>
    <s v="Adenocarcinoma"/>
    <x v="3"/>
    <n v="3.3"/>
    <s v="No"/>
    <s v="PET Scan"/>
    <s v="Surgery + Chemotherapy"/>
    <n v="50"/>
    <s v="Yes"/>
  </r>
  <r>
    <s v="LC-0023"/>
    <n v="2020"/>
    <d v="2020-11-08T00:00:00"/>
    <s v="Europe"/>
    <s v="Spain"/>
    <n v="45"/>
    <x v="0"/>
    <x v="2"/>
    <n v="0"/>
    <n v="0"/>
    <x v="0"/>
    <x v="1"/>
    <x v="0"/>
    <x v="2"/>
    <x v="0"/>
    <n v="21.3"/>
    <x v="1"/>
    <s v="No"/>
    <x v="0"/>
    <x v="0"/>
    <x v="0"/>
    <s v="RET"/>
    <s v="Yes"/>
    <s v="No"/>
    <s v="Yes"/>
    <s v="No"/>
    <s v="Yes"/>
    <s v="No"/>
    <s v="Yes"/>
    <s v="No"/>
    <s v="No"/>
    <s v="No"/>
    <x v="0"/>
    <s v="Squamous Cell"/>
    <x v="1"/>
    <n v="1.1000000000000001"/>
    <s v="No"/>
    <s v="Bronchoscopy"/>
    <s v="Surgery"/>
    <n v="106"/>
    <s v="Yes"/>
  </r>
  <r>
    <s v="LC-0024"/>
    <n v="2021"/>
    <d v="2021-02-28T00:00:00"/>
    <s v="Europe"/>
    <s v="Italy"/>
    <n v="75"/>
    <x v="1"/>
    <x v="0"/>
    <n v="5"/>
    <n v="36"/>
    <x v="1"/>
    <x v="0"/>
    <x v="0"/>
    <x v="0"/>
    <x v="2"/>
    <n v="25.5"/>
    <x v="0"/>
    <s v="Yes"/>
    <x v="0"/>
    <x v="0"/>
    <x v="1"/>
    <s v="KRAS"/>
    <s v="Yes"/>
    <s v="Yes"/>
    <s v="Yes"/>
    <s v="Yes"/>
    <s v="No"/>
    <s v="Yes"/>
    <s v="No"/>
    <s v="Yes"/>
    <s v="Yes"/>
    <s v="No"/>
    <x v="0"/>
    <s v="Large Cell"/>
    <x v="0"/>
    <n v="5.0999999999999996"/>
    <s v="Yes"/>
    <s v="PET Scan"/>
    <s v="Targeted Therapy"/>
    <n v="4"/>
    <s v="No"/>
  </r>
  <r>
    <s v="LC-0025"/>
    <n v="2015"/>
    <d v="2015-02-13T00:00:00"/>
    <s v="Americas"/>
    <s v="Argentina"/>
    <n v="46"/>
    <x v="1"/>
    <x v="2"/>
    <n v="0"/>
    <n v="0"/>
    <x v="1"/>
    <x v="0"/>
    <x v="0"/>
    <x v="2"/>
    <x v="2"/>
    <n v="33.6"/>
    <x v="0"/>
    <s v="No"/>
    <x v="0"/>
    <x v="0"/>
    <x v="0"/>
    <s v="ALK"/>
    <s v="No"/>
    <s v="No"/>
    <s v="Yes"/>
    <s v="No"/>
    <s v="Yes"/>
    <s v="No"/>
    <s v="No"/>
    <s v="No"/>
    <s v="Yes"/>
    <s v="No"/>
    <x v="0"/>
    <s v="Adenocarcinoma"/>
    <x v="1"/>
    <n v="2.2999999999999998"/>
    <s v="No"/>
    <s v="LDCT Screening"/>
    <s v="Surgery + Chemotherapy"/>
    <n v="60"/>
    <s v="Yes"/>
  </r>
  <r>
    <s v="LC-0026"/>
    <n v="2015"/>
    <d v="2015-08-21T00:00:00"/>
    <s v="Western Pacific"/>
    <s v="Vietnam"/>
    <n v="46"/>
    <x v="1"/>
    <x v="2"/>
    <n v="0"/>
    <n v="0"/>
    <x v="1"/>
    <x v="0"/>
    <x v="1"/>
    <x v="2"/>
    <x v="0"/>
    <n v="28.7"/>
    <x v="2"/>
    <s v="No"/>
    <x v="0"/>
    <x v="0"/>
    <x v="0"/>
    <s v="EGFR"/>
    <s v="No"/>
    <s v="No"/>
    <s v="No"/>
    <s v="No"/>
    <s v="Yes"/>
    <s v="Yes"/>
    <s v="No"/>
    <s v="Yes"/>
    <s v="No"/>
    <s v="No"/>
    <x v="0"/>
    <s v="Adenocarcinoma"/>
    <x v="3"/>
    <n v="7"/>
    <s v="No"/>
    <s v="Bronchoscopy"/>
    <s v="Surgery + Chemotherapy"/>
    <n v="22"/>
    <s v="No"/>
  </r>
  <r>
    <s v="LC-0027"/>
    <n v="2023"/>
    <d v="2023-03-12T00:00:00"/>
    <s v="Americas"/>
    <s v="Colombia"/>
    <n v="69"/>
    <x v="1"/>
    <x v="0"/>
    <n v="9"/>
    <n v="51"/>
    <x v="0"/>
    <x v="0"/>
    <x v="1"/>
    <x v="2"/>
    <x v="2"/>
    <n v="26.1"/>
    <x v="1"/>
    <s v="No"/>
    <x v="0"/>
    <x v="0"/>
    <x v="0"/>
    <s v="No Mutation"/>
    <s v="Yes"/>
    <s v="Yes"/>
    <s v="Yes"/>
    <s v="Yes"/>
    <s v="Yes"/>
    <s v="No"/>
    <s v="Yes"/>
    <s v="No"/>
    <s v="No"/>
    <s v="No"/>
    <x v="0"/>
    <s v="Large Cell"/>
    <x v="0"/>
    <n v="7.9"/>
    <s v="Yes"/>
    <s v="Bronchoscopy"/>
    <s v="Targeted Therapy"/>
    <n v="12"/>
    <s v="No"/>
  </r>
  <r>
    <s v="LC-0028"/>
    <n v="2021"/>
    <d v="2021-04-22T00:00:00"/>
    <s v="Americas"/>
    <s v="Argentina"/>
    <n v="62"/>
    <x v="0"/>
    <x v="1"/>
    <n v="16"/>
    <n v="20"/>
    <x v="0"/>
    <x v="0"/>
    <x v="0"/>
    <x v="1"/>
    <x v="1"/>
    <n v="27"/>
    <x v="2"/>
    <s v="No"/>
    <x v="0"/>
    <x v="0"/>
    <x v="0"/>
    <s v="No Mutation"/>
    <s v="Yes"/>
    <s v="No"/>
    <s v="Yes"/>
    <s v="Yes"/>
    <s v="Yes"/>
    <s v="No"/>
    <s v="No"/>
    <s v="No"/>
    <s v="Yes"/>
    <s v="No"/>
    <x v="0"/>
    <s v="Squamous Cell"/>
    <x v="3"/>
    <n v="4.7"/>
    <s v="No"/>
    <s v="Biopsy"/>
    <s v="Targeted Therapy"/>
    <n v="17"/>
    <s v="Yes"/>
  </r>
  <r>
    <s v="LC-0029"/>
    <n v="2015"/>
    <d v="2015-12-22T00:00:00"/>
    <s v="Western Pacific"/>
    <s v="Japan"/>
    <n v="57"/>
    <x v="1"/>
    <x v="1"/>
    <n v="26"/>
    <n v="19"/>
    <x v="1"/>
    <x v="0"/>
    <x v="0"/>
    <x v="0"/>
    <x v="2"/>
    <n v="27.8"/>
    <x v="0"/>
    <s v="Yes"/>
    <x v="0"/>
    <x v="0"/>
    <x v="0"/>
    <s v="KRAS"/>
    <s v="Yes"/>
    <s v="Yes"/>
    <s v="No"/>
    <s v="No"/>
    <s v="Yes"/>
    <s v="No"/>
    <s v="Yes"/>
    <s v="No"/>
    <s v="No"/>
    <s v="Yes"/>
    <x v="0"/>
    <s v="Large Cell"/>
    <x v="0"/>
    <n v="10.199999999999999"/>
    <s v="Yes"/>
    <s v="PET Scan"/>
    <s v="Targeted Therapy"/>
    <n v="13"/>
    <s v="No"/>
  </r>
  <r>
    <s v="LC-0030"/>
    <n v="2018"/>
    <d v="2018-10-21T00:00:00"/>
    <s v="Americas"/>
    <s v="Brazil"/>
    <n v="68"/>
    <x v="1"/>
    <x v="1"/>
    <n v="10"/>
    <n v="25"/>
    <x v="1"/>
    <x v="1"/>
    <x v="0"/>
    <x v="2"/>
    <x v="0"/>
    <n v="24.2"/>
    <x v="1"/>
    <s v="No"/>
    <x v="0"/>
    <x v="0"/>
    <x v="0"/>
    <s v="KRAS"/>
    <s v="Yes"/>
    <s v="No"/>
    <s v="No"/>
    <s v="No"/>
    <s v="No"/>
    <s v="No"/>
    <s v="No"/>
    <s v="Yes"/>
    <s v="No"/>
    <s v="No"/>
    <x v="0"/>
    <s v="Squamous Cell"/>
    <x v="2"/>
    <n v="5.8"/>
    <s v="No"/>
    <s v="CT Scan"/>
    <s v="Chemotherapy"/>
    <n v="13"/>
    <s v="No"/>
  </r>
  <r>
    <s v="LC-0031"/>
    <n v="2021"/>
    <d v="2021-09-24T00:00:00"/>
    <s v="Eastern Mediterranean"/>
    <s v="UAE"/>
    <n v="71"/>
    <x v="0"/>
    <x v="2"/>
    <n v="0"/>
    <n v="0"/>
    <x v="0"/>
    <x v="0"/>
    <x v="0"/>
    <x v="1"/>
    <x v="1"/>
    <n v="22"/>
    <x v="2"/>
    <s v="No"/>
    <x v="0"/>
    <x v="0"/>
    <x v="0"/>
    <s v="HER2"/>
    <s v="No"/>
    <s v="Yes"/>
    <s v="No"/>
    <s v="No"/>
    <s v="Yes"/>
    <s v="No"/>
    <s v="Yes"/>
    <s v="No"/>
    <s v="No"/>
    <s v="No"/>
    <x v="0"/>
    <s v="Squamous Cell"/>
    <x v="3"/>
    <n v="4.0999999999999996"/>
    <s v="No"/>
    <s v="CT Scan"/>
    <s v="Surgery + Chemotherapy"/>
    <n v="38"/>
    <s v="No"/>
  </r>
  <r>
    <s v="LC-0032"/>
    <n v="2022"/>
    <d v="2022-03-15T00:00:00"/>
    <s v="Europe"/>
    <s v="Turkey"/>
    <n v="60"/>
    <x v="0"/>
    <x v="2"/>
    <n v="0"/>
    <n v="0"/>
    <x v="1"/>
    <x v="0"/>
    <x v="0"/>
    <x v="1"/>
    <x v="0"/>
    <n v="24.9"/>
    <x v="2"/>
    <s v="No"/>
    <x v="0"/>
    <x v="0"/>
    <x v="0"/>
    <s v="EGFR"/>
    <s v="No"/>
    <s v="No"/>
    <s v="No"/>
    <s v="Yes"/>
    <s v="No"/>
    <s v="No"/>
    <s v="No"/>
    <s v="No"/>
    <s v="Yes"/>
    <s v="No"/>
    <x v="0"/>
    <s v="Adenocarcinoma"/>
    <x v="1"/>
    <n v="3.5"/>
    <s v="No"/>
    <s v="CT Scan"/>
    <s v="Surgery + Chemotherapy"/>
    <n v="50"/>
    <s v="Yes"/>
  </r>
  <r>
    <s v="LC-0033"/>
    <n v="2020"/>
    <d v="2020-05-21T00:00:00"/>
    <s v="Europe"/>
    <s v="Netherlands"/>
    <n v="69"/>
    <x v="1"/>
    <x v="0"/>
    <n v="34"/>
    <n v="33"/>
    <x v="1"/>
    <x v="0"/>
    <x v="0"/>
    <x v="2"/>
    <x v="2"/>
    <n v="24.2"/>
    <x v="2"/>
    <s v="No"/>
    <x v="0"/>
    <x v="0"/>
    <x v="0"/>
    <s v="No Mutation"/>
    <s v="Yes"/>
    <s v="No"/>
    <s v="Yes"/>
    <s v="Yes"/>
    <s v="Yes"/>
    <s v="No"/>
    <s v="Yes"/>
    <s v="No"/>
    <s v="No"/>
    <s v="No"/>
    <x v="0"/>
    <s v="Large Cell"/>
    <x v="0"/>
    <n v="9.6999999999999993"/>
    <s v="Yes"/>
    <s v="Bronchoscopy"/>
    <s v="Chemo + Radiation"/>
    <n v="11"/>
    <s v="No"/>
  </r>
  <r>
    <s v="LC-0034"/>
    <n v="2015"/>
    <d v="2015-04-22T00:00:00"/>
    <s v="Western Pacific"/>
    <s v="Vietnam"/>
    <n v="62"/>
    <x v="1"/>
    <x v="0"/>
    <n v="39"/>
    <n v="30"/>
    <x v="1"/>
    <x v="1"/>
    <x v="0"/>
    <x v="2"/>
    <x v="2"/>
    <n v="23.5"/>
    <x v="0"/>
    <s v="No"/>
    <x v="0"/>
    <x v="0"/>
    <x v="1"/>
    <s v="EGFR"/>
    <s v="Yes"/>
    <s v="Yes"/>
    <s v="No"/>
    <s v="Yes"/>
    <s v="No"/>
    <s v="No"/>
    <s v="No"/>
    <s v="Yes"/>
    <s v="No"/>
    <s v="Yes"/>
    <x v="0"/>
    <s v="Large Cell"/>
    <x v="3"/>
    <n v="6.1"/>
    <s v="No"/>
    <s v="PET Scan"/>
    <s v="Chemotherapy"/>
    <n v="43"/>
    <s v="Yes"/>
  </r>
  <r>
    <s v="LC-0035"/>
    <n v="2021"/>
    <d v="2021-01-08T00:00:00"/>
    <s v="Americas"/>
    <s v="USA"/>
    <n v="52"/>
    <x v="1"/>
    <x v="2"/>
    <n v="0"/>
    <n v="0"/>
    <x v="1"/>
    <x v="0"/>
    <x v="1"/>
    <x v="2"/>
    <x v="0"/>
    <n v="25.4"/>
    <x v="1"/>
    <s v="No"/>
    <x v="1"/>
    <x v="0"/>
    <x v="1"/>
    <s v="TP53"/>
    <s v="No"/>
    <s v="No"/>
    <s v="No"/>
    <s v="No"/>
    <s v="Yes"/>
    <s v="No"/>
    <s v="Yes"/>
    <s v="No"/>
    <s v="No"/>
    <s v="No"/>
    <x v="0"/>
    <s v="Adenocarcinoma"/>
    <x v="3"/>
    <n v="3.4"/>
    <s v="No"/>
    <s v="Bronchoscopy"/>
    <s v="Surgery + Chemotherapy"/>
    <n v="21"/>
    <s v="No"/>
  </r>
  <r>
    <s v="LC-0036"/>
    <n v="2021"/>
    <d v="2021-06-13T00:00:00"/>
    <s v="Europe"/>
    <s v="Spain"/>
    <n v="58"/>
    <x v="0"/>
    <x v="1"/>
    <n v="15"/>
    <n v="11"/>
    <x v="0"/>
    <x v="0"/>
    <x v="0"/>
    <x v="1"/>
    <x v="2"/>
    <n v="27.3"/>
    <x v="1"/>
    <s v="No"/>
    <x v="0"/>
    <x v="0"/>
    <x v="0"/>
    <s v="EGFR"/>
    <s v="No"/>
    <s v="No"/>
    <s v="No"/>
    <s v="No"/>
    <s v="Yes"/>
    <s v="No"/>
    <s v="No"/>
    <s v="No"/>
    <s v="No"/>
    <s v="No"/>
    <x v="0"/>
    <s v="Adenocarcinoma"/>
    <x v="2"/>
    <n v="4.5"/>
    <s v="No"/>
    <s v="Biopsy"/>
    <s v="Targeted Therapy"/>
    <n v="21"/>
    <s v="No"/>
  </r>
  <r>
    <s v="LC-0037"/>
    <n v="2018"/>
    <d v="2018-02-07T00:00:00"/>
    <s v="Western Pacific"/>
    <s v="Mongolia"/>
    <n v="62"/>
    <x v="1"/>
    <x v="0"/>
    <n v="36"/>
    <n v="26"/>
    <x v="1"/>
    <x v="0"/>
    <x v="0"/>
    <x v="0"/>
    <x v="0"/>
    <n v="30.7"/>
    <x v="2"/>
    <s v="Yes"/>
    <x v="0"/>
    <x v="0"/>
    <x v="0"/>
    <s v="ALK"/>
    <s v="No"/>
    <s v="Yes"/>
    <s v="Yes"/>
    <s v="Yes"/>
    <s v="Yes"/>
    <s v="Yes"/>
    <s v="Yes"/>
    <s v="No"/>
    <s v="No"/>
    <s v="No"/>
    <x v="0"/>
    <s v="Squamous Cell"/>
    <x v="3"/>
    <n v="5.5"/>
    <s v="No"/>
    <s v="CT Scan"/>
    <s v="Surgery + Chemotherapy"/>
    <n v="47"/>
    <s v="No"/>
  </r>
  <r>
    <s v="LC-0038"/>
    <n v="2024"/>
    <d v="2024-12-11T00:00:00"/>
    <s v="Europe"/>
    <s v="Italy"/>
    <n v="55"/>
    <x v="0"/>
    <x v="2"/>
    <n v="0"/>
    <n v="0"/>
    <x v="0"/>
    <x v="0"/>
    <x v="0"/>
    <x v="2"/>
    <x v="0"/>
    <n v="25.7"/>
    <x v="1"/>
    <s v="No"/>
    <x v="0"/>
    <x v="0"/>
    <x v="1"/>
    <s v="EGFR"/>
    <s v="No"/>
    <s v="No"/>
    <s v="Yes"/>
    <s v="No"/>
    <s v="Yes"/>
    <s v="No"/>
    <s v="No"/>
    <s v="No"/>
    <s v="No"/>
    <s v="No"/>
    <x v="0"/>
    <s v="Adenocarcinoma"/>
    <x v="1"/>
    <n v="1.5"/>
    <s v="No"/>
    <s v="Chest X-Ray"/>
    <s v="Surgery"/>
    <n v="64"/>
    <s v="Yes"/>
  </r>
  <r>
    <s v="LC-0039"/>
    <n v="2017"/>
    <d v="2017-11-16T00:00:00"/>
    <s v="Western Pacific"/>
    <s v="Malaysia"/>
    <n v="59"/>
    <x v="0"/>
    <x v="2"/>
    <n v="0"/>
    <n v="0"/>
    <x v="1"/>
    <x v="0"/>
    <x v="0"/>
    <x v="2"/>
    <x v="1"/>
    <n v="28"/>
    <x v="1"/>
    <s v="No"/>
    <x v="0"/>
    <x v="0"/>
    <x v="0"/>
    <s v="No Mutation"/>
    <s v="Yes"/>
    <s v="No"/>
    <s v="No"/>
    <s v="Yes"/>
    <s v="No"/>
    <s v="No"/>
    <s v="No"/>
    <s v="No"/>
    <s v="No"/>
    <s v="No"/>
    <x v="0"/>
    <s v="Adenocarcinoma"/>
    <x v="1"/>
    <n v="2.5"/>
    <s v="No"/>
    <s v="Chest X-Ray"/>
    <s v="Surgery + Chemotherapy"/>
    <n v="72"/>
    <s v="Yes"/>
  </r>
  <r>
    <s v="LC-0040"/>
    <n v="2016"/>
    <d v="2016-11-15T00:00:00"/>
    <s v="Europe"/>
    <s v="France"/>
    <n v="52"/>
    <x v="1"/>
    <x v="1"/>
    <n v="3"/>
    <n v="7"/>
    <x v="1"/>
    <x v="1"/>
    <x v="0"/>
    <x v="2"/>
    <x v="0"/>
    <n v="32.700000000000003"/>
    <x v="1"/>
    <s v="No"/>
    <x v="0"/>
    <x v="0"/>
    <x v="0"/>
    <s v="No Mutation"/>
    <s v="Yes"/>
    <s v="No"/>
    <s v="Yes"/>
    <s v="No"/>
    <s v="Yes"/>
    <s v="No"/>
    <s v="No"/>
    <s v="No"/>
    <s v="No"/>
    <s v="No"/>
    <x v="0"/>
    <s v="Squamous Cell"/>
    <x v="0"/>
    <n v="7.8"/>
    <s v="Yes"/>
    <s v="CT Scan"/>
    <s v="Chemotherapy"/>
    <n v="6"/>
    <s v="No"/>
  </r>
  <r>
    <s v="LC-0041"/>
    <n v="2016"/>
    <d v="2016-05-05T00:00:00"/>
    <s v="Western Pacific"/>
    <s v="Australia"/>
    <n v="62"/>
    <x v="1"/>
    <x v="0"/>
    <n v="15"/>
    <n v="19"/>
    <x v="1"/>
    <x v="0"/>
    <x v="0"/>
    <x v="1"/>
    <x v="2"/>
    <n v="22.1"/>
    <x v="0"/>
    <s v="No"/>
    <x v="0"/>
    <x v="0"/>
    <x v="0"/>
    <s v="KRAS"/>
    <s v="Yes"/>
    <s v="No"/>
    <s v="Yes"/>
    <s v="No"/>
    <s v="Yes"/>
    <s v="No"/>
    <s v="Yes"/>
    <s v="No"/>
    <s v="No"/>
    <s v="Yes"/>
    <x v="0"/>
    <s v="Large Cell"/>
    <x v="2"/>
    <n v="4.5"/>
    <s v="No"/>
    <s v="Bronchoscopy"/>
    <s v="Surgery + Chemotherapy"/>
    <n v="12"/>
    <s v="No"/>
  </r>
  <r>
    <s v="LC-0042"/>
    <n v="2024"/>
    <d v="2024-12-18T00:00:00"/>
    <s v="Western Pacific"/>
    <s v="Singapore"/>
    <n v="70"/>
    <x v="1"/>
    <x v="0"/>
    <n v="17"/>
    <n v="29"/>
    <x v="1"/>
    <x v="1"/>
    <x v="0"/>
    <x v="0"/>
    <x v="2"/>
    <n v="31.5"/>
    <x v="0"/>
    <s v="No"/>
    <x v="0"/>
    <x v="0"/>
    <x v="0"/>
    <s v="EGFR"/>
    <s v="Yes"/>
    <s v="Yes"/>
    <s v="Yes"/>
    <s v="Yes"/>
    <s v="Yes"/>
    <s v="No"/>
    <s v="Yes"/>
    <s v="No"/>
    <s v="Yes"/>
    <s v="No"/>
    <x v="0"/>
    <s v="Adenocarcinoma"/>
    <x v="0"/>
    <n v="10.3"/>
    <s v="Yes"/>
    <s v="Biopsy"/>
    <s v="Radiotherapy"/>
    <n v="10"/>
    <s v="No"/>
  </r>
  <r>
    <s v="LC-0043"/>
    <n v="2016"/>
    <d v="2016-05-24T00:00:00"/>
    <s v="Americas"/>
    <s v="Venezuela"/>
    <n v="52"/>
    <x v="0"/>
    <x v="2"/>
    <n v="0"/>
    <n v="0"/>
    <x v="0"/>
    <x v="1"/>
    <x v="0"/>
    <x v="2"/>
    <x v="1"/>
    <n v="22.4"/>
    <x v="0"/>
    <s v="No"/>
    <x v="0"/>
    <x v="0"/>
    <x v="0"/>
    <s v="ALK"/>
    <s v="Yes"/>
    <s v="No"/>
    <s v="No"/>
    <s v="No"/>
    <s v="Yes"/>
    <s v="No"/>
    <s v="No"/>
    <s v="Yes"/>
    <s v="No"/>
    <s v="No"/>
    <x v="0"/>
    <s v="Adenocarcinoma"/>
    <x v="1"/>
    <n v="1.8"/>
    <s v="No"/>
    <s v="CT Scan"/>
    <s v="Surgery"/>
    <n v="88"/>
    <s v="Yes"/>
  </r>
  <r>
    <s v="LC-0044"/>
    <n v="2024"/>
    <d v="2024-07-19T00:00:00"/>
    <s v="Western Pacific"/>
    <s v="Malaysia"/>
    <n v="52"/>
    <x v="1"/>
    <x v="2"/>
    <n v="0"/>
    <n v="0"/>
    <x v="1"/>
    <x v="0"/>
    <x v="0"/>
    <x v="1"/>
    <x v="2"/>
    <n v="25.2"/>
    <x v="0"/>
    <s v="No"/>
    <x v="0"/>
    <x v="0"/>
    <x v="0"/>
    <s v="No Mutation"/>
    <s v="Yes"/>
    <s v="Yes"/>
    <s v="No"/>
    <s v="No"/>
    <s v="Yes"/>
    <s v="No"/>
    <s v="No"/>
    <s v="No"/>
    <s v="No"/>
    <s v="No"/>
    <x v="0"/>
    <s v="Adenocarcinoma"/>
    <x v="0"/>
    <n v="7.9"/>
    <s v="Yes"/>
    <s v="PET Scan"/>
    <s v="Radiotherapy"/>
    <n v="6"/>
    <s v="No"/>
  </r>
  <r>
    <s v="LC-0045"/>
    <n v="2016"/>
    <d v="2016-06-08T00:00:00"/>
    <s v="Western Pacific"/>
    <s v="South Korea"/>
    <n v="68"/>
    <x v="1"/>
    <x v="0"/>
    <n v="30"/>
    <n v="29"/>
    <x v="0"/>
    <x v="0"/>
    <x v="0"/>
    <x v="1"/>
    <x v="2"/>
    <n v="23.5"/>
    <x v="2"/>
    <s v="Yes"/>
    <x v="0"/>
    <x v="0"/>
    <x v="0"/>
    <s v="No Mutation"/>
    <s v="Yes"/>
    <s v="Yes"/>
    <s v="Yes"/>
    <s v="Yes"/>
    <s v="Yes"/>
    <s v="Yes"/>
    <s v="Yes"/>
    <s v="Yes"/>
    <s v="Yes"/>
    <s v="No"/>
    <x v="0"/>
    <s v="Large Cell"/>
    <x v="2"/>
    <n v="5.3"/>
    <s v="No"/>
    <s v="PET Scan"/>
    <s v="Chemo + Radiation"/>
    <n v="10"/>
    <s v="No"/>
  </r>
  <r>
    <s v="LC-0046"/>
    <n v="2022"/>
    <d v="2022-09-16T00:00:00"/>
    <s v="Eastern Mediterranean"/>
    <s v="Iran"/>
    <n v="56"/>
    <x v="1"/>
    <x v="2"/>
    <n v="0"/>
    <n v="0"/>
    <x v="0"/>
    <x v="0"/>
    <x v="0"/>
    <x v="0"/>
    <x v="0"/>
    <n v="26.2"/>
    <x v="0"/>
    <s v="No"/>
    <x v="0"/>
    <x v="0"/>
    <x v="1"/>
    <s v="KRAS"/>
    <s v="No"/>
    <s v="No"/>
    <s v="No"/>
    <s v="No"/>
    <s v="Yes"/>
    <s v="No"/>
    <s v="No"/>
    <s v="Yes"/>
    <s v="No"/>
    <s v="No"/>
    <x v="0"/>
    <s v="Adenocarcinoma"/>
    <x v="3"/>
    <n v="2"/>
    <s v="No"/>
    <s v="Bronchoscopy"/>
    <s v="Radiotherapy"/>
    <n v="27"/>
    <s v="Yes"/>
  </r>
  <r>
    <s v="LC-0047"/>
    <n v="2024"/>
    <d v="2024-01-28T00:00:00"/>
    <s v="Americas"/>
    <s v="Canada"/>
    <n v="53"/>
    <x v="1"/>
    <x v="2"/>
    <n v="0"/>
    <n v="0"/>
    <x v="0"/>
    <x v="0"/>
    <x v="1"/>
    <x v="0"/>
    <x v="0"/>
    <n v="26.4"/>
    <x v="0"/>
    <s v="No"/>
    <x v="0"/>
    <x v="0"/>
    <x v="0"/>
    <s v="KRAS"/>
    <s v="No"/>
    <s v="No"/>
    <s v="No"/>
    <s v="No"/>
    <s v="Yes"/>
    <s v="No"/>
    <s v="No"/>
    <s v="Yes"/>
    <s v="No"/>
    <s v="Yes"/>
    <x v="0"/>
    <s v="Adenocarcinoma"/>
    <x v="2"/>
    <n v="7.8"/>
    <s v="No"/>
    <s v="Biopsy"/>
    <s v="Surgery + Chemotherapy"/>
    <n v="28"/>
    <s v="Yes"/>
  </r>
  <r>
    <s v="LC-0048"/>
    <n v="2017"/>
    <d v="2017-03-21T00:00:00"/>
    <s v="Western Pacific"/>
    <s v="South Korea"/>
    <n v="60"/>
    <x v="1"/>
    <x v="0"/>
    <n v="25"/>
    <n v="24"/>
    <x v="0"/>
    <x v="1"/>
    <x v="0"/>
    <x v="1"/>
    <x v="0"/>
    <n v="27.2"/>
    <x v="0"/>
    <s v="Yes"/>
    <x v="0"/>
    <x v="0"/>
    <x v="0"/>
    <s v="BRAF"/>
    <s v="Yes"/>
    <s v="Yes"/>
    <s v="No"/>
    <s v="Yes"/>
    <s v="Yes"/>
    <s v="Yes"/>
    <s v="No"/>
    <s v="Yes"/>
    <s v="No"/>
    <s v="No"/>
    <x v="0"/>
    <s v="Adenocarcinoma"/>
    <x v="3"/>
    <n v="6.6"/>
    <s v="No"/>
    <s v="Biopsy"/>
    <s v="Radiotherapy"/>
    <n v="42"/>
    <s v="Yes"/>
  </r>
  <r>
    <s v="LC-0049"/>
    <n v="2024"/>
    <d v="2024-11-14T00:00:00"/>
    <s v="South-East Asia"/>
    <s v="Bhutan"/>
    <n v="72"/>
    <x v="0"/>
    <x v="2"/>
    <n v="0"/>
    <n v="0"/>
    <x v="1"/>
    <x v="0"/>
    <x v="1"/>
    <x v="0"/>
    <x v="1"/>
    <n v="33.700000000000003"/>
    <x v="0"/>
    <s v="No"/>
    <x v="0"/>
    <x v="0"/>
    <x v="0"/>
    <s v="No Mutation"/>
    <s v="Yes"/>
    <s v="Yes"/>
    <s v="Yes"/>
    <s v="No"/>
    <s v="Yes"/>
    <s v="No"/>
    <s v="No"/>
    <s v="No"/>
    <s v="No"/>
    <s v="No"/>
    <x v="0"/>
    <s v="Squamous Cell"/>
    <x v="3"/>
    <n v="5.4"/>
    <s v="No"/>
    <s v="Bronchoscopy"/>
    <s v="Chemotherapy"/>
    <n v="45"/>
    <s v="Yes"/>
  </r>
  <r>
    <s v="LC-0050"/>
    <n v="2025"/>
    <d v="2025-02-13T00:00:00"/>
    <s v="Western Pacific"/>
    <s v="Malaysia"/>
    <n v="62"/>
    <x v="1"/>
    <x v="2"/>
    <n v="0"/>
    <n v="0"/>
    <x v="1"/>
    <x v="1"/>
    <x v="0"/>
    <x v="1"/>
    <x v="2"/>
    <n v="26.2"/>
    <x v="1"/>
    <s v="No"/>
    <x v="0"/>
    <x v="0"/>
    <x v="0"/>
    <s v="No Mutation"/>
    <s v="No"/>
    <s v="No"/>
    <s v="No"/>
    <s v="No"/>
    <s v="Yes"/>
    <s v="Yes"/>
    <s v="No"/>
    <s v="No"/>
    <s v="No"/>
    <s v="Yes"/>
    <x v="0"/>
    <s v="Squamous Cell"/>
    <x v="1"/>
    <n v="2.4"/>
    <s v="No"/>
    <s v="CT Scan"/>
    <s v="Surgery + Chemotherapy"/>
    <n v="38"/>
    <s v="Yes"/>
  </r>
  <r>
    <s v="LC-0051"/>
    <n v="2022"/>
    <d v="2022-10-15T00:00:00"/>
    <s v="Africa"/>
    <s v="Algeria"/>
    <n v="43"/>
    <x v="0"/>
    <x v="2"/>
    <n v="0"/>
    <n v="0"/>
    <x v="0"/>
    <x v="0"/>
    <x v="0"/>
    <x v="0"/>
    <x v="2"/>
    <n v="22.1"/>
    <x v="1"/>
    <s v="No"/>
    <x v="0"/>
    <x v="0"/>
    <x v="0"/>
    <s v="No Mutation"/>
    <s v="Yes"/>
    <s v="No"/>
    <s v="No"/>
    <s v="No"/>
    <s v="Yes"/>
    <s v="No"/>
    <s v="No"/>
    <s v="No"/>
    <s v="Yes"/>
    <s v="No"/>
    <x v="0"/>
    <s v="Adenocarcinoma"/>
    <x v="2"/>
    <n v="4.7"/>
    <s v="Yes"/>
    <s v="Biopsy"/>
    <s v="Targeted Therapy"/>
    <n v="24"/>
    <s v="No"/>
  </r>
  <r>
    <s v="LC-0052"/>
    <n v="2015"/>
    <d v="2015-05-18T00:00:00"/>
    <s v="South-East Asia"/>
    <s v="India"/>
    <n v="67"/>
    <x v="0"/>
    <x v="2"/>
    <n v="0"/>
    <n v="0"/>
    <x v="0"/>
    <x v="1"/>
    <x v="0"/>
    <x v="1"/>
    <x v="0"/>
    <n v="29.2"/>
    <x v="0"/>
    <s v="No"/>
    <x v="0"/>
    <x v="0"/>
    <x v="0"/>
    <s v="No Mutation"/>
    <s v="No"/>
    <s v="No"/>
    <s v="No"/>
    <s v="Yes"/>
    <s v="Yes"/>
    <s v="No"/>
    <s v="No"/>
    <s v="No"/>
    <s v="No"/>
    <s v="No"/>
    <x v="0"/>
    <s v="Adenocarcinoma"/>
    <x v="1"/>
    <n v="0.6"/>
    <s v="No"/>
    <s v="LDCT Screening"/>
    <s v="Surgery + Chemotherapy"/>
    <n v="62"/>
    <s v="Yes"/>
  </r>
  <r>
    <s v="LC-0053"/>
    <n v="2018"/>
    <d v="2018-11-24T00:00:00"/>
    <s v="Europe"/>
    <s v="Germany"/>
    <n v="54"/>
    <x v="0"/>
    <x v="2"/>
    <n v="0"/>
    <n v="0"/>
    <x v="0"/>
    <x v="0"/>
    <x v="1"/>
    <x v="2"/>
    <x v="2"/>
    <n v="28.1"/>
    <x v="1"/>
    <s v="No"/>
    <x v="0"/>
    <x v="0"/>
    <x v="0"/>
    <s v="HER2"/>
    <s v="Yes"/>
    <s v="No"/>
    <s v="No"/>
    <s v="No"/>
    <s v="Yes"/>
    <s v="Yes"/>
    <s v="No"/>
    <s v="Yes"/>
    <s v="No"/>
    <s v="No"/>
    <x v="0"/>
    <s v="Adenocarcinoma"/>
    <x v="2"/>
    <n v="4.4000000000000004"/>
    <s v="Yes"/>
    <s v="PET Scan"/>
    <s v="Targeted Therapy"/>
    <n v="17"/>
    <s v="Yes"/>
  </r>
  <r>
    <s v="LC-0054"/>
    <n v="2025"/>
    <d v="2025-11-18T00:00:00"/>
    <s v="Americas"/>
    <s v="Argentina"/>
    <n v="45"/>
    <x v="1"/>
    <x v="2"/>
    <n v="0"/>
    <n v="0"/>
    <x v="0"/>
    <x v="0"/>
    <x v="0"/>
    <x v="0"/>
    <x v="1"/>
    <n v="22.4"/>
    <x v="0"/>
    <s v="No"/>
    <x v="0"/>
    <x v="0"/>
    <x v="0"/>
    <s v="ALK"/>
    <s v="No"/>
    <s v="Yes"/>
    <s v="No"/>
    <s v="No"/>
    <s v="No"/>
    <s v="No"/>
    <s v="No"/>
    <s v="Yes"/>
    <s v="No"/>
    <s v="No"/>
    <x v="0"/>
    <s v="Large Cell"/>
    <x v="3"/>
    <n v="4.8"/>
    <s v="No"/>
    <s v="Biopsy"/>
    <s v="Surgery + Chemotherapy"/>
    <n v="42"/>
    <s v="Yes"/>
  </r>
  <r>
    <s v="LC-0055"/>
    <n v="2022"/>
    <d v="2022-11-11T00:00:00"/>
    <s v="Americas"/>
    <s v="Canada"/>
    <n v="50"/>
    <x v="1"/>
    <x v="2"/>
    <n v="0"/>
    <n v="0"/>
    <x v="1"/>
    <x v="0"/>
    <x v="0"/>
    <x v="0"/>
    <x v="2"/>
    <n v="26.3"/>
    <x v="1"/>
    <s v="Yes"/>
    <x v="0"/>
    <x v="0"/>
    <x v="0"/>
    <s v="EGFR"/>
    <s v="No"/>
    <s v="Yes"/>
    <s v="Yes"/>
    <s v="No"/>
    <s v="Yes"/>
    <s v="No"/>
    <s v="No"/>
    <s v="Yes"/>
    <s v="No"/>
    <s v="No"/>
    <x v="0"/>
    <s v="Adenocarcinoma"/>
    <x v="3"/>
    <n v="3.9"/>
    <s v="No"/>
    <s v="MRI"/>
    <s v="Radiotherapy"/>
    <n v="48"/>
    <s v="No"/>
  </r>
  <r>
    <s v="LC-0056"/>
    <n v="2016"/>
    <d v="2016-05-14T00:00:00"/>
    <s v="Eastern Mediterranean"/>
    <s v="Saudi Arabia"/>
    <n v="71"/>
    <x v="0"/>
    <x v="2"/>
    <n v="0"/>
    <n v="0"/>
    <x v="0"/>
    <x v="0"/>
    <x v="0"/>
    <x v="1"/>
    <x v="2"/>
    <n v="24.2"/>
    <x v="1"/>
    <s v="No"/>
    <x v="0"/>
    <x v="0"/>
    <x v="0"/>
    <s v="EGFR"/>
    <s v="No"/>
    <s v="No"/>
    <s v="No"/>
    <s v="No"/>
    <s v="No"/>
    <s v="No"/>
    <s v="No"/>
    <s v="Yes"/>
    <s v="No"/>
    <s v="No"/>
    <x v="0"/>
    <s v="Adenocarcinoma"/>
    <x v="1"/>
    <n v="3.1"/>
    <s v="No"/>
    <s v="CT Scan"/>
    <s v="Radiotherapy"/>
    <n v="60"/>
    <s v="No"/>
  </r>
  <r>
    <s v="LC-0057"/>
    <n v="2025"/>
    <d v="2025-08-01T00:00:00"/>
    <s v="Eastern Mediterranean"/>
    <s v="Iraq"/>
    <n v="46"/>
    <x v="0"/>
    <x v="0"/>
    <n v="22"/>
    <n v="28"/>
    <x v="1"/>
    <x v="0"/>
    <x v="1"/>
    <x v="1"/>
    <x v="0"/>
    <n v="36.9"/>
    <x v="2"/>
    <s v="No"/>
    <x v="0"/>
    <x v="0"/>
    <x v="0"/>
    <s v="TP53"/>
    <s v="No"/>
    <s v="Yes"/>
    <s v="Yes"/>
    <s v="No"/>
    <s v="No"/>
    <s v="Yes"/>
    <s v="Yes"/>
    <s v="No"/>
    <s v="No"/>
    <s v="Yes"/>
    <x v="0"/>
    <s v="Adenocarcinoma"/>
    <x v="2"/>
    <n v="7.8"/>
    <s v="No"/>
    <s v="PET Scan"/>
    <s v="Targeted Therapy"/>
    <n v="27"/>
    <s v="No"/>
  </r>
  <r>
    <s v="LC-0058"/>
    <n v="2021"/>
    <d v="2021-09-25T00:00:00"/>
    <s v="Western Pacific"/>
    <s v="South Korea"/>
    <n v="61"/>
    <x v="0"/>
    <x v="2"/>
    <n v="0"/>
    <n v="0"/>
    <x v="1"/>
    <x v="1"/>
    <x v="1"/>
    <x v="1"/>
    <x v="0"/>
    <n v="23.3"/>
    <x v="2"/>
    <s v="No"/>
    <x v="0"/>
    <x v="0"/>
    <x v="0"/>
    <s v="ALK"/>
    <s v="Yes"/>
    <s v="Yes"/>
    <s v="No"/>
    <s v="No"/>
    <s v="No"/>
    <s v="No"/>
    <s v="No"/>
    <s v="No"/>
    <s v="No"/>
    <s v="No"/>
    <x v="0"/>
    <s v="Adenocarcinoma"/>
    <x v="3"/>
    <n v="3.9"/>
    <s v="No"/>
    <s v="CT Scan"/>
    <s v="Surgery"/>
    <n v="51"/>
    <s v="No"/>
  </r>
  <r>
    <s v="LC-0059"/>
    <n v="2025"/>
    <d v="2025-09-04T00:00:00"/>
    <s v="Americas"/>
    <s v="Argentina"/>
    <n v="60"/>
    <x v="1"/>
    <x v="2"/>
    <n v="0"/>
    <n v="0"/>
    <x v="0"/>
    <x v="0"/>
    <x v="0"/>
    <x v="1"/>
    <x v="0"/>
    <n v="28.2"/>
    <x v="2"/>
    <s v="No"/>
    <x v="0"/>
    <x v="0"/>
    <x v="0"/>
    <s v="No Mutation"/>
    <s v="Yes"/>
    <s v="No"/>
    <s v="No"/>
    <s v="Yes"/>
    <s v="Yes"/>
    <s v="Yes"/>
    <s v="No"/>
    <s v="No"/>
    <s v="No"/>
    <s v="No"/>
    <x v="0"/>
    <s v="Squamous Cell"/>
    <x v="1"/>
    <n v="3.4"/>
    <s v="No"/>
    <s v="Bronchoscopy"/>
    <s v="Targeted Therapy"/>
    <n v="77"/>
    <s v="No"/>
  </r>
  <r>
    <s v="LC-0060"/>
    <n v="2016"/>
    <d v="2016-11-17T00:00:00"/>
    <s v="South-East Asia"/>
    <s v="Bhutan"/>
    <n v="58"/>
    <x v="0"/>
    <x v="2"/>
    <n v="0"/>
    <n v="0"/>
    <x v="1"/>
    <x v="0"/>
    <x v="1"/>
    <x v="1"/>
    <x v="2"/>
    <n v="24.6"/>
    <x v="0"/>
    <s v="Yes"/>
    <x v="0"/>
    <x v="0"/>
    <x v="0"/>
    <s v="No Mutation"/>
    <s v="No"/>
    <s v="No"/>
    <s v="No"/>
    <s v="No"/>
    <s v="Yes"/>
    <s v="No"/>
    <s v="No"/>
    <s v="No"/>
    <s v="No"/>
    <s v="No"/>
    <x v="0"/>
    <s v="Adenocarcinoma"/>
    <x v="2"/>
    <n v="4.2"/>
    <s v="No"/>
    <s v="CT Scan"/>
    <s v="Chemo + Radiation"/>
    <n v="16"/>
    <s v="No"/>
  </r>
  <r>
    <s v="LC-0061"/>
    <n v="2025"/>
    <d v="2025-04-05T00:00:00"/>
    <s v="Eastern Mediterranean"/>
    <s v="Jordan"/>
    <n v="80"/>
    <x v="0"/>
    <x v="0"/>
    <n v="26"/>
    <n v="30"/>
    <x v="1"/>
    <x v="1"/>
    <x v="1"/>
    <x v="0"/>
    <x v="1"/>
    <n v="21.2"/>
    <x v="0"/>
    <s v="No"/>
    <x v="0"/>
    <x v="0"/>
    <x v="0"/>
    <s v="KRAS"/>
    <s v="Yes"/>
    <s v="Yes"/>
    <s v="Yes"/>
    <s v="Yes"/>
    <s v="Yes"/>
    <s v="Yes"/>
    <s v="Yes"/>
    <s v="No"/>
    <s v="No"/>
    <s v="No"/>
    <x v="0"/>
    <s v="Large Cell"/>
    <x v="2"/>
    <n v="4.3"/>
    <s v="No"/>
    <s v="CT Scan"/>
    <s v="Immunotherapy"/>
    <n v="15"/>
    <s v="No"/>
  </r>
  <r>
    <s v="LC-0062"/>
    <n v="2021"/>
    <d v="2021-03-18T00:00:00"/>
    <s v="Western Pacific"/>
    <s v="Singapore"/>
    <n v="54"/>
    <x v="0"/>
    <x v="2"/>
    <n v="0"/>
    <n v="0"/>
    <x v="0"/>
    <x v="0"/>
    <x v="0"/>
    <x v="1"/>
    <x v="2"/>
    <n v="23.9"/>
    <x v="0"/>
    <s v="No"/>
    <x v="0"/>
    <x v="0"/>
    <x v="1"/>
    <s v="RET"/>
    <s v="Yes"/>
    <s v="Yes"/>
    <s v="Yes"/>
    <s v="No"/>
    <s v="No"/>
    <s v="Yes"/>
    <s v="No"/>
    <s v="No"/>
    <s v="No"/>
    <s v="No"/>
    <x v="0"/>
    <s v="Squamous Cell"/>
    <x v="1"/>
    <n v="2.4"/>
    <s v="No"/>
    <s v="LDCT Screening"/>
    <s v="Surgery"/>
    <n v="63"/>
    <s v="Yes"/>
  </r>
  <r>
    <s v="LC-0063"/>
    <n v="2022"/>
    <d v="2022-01-20T00:00:00"/>
    <s v="Africa"/>
    <s v="Ghana"/>
    <n v="60"/>
    <x v="0"/>
    <x v="2"/>
    <n v="0"/>
    <n v="0"/>
    <x v="1"/>
    <x v="1"/>
    <x v="0"/>
    <x v="2"/>
    <x v="2"/>
    <n v="29.5"/>
    <x v="0"/>
    <s v="Yes"/>
    <x v="0"/>
    <x v="0"/>
    <x v="0"/>
    <s v="MET"/>
    <s v="Yes"/>
    <s v="Yes"/>
    <s v="No"/>
    <s v="No"/>
    <s v="No"/>
    <s v="No"/>
    <s v="No"/>
    <s v="No"/>
    <s v="No"/>
    <s v="No"/>
    <x v="0"/>
    <s v="Adenocarcinoma"/>
    <x v="2"/>
    <n v="5.9"/>
    <s v="No"/>
    <s v="PET Scan"/>
    <s v="Targeted Therapy"/>
    <n v="20"/>
    <s v="No"/>
  </r>
  <r>
    <s v="LC-0064"/>
    <n v="2019"/>
    <d v="2019-08-01T00:00:00"/>
    <s v="Europe"/>
    <s v="Germany"/>
    <n v="78"/>
    <x v="1"/>
    <x v="2"/>
    <n v="0"/>
    <n v="0"/>
    <x v="0"/>
    <x v="1"/>
    <x v="0"/>
    <x v="2"/>
    <x v="1"/>
    <n v="29.6"/>
    <x v="0"/>
    <s v="No"/>
    <x v="1"/>
    <x v="0"/>
    <x v="0"/>
    <s v="ALK"/>
    <s v="Yes"/>
    <s v="No"/>
    <s v="No"/>
    <s v="No"/>
    <s v="Yes"/>
    <s v="No"/>
    <s v="No"/>
    <s v="No"/>
    <s v="No"/>
    <s v="No"/>
    <x v="0"/>
    <s v="Adenocarcinoma"/>
    <x v="1"/>
    <n v="1.9"/>
    <s v="No"/>
    <s v="CT Scan"/>
    <s v="Immunotherapy"/>
    <n v="52"/>
    <s v="Yes"/>
  </r>
  <r>
    <s v="LC-0065"/>
    <n v="2017"/>
    <d v="2017-06-27T00:00:00"/>
    <s v="Africa"/>
    <s v="Ethiopia"/>
    <n v="39"/>
    <x v="0"/>
    <x v="2"/>
    <n v="0"/>
    <n v="0"/>
    <x v="0"/>
    <x v="0"/>
    <x v="0"/>
    <x v="1"/>
    <x v="2"/>
    <n v="25.1"/>
    <x v="2"/>
    <s v="No"/>
    <x v="0"/>
    <x v="0"/>
    <x v="0"/>
    <s v="ROS1"/>
    <s v="Yes"/>
    <s v="No"/>
    <s v="Yes"/>
    <s v="No"/>
    <s v="Yes"/>
    <s v="No"/>
    <s v="No"/>
    <s v="No"/>
    <s v="No"/>
    <s v="No"/>
    <x v="0"/>
    <s v="Adenocarcinoma"/>
    <x v="1"/>
    <n v="2.6"/>
    <s v="No"/>
    <s v="LDCT Screening"/>
    <s v="Immunotherapy"/>
    <n v="24"/>
    <s v="Yes"/>
  </r>
  <r>
    <s v="LC-0066"/>
    <n v="2020"/>
    <d v="2020-04-02T00:00:00"/>
    <s v="Eastern Mediterranean"/>
    <s v="UAE"/>
    <n v="65"/>
    <x v="1"/>
    <x v="2"/>
    <n v="0"/>
    <n v="0"/>
    <x v="1"/>
    <x v="1"/>
    <x v="0"/>
    <x v="2"/>
    <x v="2"/>
    <n v="30.1"/>
    <x v="1"/>
    <s v="No"/>
    <x v="0"/>
    <x v="0"/>
    <x v="0"/>
    <s v="TP53"/>
    <s v="No"/>
    <s v="Yes"/>
    <s v="No"/>
    <s v="Yes"/>
    <s v="No"/>
    <s v="No"/>
    <s v="No"/>
    <s v="No"/>
    <s v="Yes"/>
    <s v="No"/>
    <x v="1"/>
    <s v="Not Applicable"/>
    <x v="3"/>
    <n v="3"/>
    <s v="No"/>
    <s v="Chest X-Ray"/>
    <s v="Chemotherapy"/>
    <n v="15"/>
    <s v="Yes"/>
  </r>
  <r>
    <s v="LC-0067"/>
    <n v="2020"/>
    <d v="2020-10-03T00:00:00"/>
    <s v="Europe"/>
    <s v="Germany"/>
    <n v="73"/>
    <x v="1"/>
    <x v="2"/>
    <n v="0"/>
    <n v="0"/>
    <x v="0"/>
    <x v="0"/>
    <x v="0"/>
    <x v="0"/>
    <x v="1"/>
    <n v="27.4"/>
    <x v="0"/>
    <s v="No"/>
    <x v="0"/>
    <x v="0"/>
    <x v="0"/>
    <s v="No Mutation"/>
    <s v="Yes"/>
    <s v="No"/>
    <s v="No"/>
    <s v="No"/>
    <s v="Yes"/>
    <s v="No"/>
    <s v="Yes"/>
    <s v="No"/>
    <s v="No"/>
    <s v="No"/>
    <x v="0"/>
    <s v="Adenocarcinoma"/>
    <x v="1"/>
    <n v="1.5"/>
    <s v="Yes"/>
    <s v="CT Scan"/>
    <s v="Surgery + Chemotherapy"/>
    <n v="43"/>
    <s v="No"/>
  </r>
  <r>
    <s v="LC-0068"/>
    <n v="2025"/>
    <d v="2025-12-16T00:00:00"/>
    <s v="Eastern Mediterranean"/>
    <s v="Iran"/>
    <n v="65"/>
    <x v="0"/>
    <x v="2"/>
    <n v="0"/>
    <n v="0"/>
    <x v="0"/>
    <x v="0"/>
    <x v="0"/>
    <x v="1"/>
    <x v="2"/>
    <n v="28.6"/>
    <x v="2"/>
    <s v="No"/>
    <x v="0"/>
    <x v="0"/>
    <x v="0"/>
    <s v="ROS1"/>
    <s v="No"/>
    <s v="Yes"/>
    <s v="No"/>
    <s v="Yes"/>
    <s v="No"/>
    <s v="No"/>
    <s v="Yes"/>
    <s v="No"/>
    <s v="No"/>
    <s v="No"/>
    <x v="0"/>
    <s v="Adenocarcinoma"/>
    <x v="2"/>
    <n v="4.4000000000000004"/>
    <s v="No"/>
    <s v="Bronchoscopy"/>
    <s v="Chemotherapy"/>
    <n v="16"/>
    <s v="No"/>
  </r>
  <r>
    <s v="LC-0069"/>
    <n v="2019"/>
    <d v="2019-09-25T00:00:00"/>
    <s v="Western Pacific"/>
    <s v="South Korea"/>
    <n v="66"/>
    <x v="0"/>
    <x v="2"/>
    <n v="0"/>
    <n v="0"/>
    <x v="0"/>
    <x v="1"/>
    <x v="0"/>
    <x v="1"/>
    <x v="2"/>
    <n v="25.7"/>
    <x v="0"/>
    <s v="No"/>
    <x v="0"/>
    <x v="0"/>
    <x v="0"/>
    <s v="KRAS"/>
    <s v="No"/>
    <s v="No"/>
    <s v="Yes"/>
    <s v="No"/>
    <s v="Yes"/>
    <s v="No"/>
    <s v="No"/>
    <s v="No"/>
    <s v="No"/>
    <s v="No"/>
    <x v="0"/>
    <s v="Squamous Cell"/>
    <x v="1"/>
    <n v="1.2"/>
    <s v="No"/>
    <s v="CT Scan"/>
    <s v="Surgery"/>
    <n v="66"/>
    <s v="Yes"/>
  </r>
  <r>
    <s v="LC-0070"/>
    <n v="2019"/>
    <d v="2019-03-22T00:00:00"/>
    <s v="Africa"/>
    <s v="Morocco"/>
    <n v="59"/>
    <x v="1"/>
    <x v="2"/>
    <n v="0"/>
    <n v="0"/>
    <x v="0"/>
    <x v="1"/>
    <x v="0"/>
    <x v="0"/>
    <x v="0"/>
    <n v="27.1"/>
    <x v="0"/>
    <s v="No"/>
    <x v="0"/>
    <x v="0"/>
    <x v="0"/>
    <s v="No Mutation"/>
    <s v="No"/>
    <s v="No"/>
    <s v="No"/>
    <s v="No"/>
    <s v="Yes"/>
    <s v="No"/>
    <s v="No"/>
    <s v="No"/>
    <s v="No"/>
    <s v="No"/>
    <x v="0"/>
    <s v="Adenocarcinoma"/>
    <x v="2"/>
    <n v="7.1"/>
    <s v="No"/>
    <s v="Biopsy"/>
    <s v="Radiotherapy"/>
    <n v="9"/>
    <s v="Yes"/>
  </r>
  <r>
    <s v="LC-0071"/>
    <n v="2023"/>
    <d v="2023-09-06T00:00:00"/>
    <s v="Africa"/>
    <s v="Ethiopia"/>
    <n v="63"/>
    <x v="1"/>
    <x v="2"/>
    <n v="0"/>
    <n v="0"/>
    <x v="0"/>
    <x v="1"/>
    <x v="0"/>
    <x v="0"/>
    <x v="0"/>
    <n v="28.9"/>
    <x v="2"/>
    <s v="No"/>
    <x v="0"/>
    <x v="0"/>
    <x v="0"/>
    <s v="No Mutation"/>
    <s v="No"/>
    <s v="No"/>
    <s v="Yes"/>
    <s v="No"/>
    <s v="Yes"/>
    <s v="No"/>
    <s v="Yes"/>
    <s v="No"/>
    <s v="No"/>
    <s v="No"/>
    <x v="0"/>
    <s v="Adenocarcinoma"/>
    <x v="2"/>
    <n v="3.4"/>
    <s v="Yes"/>
    <s v="CT Scan"/>
    <s v="Surgery + Chemotherapy"/>
    <n v="10"/>
    <s v="Yes"/>
  </r>
  <r>
    <s v="LC-0072"/>
    <n v="2021"/>
    <d v="2021-09-28T00:00:00"/>
    <s v="South-East Asia"/>
    <s v="Bhutan"/>
    <n v="55"/>
    <x v="0"/>
    <x v="2"/>
    <n v="0"/>
    <n v="0"/>
    <x v="0"/>
    <x v="0"/>
    <x v="0"/>
    <x v="2"/>
    <x v="2"/>
    <n v="22.5"/>
    <x v="2"/>
    <s v="No"/>
    <x v="0"/>
    <x v="0"/>
    <x v="0"/>
    <s v="No Mutation"/>
    <s v="No"/>
    <s v="No"/>
    <s v="Yes"/>
    <s v="Yes"/>
    <s v="No"/>
    <s v="No"/>
    <s v="Yes"/>
    <s v="Yes"/>
    <s v="Yes"/>
    <s v="No"/>
    <x v="0"/>
    <s v="Adenocarcinoma"/>
    <x v="1"/>
    <n v="0.9"/>
    <s v="No"/>
    <s v="CT Scan"/>
    <s v="Surgery"/>
    <n v="77"/>
    <s v="No"/>
  </r>
  <r>
    <s v="LC-0073"/>
    <n v="2015"/>
    <d v="2015-07-07T00:00:00"/>
    <s v="Western Pacific"/>
    <s v="Singapore"/>
    <n v="55"/>
    <x v="0"/>
    <x v="2"/>
    <n v="0"/>
    <n v="0"/>
    <x v="0"/>
    <x v="1"/>
    <x v="0"/>
    <x v="0"/>
    <x v="2"/>
    <n v="32.5"/>
    <x v="1"/>
    <s v="No"/>
    <x v="0"/>
    <x v="0"/>
    <x v="0"/>
    <s v="No Mutation"/>
    <s v="No"/>
    <s v="No"/>
    <s v="No"/>
    <s v="Yes"/>
    <s v="Yes"/>
    <s v="Yes"/>
    <s v="Yes"/>
    <s v="Yes"/>
    <s v="No"/>
    <s v="No"/>
    <x v="0"/>
    <s v="Adenocarcinoma"/>
    <x v="2"/>
    <n v="6.8"/>
    <s v="No"/>
    <s v="Biopsy"/>
    <s v="Chemo + Radiation"/>
    <n v="8"/>
    <s v="No"/>
  </r>
  <r>
    <s v="LC-0074"/>
    <n v="2019"/>
    <d v="2019-12-23T00:00:00"/>
    <s v="Europe"/>
    <s v="Italy"/>
    <n v="54"/>
    <x v="0"/>
    <x v="0"/>
    <n v="26"/>
    <n v="15"/>
    <x v="1"/>
    <x v="0"/>
    <x v="0"/>
    <x v="0"/>
    <x v="2"/>
    <n v="25.9"/>
    <x v="0"/>
    <s v="Yes"/>
    <x v="0"/>
    <x v="0"/>
    <x v="0"/>
    <s v="TP53"/>
    <s v="Yes"/>
    <s v="Yes"/>
    <s v="Yes"/>
    <s v="Yes"/>
    <s v="Yes"/>
    <s v="No"/>
    <s v="No"/>
    <s v="No"/>
    <s v="No"/>
    <s v="No"/>
    <x v="1"/>
    <s v="Not Applicable"/>
    <x v="3"/>
    <n v="4.5999999999999996"/>
    <s v="No"/>
    <s v="LDCT Screening"/>
    <s v="Immunotherapy"/>
    <n v="13"/>
    <s v="Yes"/>
  </r>
  <r>
    <s v="LC-0075"/>
    <n v="2016"/>
    <d v="2016-12-10T00:00:00"/>
    <s v="Eastern Mediterranean"/>
    <s v="Lebanon"/>
    <n v="63"/>
    <x v="0"/>
    <x v="2"/>
    <n v="0"/>
    <n v="0"/>
    <x v="1"/>
    <x v="0"/>
    <x v="0"/>
    <x v="1"/>
    <x v="2"/>
    <n v="24.2"/>
    <x v="0"/>
    <s v="No"/>
    <x v="0"/>
    <x v="0"/>
    <x v="0"/>
    <s v="No Mutation"/>
    <s v="Yes"/>
    <s v="No"/>
    <s v="No"/>
    <s v="No"/>
    <s v="Yes"/>
    <s v="Yes"/>
    <s v="No"/>
    <s v="No"/>
    <s v="No"/>
    <s v="No"/>
    <x v="0"/>
    <s v="Adenocarcinoma"/>
    <x v="0"/>
    <n v="6.9"/>
    <s v="Yes"/>
    <s v="Bronchoscopy"/>
    <s v="Chemotherapy"/>
    <n v="5"/>
    <s v="No"/>
  </r>
  <r>
    <s v="LC-0076"/>
    <n v="2023"/>
    <d v="2023-11-21T00:00:00"/>
    <s v="Americas"/>
    <s v="Colombia"/>
    <n v="70"/>
    <x v="1"/>
    <x v="2"/>
    <n v="0"/>
    <n v="0"/>
    <x v="0"/>
    <x v="0"/>
    <x v="0"/>
    <x v="2"/>
    <x v="2"/>
    <n v="25.8"/>
    <x v="2"/>
    <s v="No"/>
    <x v="0"/>
    <x v="0"/>
    <x v="0"/>
    <s v="ALK"/>
    <s v="No"/>
    <s v="No"/>
    <s v="No"/>
    <s v="No"/>
    <s v="Yes"/>
    <s v="No"/>
    <s v="Yes"/>
    <s v="No"/>
    <s v="No"/>
    <s v="Yes"/>
    <x v="0"/>
    <s v="Adenocarcinoma"/>
    <x v="0"/>
    <n v="11"/>
    <s v="Yes"/>
    <s v="PET Scan"/>
    <s v="Radiotherapy"/>
    <n v="1"/>
    <s v="No"/>
  </r>
  <r>
    <s v="LC-0077"/>
    <n v="2021"/>
    <d v="2021-08-17T00:00:00"/>
    <s v="Western Pacific"/>
    <s v="New Zealand"/>
    <n v="70"/>
    <x v="1"/>
    <x v="2"/>
    <n v="0"/>
    <n v="0"/>
    <x v="1"/>
    <x v="0"/>
    <x v="0"/>
    <x v="0"/>
    <x v="2"/>
    <n v="25.3"/>
    <x v="0"/>
    <s v="No"/>
    <x v="0"/>
    <x v="0"/>
    <x v="0"/>
    <s v="EGFR"/>
    <s v="Yes"/>
    <s v="Yes"/>
    <s v="No"/>
    <s v="No"/>
    <s v="Yes"/>
    <s v="No"/>
    <s v="No"/>
    <s v="No"/>
    <s v="No"/>
    <s v="No"/>
    <x v="0"/>
    <s v="Adenocarcinoma"/>
    <x v="0"/>
    <n v="6.8"/>
    <s v="Yes"/>
    <s v="Biopsy"/>
    <s v="Chemotherapy"/>
    <n v="5"/>
    <s v="No"/>
  </r>
  <r>
    <s v="LC-0078"/>
    <n v="2024"/>
    <d v="2024-02-08T00:00:00"/>
    <s v="Africa"/>
    <s v="Egypt"/>
    <n v="56"/>
    <x v="1"/>
    <x v="2"/>
    <n v="0"/>
    <n v="0"/>
    <x v="0"/>
    <x v="0"/>
    <x v="0"/>
    <x v="0"/>
    <x v="0"/>
    <n v="26.6"/>
    <x v="1"/>
    <s v="No"/>
    <x v="0"/>
    <x v="0"/>
    <x v="0"/>
    <s v="No Mutation"/>
    <s v="No"/>
    <s v="Yes"/>
    <s v="No"/>
    <s v="No"/>
    <s v="No"/>
    <s v="Yes"/>
    <s v="No"/>
    <s v="No"/>
    <s v="No"/>
    <s v="No"/>
    <x v="0"/>
    <s v="Adenocarcinoma"/>
    <x v="3"/>
    <n v="4.5"/>
    <s v="No"/>
    <s v="Biopsy"/>
    <s v="Surgery + Chemotherapy"/>
    <n v="61"/>
    <s v="Yes"/>
  </r>
  <r>
    <s v="LC-0079"/>
    <n v="2022"/>
    <d v="2022-02-11T00:00:00"/>
    <s v="Western Pacific"/>
    <s v="China"/>
    <n v="69"/>
    <x v="1"/>
    <x v="0"/>
    <n v="9"/>
    <n v="38"/>
    <x v="0"/>
    <x v="0"/>
    <x v="0"/>
    <x v="0"/>
    <x v="1"/>
    <n v="29.7"/>
    <x v="2"/>
    <s v="No"/>
    <x v="0"/>
    <x v="0"/>
    <x v="0"/>
    <s v="No Mutation"/>
    <s v="Yes"/>
    <s v="No"/>
    <s v="Yes"/>
    <s v="No"/>
    <s v="Yes"/>
    <s v="Yes"/>
    <s v="Yes"/>
    <s v="No"/>
    <s v="No"/>
    <s v="No"/>
    <x v="0"/>
    <s v="Squamous Cell"/>
    <x v="0"/>
    <n v="5.9"/>
    <s v="Yes"/>
    <s v="PET Scan"/>
    <s v="Immunotherapy"/>
    <n v="10"/>
    <s v="No"/>
  </r>
  <r>
    <s v="LC-0080"/>
    <n v="2020"/>
    <d v="2020-10-18T00:00:00"/>
    <s v="Africa"/>
    <s v="Egypt"/>
    <n v="57"/>
    <x v="0"/>
    <x v="2"/>
    <n v="0"/>
    <n v="0"/>
    <x v="1"/>
    <x v="0"/>
    <x v="0"/>
    <x v="1"/>
    <x v="0"/>
    <n v="28.3"/>
    <x v="1"/>
    <s v="No"/>
    <x v="0"/>
    <x v="0"/>
    <x v="0"/>
    <s v="TP53"/>
    <s v="No"/>
    <s v="Yes"/>
    <s v="No"/>
    <s v="No"/>
    <s v="Yes"/>
    <s v="No"/>
    <s v="No"/>
    <s v="No"/>
    <s v="No"/>
    <s v="No"/>
    <x v="0"/>
    <s v="Adenocarcinoma"/>
    <x v="0"/>
    <n v="7.3"/>
    <s v="Yes"/>
    <s v="Chest X-Ray"/>
    <s v="Chemotherapy"/>
    <n v="6"/>
    <s v="No"/>
  </r>
  <r>
    <s v="LC-0081"/>
    <n v="2019"/>
    <d v="2019-10-08T00:00:00"/>
    <s v="South-East Asia"/>
    <s v="India"/>
    <n v="47"/>
    <x v="1"/>
    <x v="2"/>
    <n v="0"/>
    <n v="0"/>
    <x v="0"/>
    <x v="1"/>
    <x v="0"/>
    <x v="0"/>
    <x v="2"/>
    <n v="31"/>
    <x v="1"/>
    <s v="No"/>
    <x v="0"/>
    <x v="0"/>
    <x v="0"/>
    <s v="No Mutation"/>
    <s v="No"/>
    <s v="No"/>
    <s v="Yes"/>
    <s v="No"/>
    <s v="No"/>
    <s v="Yes"/>
    <s v="No"/>
    <s v="Yes"/>
    <s v="No"/>
    <s v="No"/>
    <x v="0"/>
    <s v="Adenocarcinoma"/>
    <x v="1"/>
    <n v="1.5"/>
    <s v="No"/>
    <s v="PET Scan"/>
    <s v="Surgery"/>
    <n v="87"/>
    <s v="No"/>
  </r>
  <r>
    <s v="LC-0082"/>
    <n v="2019"/>
    <d v="2019-02-23T00:00:00"/>
    <s v="Europe"/>
    <s v="UK"/>
    <n v="62"/>
    <x v="1"/>
    <x v="0"/>
    <n v="10"/>
    <n v="35"/>
    <x v="1"/>
    <x v="0"/>
    <x v="1"/>
    <x v="2"/>
    <x v="1"/>
    <n v="21.4"/>
    <x v="0"/>
    <s v="Yes"/>
    <x v="0"/>
    <x v="0"/>
    <x v="0"/>
    <s v="KRAS"/>
    <s v="Yes"/>
    <s v="No"/>
    <s v="Yes"/>
    <s v="No"/>
    <s v="No"/>
    <s v="No"/>
    <s v="Yes"/>
    <s v="Yes"/>
    <s v="No"/>
    <s v="No"/>
    <x v="1"/>
    <s v="Not Applicable"/>
    <x v="1"/>
    <n v="2.2999999999999998"/>
    <s v="No"/>
    <s v="LDCT Screening"/>
    <s v="Immunotherapy"/>
    <n v="69"/>
    <s v="Yes"/>
  </r>
  <r>
    <s v="LC-0083"/>
    <n v="2023"/>
    <d v="2023-04-03T00:00:00"/>
    <s v="Eastern Mediterranean"/>
    <s v="Pakistan"/>
    <n v="63"/>
    <x v="1"/>
    <x v="1"/>
    <n v="12"/>
    <n v="19"/>
    <x v="0"/>
    <x v="0"/>
    <x v="1"/>
    <x v="1"/>
    <x v="1"/>
    <n v="26.3"/>
    <x v="0"/>
    <s v="Yes"/>
    <x v="0"/>
    <x v="0"/>
    <x v="0"/>
    <s v="No Mutation"/>
    <s v="Yes"/>
    <s v="Yes"/>
    <s v="No"/>
    <s v="No"/>
    <s v="Yes"/>
    <s v="No"/>
    <s v="No"/>
    <s v="No"/>
    <s v="No"/>
    <s v="No"/>
    <x v="0"/>
    <s v="Adenocarcinoma"/>
    <x v="0"/>
    <n v="5.6"/>
    <s v="Yes"/>
    <s v="Bronchoscopy"/>
    <s v="Chemotherapy"/>
    <n v="4"/>
    <s v="No"/>
  </r>
  <r>
    <s v="LC-0084"/>
    <n v="2018"/>
    <d v="2018-06-03T00:00:00"/>
    <s v="Americas"/>
    <s v="Cuba"/>
    <n v="69"/>
    <x v="1"/>
    <x v="2"/>
    <n v="0"/>
    <n v="0"/>
    <x v="0"/>
    <x v="0"/>
    <x v="0"/>
    <x v="1"/>
    <x v="1"/>
    <n v="32.4"/>
    <x v="2"/>
    <s v="No"/>
    <x v="0"/>
    <x v="0"/>
    <x v="0"/>
    <s v="No Mutation"/>
    <s v="No"/>
    <s v="Yes"/>
    <s v="No"/>
    <s v="No"/>
    <s v="Yes"/>
    <s v="No"/>
    <s v="No"/>
    <s v="No"/>
    <s v="No"/>
    <s v="No"/>
    <x v="0"/>
    <s v="Adenocarcinoma"/>
    <x v="2"/>
    <n v="3"/>
    <s v="No"/>
    <s v="CT Scan"/>
    <s v="Immunotherapy"/>
    <n v="5"/>
    <s v="No"/>
  </r>
  <r>
    <s v="LC-0085"/>
    <n v="2016"/>
    <d v="2016-04-09T00:00:00"/>
    <s v="Western Pacific"/>
    <s v="New Zealand"/>
    <n v="59"/>
    <x v="1"/>
    <x v="0"/>
    <n v="24"/>
    <n v="21"/>
    <x v="1"/>
    <x v="0"/>
    <x v="1"/>
    <x v="1"/>
    <x v="2"/>
    <n v="26.5"/>
    <x v="1"/>
    <s v="Yes"/>
    <x v="0"/>
    <x v="0"/>
    <x v="0"/>
    <s v="KRAS"/>
    <s v="Yes"/>
    <s v="No"/>
    <s v="No"/>
    <s v="No"/>
    <s v="Yes"/>
    <s v="Yes"/>
    <s v="Yes"/>
    <s v="Yes"/>
    <s v="No"/>
    <s v="No"/>
    <x v="0"/>
    <s v="Adenocarcinoma"/>
    <x v="0"/>
    <n v="4.3"/>
    <s v="Yes"/>
    <s v="Bronchoscopy"/>
    <s v="Immunotherapy"/>
    <n v="2"/>
    <s v="No"/>
  </r>
  <r>
    <s v="LC-0086"/>
    <n v="2025"/>
    <d v="2025-04-18T00:00:00"/>
    <s v="Western Pacific"/>
    <s v="South Korea"/>
    <n v="73"/>
    <x v="1"/>
    <x v="2"/>
    <n v="0"/>
    <n v="0"/>
    <x v="0"/>
    <x v="0"/>
    <x v="0"/>
    <x v="1"/>
    <x v="1"/>
    <n v="17.899999999999999"/>
    <x v="1"/>
    <s v="No"/>
    <x v="0"/>
    <x v="0"/>
    <x v="0"/>
    <s v="EGFR"/>
    <s v="No"/>
    <s v="Yes"/>
    <s v="Yes"/>
    <s v="No"/>
    <s v="Yes"/>
    <s v="No"/>
    <s v="No"/>
    <s v="No"/>
    <s v="No"/>
    <s v="Yes"/>
    <x v="0"/>
    <s v="Adenocarcinoma"/>
    <x v="0"/>
    <n v="6.4"/>
    <s v="Yes"/>
    <s v="CT Scan"/>
    <s v="Immunotherapy"/>
    <n v="6"/>
    <s v="No"/>
  </r>
  <r>
    <s v="LC-0087"/>
    <n v="2022"/>
    <d v="2022-12-19T00:00:00"/>
    <s v="South-East Asia"/>
    <s v="Bhutan"/>
    <n v="49"/>
    <x v="1"/>
    <x v="0"/>
    <n v="19"/>
    <n v="22"/>
    <x v="1"/>
    <x v="0"/>
    <x v="0"/>
    <x v="1"/>
    <x v="2"/>
    <n v="28.3"/>
    <x v="1"/>
    <s v="Yes"/>
    <x v="0"/>
    <x v="0"/>
    <x v="0"/>
    <s v="No Mutation"/>
    <s v="Yes"/>
    <s v="Yes"/>
    <s v="No"/>
    <s v="Yes"/>
    <s v="Yes"/>
    <s v="Yes"/>
    <s v="No"/>
    <s v="Yes"/>
    <s v="No"/>
    <s v="No"/>
    <x v="0"/>
    <s v="Squamous Cell"/>
    <x v="2"/>
    <n v="4.4000000000000004"/>
    <s v="No"/>
    <s v="CT Scan"/>
    <s v="Targeted Therapy"/>
    <n v="17"/>
    <s v="No"/>
  </r>
  <r>
    <s v="LC-0088"/>
    <n v="2023"/>
    <d v="2023-08-08T00:00:00"/>
    <s v="South-East Asia"/>
    <s v="Maldives"/>
    <n v="65"/>
    <x v="1"/>
    <x v="2"/>
    <n v="0"/>
    <n v="0"/>
    <x v="1"/>
    <x v="0"/>
    <x v="0"/>
    <x v="0"/>
    <x v="2"/>
    <n v="33.5"/>
    <x v="1"/>
    <s v="No"/>
    <x v="0"/>
    <x v="0"/>
    <x v="0"/>
    <s v="EGFR"/>
    <s v="No"/>
    <s v="No"/>
    <s v="No"/>
    <s v="No"/>
    <s v="Yes"/>
    <s v="No"/>
    <s v="No"/>
    <s v="No"/>
    <s v="No"/>
    <s v="Yes"/>
    <x v="0"/>
    <s v="Adenocarcinoma"/>
    <x v="3"/>
    <n v="3.2"/>
    <s v="No"/>
    <s v="Bronchoscopy"/>
    <s v="Surgery"/>
    <n v="20"/>
    <s v="Yes"/>
  </r>
  <r>
    <s v="LC-0089"/>
    <n v="2016"/>
    <d v="2016-07-07T00:00:00"/>
    <s v="South-East Asia"/>
    <s v="Bangladesh"/>
    <n v="71"/>
    <x v="1"/>
    <x v="2"/>
    <n v="0"/>
    <n v="0"/>
    <x v="0"/>
    <x v="1"/>
    <x v="0"/>
    <x v="1"/>
    <x v="0"/>
    <n v="31.6"/>
    <x v="2"/>
    <s v="No"/>
    <x v="0"/>
    <x v="1"/>
    <x v="0"/>
    <s v="MET"/>
    <s v="No"/>
    <s v="No"/>
    <s v="No"/>
    <s v="No"/>
    <s v="Yes"/>
    <s v="No"/>
    <s v="No"/>
    <s v="No"/>
    <s v="No"/>
    <s v="No"/>
    <x v="0"/>
    <s v="Squamous Cell"/>
    <x v="0"/>
    <n v="7.6"/>
    <s v="Yes"/>
    <s v="Bronchoscopy"/>
    <s v="Targeted Therapy"/>
    <n v="11"/>
    <s v="No"/>
  </r>
  <r>
    <s v="LC-0090"/>
    <n v="2022"/>
    <d v="2022-02-22T00:00:00"/>
    <s v="Americas"/>
    <s v="Chile"/>
    <n v="53"/>
    <x v="1"/>
    <x v="0"/>
    <n v="34"/>
    <n v="15"/>
    <x v="0"/>
    <x v="0"/>
    <x v="0"/>
    <x v="0"/>
    <x v="0"/>
    <n v="23.4"/>
    <x v="0"/>
    <s v="No"/>
    <x v="0"/>
    <x v="0"/>
    <x v="0"/>
    <s v="No Mutation"/>
    <s v="Yes"/>
    <s v="Yes"/>
    <s v="Yes"/>
    <s v="No"/>
    <s v="Yes"/>
    <s v="Yes"/>
    <s v="Yes"/>
    <s v="Yes"/>
    <s v="No"/>
    <s v="No"/>
    <x v="0"/>
    <s v="Adenocarcinoma"/>
    <x v="0"/>
    <n v="8.1999999999999993"/>
    <s v="Yes"/>
    <s v="Bronchoscopy"/>
    <s v="Chemo + Radiation"/>
    <n v="4"/>
    <s v="No"/>
  </r>
  <r>
    <s v="LC-0091"/>
    <n v="2023"/>
    <d v="2023-06-14T00:00:00"/>
    <s v="South-East Asia"/>
    <s v="Nepal"/>
    <n v="66"/>
    <x v="1"/>
    <x v="0"/>
    <n v="9"/>
    <n v="19"/>
    <x v="1"/>
    <x v="0"/>
    <x v="0"/>
    <x v="1"/>
    <x v="1"/>
    <n v="31.2"/>
    <x v="2"/>
    <s v="No"/>
    <x v="0"/>
    <x v="0"/>
    <x v="1"/>
    <s v="EGFR"/>
    <s v="No"/>
    <s v="Yes"/>
    <s v="No"/>
    <s v="No"/>
    <s v="No"/>
    <s v="No"/>
    <s v="Yes"/>
    <s v="Yes"/>
    <s v="No"/>
    <s v="No"/>
    <x v="0"/>
    <s v="Adenocarcinoma"/>
    <x v="0"/>
    <n v="8.4"/>
    <s v="Yes"/>
    <s v="Biopsy"/>
    <s v="Immunotherapy"/>
    <n v="1"/>
    <s v="Yes"/>
  </r>
  <r>
    <s v="LC-0092"/>
    <n v="2024"/>
    <d v="2024-08-28T00:00:00"/>
    <s v="Eastern Mediterranean"/>
    <s v="Pakistan"/>
    <n v="68"/>
    <x v="0"/>
    <x v="2"/>
    <n v="0"/>
    <n v="0"/>
    <x v="1"/>
    <x v="0"/>
    <x v="0"/>
    <x v="1"/>
    <x v="2"/>
    <n v="34.6"/>
    <x v="1"/>
    <s v="No"/>
    <x v="0"/>
    <x v="0"/>
    <x v="0"/>
    <s v="No Mutation"/>
    <s v="No"/>
    <s v="No"/>
    <s v="No"/>
    <s v="No"/>
    <s v="No"/>
    <s v="No"/>
    <s v="No"/>
    <s v="No"/>
    <s v="No"/>
    <s v="No"/>
    <x v="0"/>
    <s v="Adenocarcinoma"/>
    <x v="2"/>
    <n v="5.5"/>
    <s v="No"/>
    <s v="Biopsy"/>
    <s v="Chemo + Radiation"/>
    <n v="33"/>
    <s v="No"/>
  </r>
  <r>
    <s v="LC-0093"/>
    <n v="2018"/>
    <d v="2018-11-21T00:00:00"/>
    <s v="Americas"/>
    <s v="Canada"/>
    <n v="45"/>
    <x v="0"/>
    <x v="2"/>
    <n v="0"/>
    <n v="0"/>
    <x v="0"/>
    <x v="0"/>
    <x v="0"/>
    <x v="2"/>
    <x v="0"/>
    <n v="28"/>
    <x v="2"/>
    <s v="No"/>
    <x v="0"/>
    <x v="0"/>
    <x v="0"/>
    <s v="No Mutation"/>
    <s v="No"/>
    <s v="No"/>
    <s v="No"/>
    <s v="No"/>
    <s v="Yes"/>
    <s v="No"/>
    <s v="No"/>
    <s v="No"/>
    <s v="No"/>
    <s v="No"/>
    <x v="0"/>
    <s v="Adenocarcinoma"/>
    <x v="3"/>
    <n v="4.7"/>
    <s v="No"/>
    <s v="CT Scan"/>
    <s v="Chemotherapy"/>
    <n v="20"/>
    <s v="No"/>
  </r>
  <r>
    <s v="LC-0094"/>
    <n v="2017"/>
    <d v="2017-01-13T00:00:00"/>
    <s v="Western Pacific"/>
    <s v="Vietnam"/>
    <n v="65"/>
    <x v="1"/>
    <x v="1"/>
    <n v="15"/>
    <n v="13"/>
    <x v="1"/>
    <x v="0"/>
    <x v="0"/>
    <x v="1"/>
    <x v="0"/>
    <n v="25.7"/>
    <x v="0"/>
    <s v="Yes"/>
    <x v="0"/>
    <x v="0"/>
    <x v="0"/>
    <s v="KRAS"/>
    <s v="Yes"/>
    <s v="Yes"/>
    <s v="Yes"/>
    <s v="No"/>
    <s v="No"/>
    <s v="No"/>
    <s v="No"/>
    <s v="Yes"/>
    <s v="No"/>
    <s v="No"/>
    <x v="0"/>
    <s v="Adenocarcinoma"/>
    <x v="1"/>
    <n v="2.1"/>
    <s v="No"/>
    <s v="LDCT Screening"/>
    <s v="Surgery"/>
    <n v="51"/>
    <s v="Yes"/>
  </r>
  <r>
    <s v="LC-0095"/>
    <n v="2017"/>
    <d v="2017-02-08T00:00:00"/>
    <s v="South-East Asia"/>
    <s v="Thailand"/>
    <n v="38"/>
    <x v="0"/>
    <x v="2"/>
    <n v="0"/>
    <n v="0"/>
    <x v="1"/>
    <x v="1"/>
    <x v="0"/>
    <x v="1"/>
    <x v="0"/>
    <n v="25.9"/>
    <x v="1"/>
    <s v="No"/>
    <x v="0"/>
    <x v="0"/>
    <x v="0"/>
    <s v="ALK"/>
    <s v="No"/>
    <s v="Yes"/>
    <s v="No"/>
    <s v="No"/>
    <s v="No"/>
    <s v="No"/>
    <s v="No"/>
    <s v="No"/>
    <s v="No"/>
    <s v="No"/>
    <x v="0"/>
    <s v="Squamous Cell"/>
    <x v="0"/>
    <n v="4.2"/>
    <s v="Yes"/>
    <s v="Chest X-Ray"/>
    <s v="Immunotherapy"/>
    <n v="7"/>
    <s v="No"/>
  </r>
  <r>
    <s v="LC-0096"/>
    <n v="2021"/>
    <d v="2021-04-18T00:00:00"/>
    <s v="Europe"/>
    <s v="Poland"/>
    <n v="67"/>
    <x v="0"/>
    <x v="2"/>
    <n v="0"/>
    <n v="0"/>
    <x v="0"/>
    <x v="0"/>
    <x v="0"/>
    <x v="2"/>
    <x v="0"/>
    <n v="25"/>
    <x v="2"/>
    <s v="No"/>
    <x v="0"/>
    <x v="0"/>
    <x v="0"/>
    <s v="No Mutation"/>
    <s v="Yes"/>
    <s v="No"/>
    <s v="No"/>
    <s v="No"/>
    <s v="Yes"/>
    <s v="No"/>
    <s v="Yes"/>
    <s v="Yes"/>
    <s v="No"/>
    <s v="No"/>
    <x v="0"/>
    <s v="Adenocarcinoma"/>
    <x v="0"/>
    <n v="5"/>
    <s v="Yes"/>
    <s v="MRI"/>
    <s v="Targeted Therapy"/>
    <n v="6"/>
    <s v="No"/>
  </r>
  <r>
    <s v="LC-0097"/>
    <n v="2020"/>
    <d v="2020-03-14T00:00:00"/>
    <s v="Americas"/>
    <s v="Brazil"/>
    <n v="67"/>
    <x v="1"/>
    <x v="0"/>
    <n v="29"/>
    <n v="21"/>
    <x v="0"/>
    <x v="0"/>
    <x v="0"/>
    <x v="2"/>
    <x v="0"/>
    <n v="29.2"/>
    <x v="2"/>
    <s v="No"/>
    <x v="0"/>
    <x v="0"/>
    <x v="0"/>
    <s v="TP53"/>
    <s v="Yes"/>
    <s v="Yes"/>
    <s v="Yes"/>
    <s v="No"/>
    <s v="Yes"/>
    <s v="Yes"/>
    <s v="Yes"/>
    <s v="Yes"/>
    <s v="No"/>
    <s v="No"/>
    <x v="0"/>
    <s v="Squamous Cell"/>
    <x v="3"/>
    <n v="5.7"/>
    <s v="No"/>
    <s v="PET Scan"/>
    <s v="Surgery"/>
    <n v="28"/>
    <s v="No"/>
  </r>
  <r>
    <s v="LC-0098"/>
    <n v="2015"/>
    <d v="2015-05-15T00:00:00"/>
    <s v="Americas"/>
    <s v="Mexico"/>
    <n v="87"/>
    <x v="1"/>
    <x v="2"/>
    <n v="0"/>
    <n v="0"/>
    <x v="0"/>
    <x v="0"/>
    <x v="1"/>
    <x v="2"/>
    <x v="2"/>
    <n v="27.4"/>
    <x v="1"/>
    <s v="No"/>
    <x v="0"/>
    <x v="1"/>
    <x v="0"/>
    <s v="EGFR"/>
    <s v="Yes"/>
    <s v="No"/>
    <s v="Yes"/>
    <s v="No"/>
    <s v="Yes"/>
    <s v="Yes"/>
    <s v="No"/>
    <s v="No"/>
    <s v="No"/>
    <s v="No"/>
    <x v="0"/>
    <s v="Squamous Cell"/>
    <x v="1"/>
    <n v="2.5"/>
    <s v="Yes"/>
    <s v="Chest X-Ray"/>
    <s v="Radiotherapy"/>
    <n v="56"/>
    <s v="Yes"/>
  </r>
  <r>
    <s v="LC-0099"/>
    <n v="2024"/>
    <d v="2024-02-15T00:00:00"/>
    <s v="Europe"/>
    <s v="Netherlands"/>
    <n v="50"/>
    <x v="0"/>
    <x v="0"/>
    <n v="12"/>
    <n v="23"/>
    <x v="1"/>
    <x v="0"/>
    <x v="0"/>
    <x v="0"/>
    <x v="0"/>
    <n v="27.5"/>
    <x v="2"/>
    <s v="No"/>
    <x v="0"/>
    <x v="0"/>
    <x v="0"/>
    <s v="KRAS"/>
    <s v="No"/>
    <s v="Yes"/>
    <s v="No"/>
    <s v="No"/>
    <s v="Yes"/>
    <s v="No"/>
    <s v="Yes"/>
    <s v="No"/>
    <s v="Yes"/>
    <s v="No"/>
    <x v="0"/>
    <s v="Adenocarcinoma"/>
    <x v="0"/>
    <n v="6.6"/>
    <s v="Yes"/>
    <s v="LDCT Screening"/>
    <s v="Chemotherapy"/>
    <n v="11"/>
    <s v="No"/>
  </r>
  <r>
    <s v="LC-0100"/>
    <n v="2016"/>
    <d v="2016-02-02T00:00:00"/>
    <s v="Americas"/>
    <s v="Cuba"/>
    <n v="63"/>
    <x v="1"/>
    <x v="0"/>
    <n v="5"/>
    <n v="44"/>
    <x v="1"/>
    <x v="0"/>
    <x v="0"/>
    <x v="1"/>
    <x v="1"/>
    <n v="25"/>
    <x v="2"/>
    <s v="Yes"/>
    <x v="1"/>
    <x v="0"/>
    <x v="0"/>
    <s v="TP53"/>
    <s v="Yes"/>
    <s v="No"/>
    <s v="No"/>
    <s v="No"/>
    <s v="Yes"/>
    <s v="No"/>
    <s v="Yes"/>
    <s v="Yes"/>
    <s v="No"/>
    <s v="No"/>
    <x v="0"/>
    <s v="Squamous Cell"/>
    <x v="1"/>
    <n v="0.5"/>
    <s v="No"/>
    <s v="Chest X-Ray"/>
    <s v="Surgery"/>
    <n v="58"/>
    <s v="Yes"/>
  </r>
  <r>
    <s v="LC-0101"/>
    <n v="2020"/>
    <d v="2020-01-03T00:00:00"/>
    <s v="Americas"/>
    <s v="Mexico"/>
    <n v="72"/>
    <x v="1"/>
    <x v="1"/>
    <n v="15"/>
    <n v="23"/>
    <x v="1"/>
    <x v="0"/>
    <x v="0"/>
    <x v="0"/>
    <x v="1"/>
    <n v="31.5"/>
    <x v="0"/>
    <s v="Yes"/>
    <x v="1"/>
    <x v="0"/>
    <x v="0"/>
    <s v="ALK"/>
    <s v="No"/>
    <s v="Yes"/>
    <s v="Yes"/>
    <s v="No"/>
    <s v="Yes"/>
    <s v="Yes"/>
    <s v="No"/>
    <s v="No"/>
    <s v="Yes"/>
    <s v="No"/>
    <x v="0"/>
    <s v="Adenocarcinoma"/>
    <x v="1"/>
    <n v="2.4"/>
    <s v="No"/>
    <s v="CT Scan"/>
    <s v="Surgery"/>
    <n v="58"/>
    <s v="Yes"/>
  </r>
  <r>
    <s v="LC-0102"/>
    <n v="2015"/>
    <d v="2015-03-14T00:00:00"/>
    <s v="Western Pacific"/>
    <s v="New Zealand"/>
    <n v="68"/>
    <x v="1"/>
    <x v="0"/>
    <n v="11"/>
    <n v="15"/>
    <x v="1"/>
    <x v="0"/>
    <x v="0"/>
    <x v="0"/>
    <x v="0"/>
    <n v="30.6"/>
    <x v="2"/>
    <s v="Yes"/>
    <x v="0"/>
    <x v="0"/>
    <x v="0"/>
    <s v="TP53"/>
    <s v="No"/>
    <s v="Yes"/>
    <s v="Yes"/>
    <s v="No"/>
    <s v="No"/>
    <s v="Yes"/>
    <s v="Yes"/>
    <s v="No"/>
    <s v="No"/>
    <s v="Yes"/>
    <x v="1"/>
    <s v="Not Applicable"/>
    <x v="0"/>
    <n v="5.7"/>
    <s v="Yes"/>
    <s v="Biopsy"/>
    <s v="Chemotherapy"/>
    <n v="1"/>
    <s v="No"/>
  </r>
  <r>
    <s v="LC-0103"/>
    <n v="2023"/>
    <d v="2023-08-07T00:00:00"/>
    <s v="Western Pacific"/>
    <s v="Malaysia"/>
    <n v="59"/>
    <x v="1"/>
    <x v="1"/>
    <n v="16"/>
    <n v="16"/>
    <x v="1"/>
    <x v="0"/>
    <x v="1"/>
    <x v="0"/>
    <x v="2"/>
    <n v="22.9"/>
    <x v="1"/>
    <s v="No"/>
    <x v="0"/>
    <x v="0"/>
    <x v="0"/>
    <s v="KRAS"/>
    <s v="Yes"/>
    <s v="Yes"/>
    <s v="No"/>
    <s v="No"/>
    <s v="No"/>
    <s v="Yes"/>
    <s v="No"/>
    <s v="Yes"/>
    <s v="No"/>
    <s v="No"/>
    <x v="0"/>
    <s v="Adenocarcinoma"/>
    <x v="1"/>
    <n v="0.7"/>
    <s v="No"/>
    <s v="Bronchoscopy"/>
    <s v="Radiotherapy"/>
    <n v="60"/>
    <s v="No"/>
  </r>
  <r>
    <s v="LC-0104"/>
    <n v="2018"/>
    <d v="2018-01-06T00:00:00"/>
    <s v="Western Pacific"/>
    <s v="Malaysia"/>
    <n v="60"/>
    <x v="0"/>
    <x v="2"/>
    <n v="0"/>
    <n v="0"/>
    <x v="0"/>
    <x v="0"/>
    <x v="0"/>
    <x v="1"/>
    <x v="2"/>
    <n v="29.3"/>
    <x v="1"/>
    <s v="No"/>
    <x v="0"/>
    <x v="0"/>
    <x v="0"/>
    <s v="No Mutation"/>
    <s v="No"/>
    <s v="No"/>
    <s v="No"/>
    <s v="No"/>
    <s v="No"/>
    <s v="No"/>
    <s v="No"/>
    <s v="No"/>
    <s v="No"/>
    <s v="No"/>
    <x v="0"/>
    <s v="Adenocarcinoma"/>
    <x v="1"/>
    <n v="1.4"/>
    <s v="No"/>
    <s v="PET Scan"/>
    <s v="Immunotherapy"/>
    <n v="87"/>
    <s v="Yes"/>
  </r>
  <r>
    <s v="LC-0105"/>
    <n v="2024"/>
    <d v="2024-01-13T00:00:00"/>
    <s v="Western Pacific"/>
    <s v="Philippines"/>
    <n v="55"/>
    <x v="1"/>
    <x v="2"/>
    <n v="0"/>
    <n v="0"/>
    <x v="0"/>
    <x v="0"/>
    <x v="0"/>
    <x v="1"/>
    <x v="0"/>
    <n v="29.9"/>
    <x v="2"/>
    <s v="No"/>
    <x v="0"/>
    <x v="0"/>
    <x v="0"/>
    <s v="TP53"/>
    <s v="No"/>
    <s v="Yes"/>
    <s v="Yes"/>
    <s v="No"/>
    <s v="No"/>
    <s v="No"/>
    <s v="Yes"/>
    <s v="No"/>
    <s v="Yes"/>
    <s v="Yes"/>
    <x v="0"/>
    <s v="Adenocarcinoma"/>
    <x v="1"/>
    <n v="1.6"/>
    <s v="No"/>
    <s v="LDCT Screening"/>
    <s v="Surgery"/>
    <n v="53"/>
    <s v="No"/>
  </r>
  <r>
    <s v="LC-0106"/>
    <n v="2020"/>
    <d v="2020-08-10T00:00:00"/>
    <s v="Africa"/>
    <s v="Tanzania"/>
    <n v="43"/>
    <x v="1"/>
    <x v="0"/>
    <n v="38"/>
    <n v="17"/>
    <x v="1"/>
    <x v="0"/>
    <x v="1"/>
    <x v="0"/>
    <x v="0"/>
    <n v="26.6"/>
    <x v="2"/>
    <s v="No"/>
    <x v="0"/>
    <x v="0"/>
    <x v="0"/>
    <s v="No Mutation"/>
    <s v="Yes"/>
    <s v="Yes"/>
    <s v="Yes"/>
    <s v="No"/>
    <s v="No"/>
    <s v="No"/>
    <s v="Yes"/>
    <s v="Yes"/>
    <s v="No"/>
    <s v="No"/>
    <x v="0"/>
    <s v="Adenocarcinoma"/>
    <x v="2"/>
    <n v="4.3"/>
    <s v="No"/>
    <s v="Chest X-Ray"/>
    <s v="Chemotherapy"/>
    <n v="23"/>
    <s v="Yes"/>
  </r>
  <r>
    <s v="LC-0107"/>
    <n v="2020"/>
    <d v="2020-12-24T00:00:00"/>
    <s v="South-East Asia"/>
    <s v="Timor-Leste"/>
    <n v="50"/>
    <x v="1"/>
    <x v="2"/>
    <n v="0"/>
    <n v="0"/>
    <x v="1"/>
    <x v="0"/>
    <x v="1"/>
    <x v="0"/>
    <x v="0"/>
    <n v="26.9"/>
    <x v="0"/>
    <s v="No"/>
    <x v="0"/>
    <x v="1"/>
    <x v="1"/>
    <s v="ROS1"/>
    <s v="No"/>
    <s v="Yes"/>
    <s v="No"/>
    <s v="No"/>
    <s v="No"/>
    <s v="No"/>
    <s v="No"/>
    <s v="Yes"/>
    <s v="No"/>
    <s v="No"/>
    <x v="0"/>
    <s v="Squamous Cell"/>
    <x v="2"/>
    <n v="4.5"/>
    <s v="No"/>
    <s v="Bronchoscopy"/>
    <s v="Chemo + Radiation"/>
    <n v="21"/>
    <s v="No"/>
  </r>
  <r>
    <s v="LC-0108"/>
    <n v="2018"/>
    <d v="2018-11-23T00:00:00"/>
    <s v="Americas"/>
    <s v="Peru"/>
    <n v="66"/>
    <x v="0"/>
    <x v="2"/>
    <n v="0"/>
    <n v="0"/>
    <x v="0"/>
    <x v="0"/>
    <x v="0"/>
    <x v="0"/>
    <x v="2"/>
    <n v="33.799999999999997"/>
    <x v="0"/>
    <s v="No"/>
    <x v="0"/>
    <x v="0"/>
    <x v="0"/>
    <s v="No Mutation"/>
    <s v="No"/>
    <s v="No"/>
    <s v="No"/>
    <s v="Yes"/>
    <s v="No"/>
    <s v="Yes"/>
    <s v="No"/>
    <s v="No"/>
    <s v="No"/>
    <s v="No"/>
    <x v="0"/>
    <s v="Adenocarcinoma"/>
    <x v="0"/>
    <n v="8.8000000000000007"/>
    <s v="Yes"/>
    <s v="CT Scan"/>
    <s v="Chemotherapy"/>
    <n v="5"/>
    <s v="No"/>
  </r>
  <r>
    <s v="LC-0109"/>
    <n v="2022"/>
    <d v="2022-03-07T00:00:00"/>
    <s v="Eastern Mediterranean"/>
    <s v="Iraq"/>
    <n v="40"/>
    <x v="0"/>
    <x v="2"/>
    <n v="0"/>
    <n v="0"/>
    <x v="1"/>
    <x v="1"/>
    <x v="0"/>
    <x v="0"/>
    <x v="2"/>
    <n v="33.799999999999997"/>
    <x v="1"/>
    <s v="No"/>
    <x v="0"/>
    <x v="0"/>
    <x v="0"/>
    <s v="No Mutation"/>
    <s v="Yes"/>
    <s v="No"/>
    <s v="No"/>
    <s v="No"/>
    <s v="No"/>
    <s v="No"/>
    <s v="No"/>
    <s v="Yes"/>
    <s v="Yes"/>
    <s v="No"/>
    <x v="0"/>
    <s v="Adenocarcinoma"/>
    <x v="3"/>
    <n v="2.5"/>
    <s v="No"/>
    <s v="Biopsy"/>
    <s v="Surgery + Chemotherapy"/>
    <n v="50"/>
    <s v="No"/>
  </r>
  <r>
    <s v="LC-0110"/>
    <n v="2025"/>
    <d v="2025-04-02T00:00:00"/>
    <s v="Europe"/>
    <s v="Sweden"/>
    <n v="55"/>
    <x v="1"/>
    <x v="0"/>
    <n v="25"/>
    <n v="11"/>
    <x v="1"/>
    <x v="0"/>
    <x v="1"/>
    <x v="0"/>
    <x v="0"/>
    <n v="30.7"/>
    <x v="1"/>
    <s v="No"/>
    <x v="0"/>
    <x v="0"/>
    <x v="0"/>
    <s v="No Mutation"/>
    <s v="No"/>
    <s v="Yes"/>
    <s v="Yes"/>
    <s v="Yes"/>
    <s v="Yes"/>
    <s v="No"/>
    <s v="No"/>
    <s v="No"/>
    <s v="Yes"/>
    <s v="No"/>
    <x v="0"/>
    <s v="Squamous Cell"/>
    <x v="2"/>
    <n v="6.5"/>
    <s v="No"/>
    <s v="PET Scan"/>
    <s v="Chemotherapy"/>
    <n v="19"/>
    <s v="Yes"/>
  </r>
  <r>
    <s v="LC-0111"/>
    <n v="2023"/>
    <d v="2023-12-18T00:00:00"/>
    <s v="Western Pacific"/>
    <s v="China"/>
    <n v="50"/>
    <x v="1"/>
    <x v="0"/>
    <n v="17"/>
    <n v="31"/>
    <x v="1"/>
    <x v="0"/>
    <x v="0"/>
    <x v="2"/>
    <x v="2"/>
    <n v="27"/>
    <x v="0"/>
    <s v="No"/>
    <x v="0"/>
    <x v="0"/>
    <x v="0"/>
    <s v="KRAS"/>
    <s v="Yes"/>
    <s v="Yes"/>
    <s v="No"/>
    <s v="No"/>
    <s v="Yes"/>
    <s v="No"/>
    <s v="No"/>
    <s v="No"/>
    <s v="No"/>
    <s v="No"/>
    <x v="0"/>
    <s v="Adenocarcinoma"/>
    <x v="0"/>
    <n v="5.0999999999999996"/>
    <s v="Yes"/>
    <s v="Biopsy"/>
    <s v="Immunotherapy"/>
    <n v="9"/>
    <s v="No"/>
  </r>
  <r>
    <s v="LC-0112"/>
    <n v="2022"/>
    <d v="2022-12-11T00:00:00"/>
    <s v="Western Pacific"/>
    <s v="China"/>
    <n v="63"/>
    <x v="0"/>
    <x v="2"/>
    <n v="0"/>
    <n v="0"/>
    <x v="1"/>
    <x v="0"/>
    <x v="1"/>
    <x v="2"/>
    <x v="0"/>
    <n v="27.9"/>
    <x v="1"/>
    <s v="No"/>
    <x v="0"/>
    <x v="0"/>
    <x v="0"/>
    <s v="No Mutation"/>
    <s v="Yes"/>
    <s v="No"/>
    <s v="No"/>
    <s v="No"/>
    <s v="Yes"/>
    <s v="Yes"/>
    <s v="Yes"/>
    <s v="No"/>
    <s v="No"/>
    <s v="No"/>
    <x v="0"/>
    <s v="Squamous Cell"/>
    <x v="1"/>
    <n v="1.1000000000000001"/>
    <s v="No"/>
    <s v="CT Scan"/>
    <s v="Radiotherapy"/>
    <n v="44"/>
    <s v="Yes"/>
  </r>
  <r>
    <s v="LC-0113"/>
    <n v="2024"/>
    <d v="2024-01-19T00:00:00"/>
    <s v="Europe"/>
    <s v="Poland"/>
    <n v="71"/>
    <x v="0"/>
    <x v="2"/>
    <n v="0"/>
    <n v="0"/>
    <x v="0"/>
    <x v="0"/>
    <x v="0"/>
    <x v="0"/>
    <x v="1"/>
    <n v="21.1"/>
    <x v="0"/>
    <s v="No"/>
    <x v="0"/>
    <x v="0"/>
    <x v="0"/>
    <s v="ALK"/>
    <s v="No"/>
    <s v="No"/>
    <s v="No"/>
    <s v="No"/>
    <s v="Yes"/>
    <s v="No"/>
    <s v="No"/>
    <s v="Yes"/>
    <s v="No"/>
    <s v="No"/>
    <x v="0"/>
    <s v="Adenocarcinoma"/>
    <x v="1"/>
    <n v="1.5"/>
    <s v="No"/>
    <s v="CT Scan"/>
    <s v="Surgery"/>
    <n v="22"/>
    <s v="Yes"/>
  </r>
  <r>
    <s v="LC-0114"/>
    <n v="2025"/>
    <d v="2025-09-28T00:00:00"/>
    <s v="Europe"/>
    <s v="Netherlands"/>
    <n v="55"/>
    <x v="1"/>
    <x v="2"/>
    <n v="0"/>
    <n v="0"/>
    <x v="0"/>
    <x v="0"/>
    <x v="0"/>
    <x v="0"/>
    <x v="1"/>
    <n v="34.299999999999997"/>
    <x v="0"/>
    <s v="No"/>
    <x v="0"/>
    <x v="0"/>
    <x v="0"/>
    <s v="ALK"/>
    <s v="Yes"/>
    <s v="No"/>
    <s v="Yes"/>
    <s v="No"/>
    <s v="Yes"/>
    <s v="Yes"/>
    <s v="No"/>
    <s v="No"/>
    <s v="No"/>
    <s v="No"/>
    <x v="0"/>
    <s v="Squamous Cell"/>
    <x v="3"/>
    <n v="5"/>
    <s v="No"/>
    <s v="CT Scan"/>
    <s v="Chemotherapy"/>
    <n v="33"/>
    <s v="Yes"/>
  </r>
  <r>
    <s v="LC-0115"/>
    <n v="2017"/>
    <d v="2017-03-02T00:00:00"/>
    <s v="Europe"/>
    <s v="Netherlands"/>
    <n v="68"/>
    <x v="1"/>
    <x v="2"/>
    <n v="0"/>
    <n v="0"/>
    <x v="0"/>
    <x v="0"/>
    <x v="0"/>
    <x v="1"/>
    <x v="2"/>
    <n v="32.5"/>
    <x v="0"/>
    <s v="No"/>
    <x v="0"/>
    <x v="0"/>
    <x v="0"/>
    <s v="EGFR"/>
    <s v="No"/>
    <s v="Yes"/>
    <s v="No"/>
    <s v="No"/>
    <s v="Yes"/>
    <s v="No"/>
    <s v="No"/>
    <s v="No"/>
    <s v="No"/>
    <s v="No"/>
    <x v="0"/>
    <s v="Large Cell"/>
    <x v="1"/>
    <n v="1.1000000000000001"/>
    <s v="No"/>
    <s v="Biopsy"/>
    <s v="Surgery"/>
    <n v="56"/>
    <s v="Yes"/>
  </r>
  <r>
    <s v="LC-0116"/>
    <n v="2015"/>
    <d v="2015-02-28T00:00:00"/>
    <s v="Eastern Mediterranean"/>
    <s v="Saudi Arabia"/>
    <n v="45"/>
    <x v="0"/>
    <x v="2"/>
    <n v="0"/>
    <n v="0"/>
    <x v="0"/>
    <x v="0"/>
    <x v="0"/>
    <x v="1"/>
    <x v="0"/>
    <n v="24.4"/>
    <x v="2"/>
    <s v="No"/>
    <x v="0"/>
    <x v="0"/>
    <x v="0"/>
    <s v="MET"/>
    <s v="No"/>
    <s v="No"/>
    <s v="No"/>
    <s v="No"/>
    <s v="Yes"/>
    <s v="No"/>
    <s v="No"/>
    <s v="Yes"/>
    <s v="Yes"/>
    <s v="No"/>
    <x v="0"/>
    <s v="Adenocarcinoma"/>
    <x v="1"/>
    <n v="1.8"/>
    <s v="No"/>
    <s v="Chest X-Ray"/>
    <s v="Surgery"/>
    <n v="38"/>
    <s v="Yes"/>
  </r>
  <r>
    <s v="LC-0117"/>
    <n v="2020"/>
    <d v="2020-02-20T00:00:00"/>
    <s v="Africa"/>
    <s v="South Africa"/>
    <n v="33"/>
    <x v="1"/>
    <x v="2"/>
    <n v="0"/>
    <n v="0"/>
    <x v="1"/>
    <x v="1"/>
    <x v="0"/>
    <x v="2"/>
    <x v="0"/>
    <n v="34.700000000000003"/>
    <x v="1"/>
    <s v="No"/>
    <x v="0"/>
    <x v="0"/>
    <x v="0"/>
    <s v="EGFR"/>
    <s v="Yes"/>
    <s v="Yes"/>
    <s v="Yes"/>
    <s v="No"/>
    <s v="Yes"/>
    <s v="Yes"/>
    <s v="No"/>
    <s v="No"/>
    <s v="No"/>
    <s v="Yes"/>
    <x v="0"/>
    <s v="Adenocarcinoma"/>
    <x v="1"/>
    <n v="2.1"/>
    <s v="No"/>
    <s v="CT Scan"/>
    <s v="Surgery"/>
    <n v="65"/>
    <s v="Yes"/>
  </r>
  <r>
    <s v="LC-0118"/>
    <n v="2022"/>
    <d v="2022-11-28T00:00:00"/>
    <s v="Americas"/>
    <s v="Mexico"/>
    <n v="74"/>
    <x v="1"/>
    <x v="2"/>
    <n v="0"/>
    <n v="0"/>
    <x v="0"/>
    <x v="0"/>
    <x v="1"/>
    <x v="2"/>
    <x v="0"/>
    <n v="32"/>
    <x v="0"/>
    <s v="No"/>
    <x v="0"/>
    <x v="0"/>
    <x v="0"/>
    <s v="ROS1"/>
    <s v="Yes"/>
    <s v="Yes"/>
    <s v="Yes"/>
    <s v="No"/>
    <s v="No"/>
    <s v="No"/>
    <s v="No"/>
    <s v="No"/>
    <s v="Yes"/>
    <s v="No"/>
    <x v="0"/>
    <s v="Squamous Cell"/>
    <x v="0"/>
    <n v="8.1999999999999993"/>
    <s v="Yes"/>
    <s v="CT Scan"/>
    <s v="Palliative Care"/>
    <n v="5"/>
    <s v="No"/>
  </r>
  <r>
    <s v="LC-0119"/>
    <n v="2020"/>
    <d v="2020-07-04T00:00:00"/>
    <s v="Western Pacific"/>
    <s v="Mongolia"/>
    <n v="57"/>
    <x v="1"/>
    <x v="2"/>
    <n v="0"/>
    <n v="0"/>
    <x v="0"/>
    <x v="0"/>
    <x v="0"/>
    <x v="1"/>
    <x v="1"/>
    <n v="30.8"/>
    <x v="0"/>
    <s v="No"/>
    <x v="0"/>
    <x v="0"/>
    <x v="0"/>
    <s v="ROS1"/>
    <s v="No"/>
    <s v="No"/>
    <s v="Yes"/>
    <s v="No"/>
    <s v="Yes"/>
    <s v="Yes"/>
    <s v="Yes"/>
    <s v="No"/>
    <s v="No"/>
    <s v="No"/>
    <x v="1"/>
    <s v="Not Applicable"/>
    <x v="1"/>
    <n v="1.6"/>
    <s v="No"/>
    <s v="CT Scan"/>
    <s v="Radiotherapy"/>
    <n v="12"/>
    <s v="Yes"/>
  </r>
  <r>
    <s v="LC-0120"/>
    <n v="2022"/>
    <d v="2022-04-19T00:00:00"/>
    <s v="Americas"/>
    <s v="Venezuela"/>
    <n v="83"/>
    <x v="1"/>
    <x v="0"/>
    <n v="40"/>
    <n v="46"/>
    <x v="1"/>
    <x v="0"/>
    <x v="0"/>
    <x v="0"/>
    <x v="2"/>
    <n v="24"/>
    <x v="1"/>
    <s v="No"/>
    <x v="0"/>
    <x v="0"/>
    <x v="0"/>
    <s v="TP53"/>
    <s v="Yes"/>
    <s v="Yes"/>
    <s v="Yes"/>
    <s v="Yes"/>
    <s v="Yes"/>
    <s v="Yes"/>
    <s v="No"/>
    <s v="Yes"/>
    <s v="No"/>
    <s v="No"/>
    <x v="0"/>
    <s v="Adenocarcinoma"/>
    <x v="1"/>
    <n v="0.5"/>
    <s v="No"/>
    <s v="Chest X-Ray"/>
    <s v="Radiotherapy"/>
    <n v="70"/>
    <s v="No"/>
  </r>
  <r>
    <s v="LC-0121"/>
    <n v="2015"/>
    <d v="2015-01-20T00:00:00"/>
    <s v="Western Pacific"/>
    <s v="Japan"/>
    <n v="65"/>
    <x v="1"/>
    <x v="2"/>
    <n v="0"/>
    <n v="0"/>
    <x v="0"/>
    <x v="0"/>
    <x v="0"/>
    <x v="1"/>
    <x v="0"/>
    <n v="30.1"/>
    <x v="0"/>
    <s v="No"/>
    <x v="0"/>
    <x v="0"/>
    <x v="0"/>
    <s v="MET"/>
    <s v="No"/>
    <s v="No"/>
    <s v="Yes"/>
    <s v="Yes"/>
    <s v="Yes"/>
    <s v="No"/>
    <s v="No"/>
    <s v="Yes"/>
    <s v="No"/>
    <s v="No"/>
    <x v="0"/>
    <s v="Adenocarcinoma"/>
    <x v="2"/>
    <n v="7"/>
    <s v="No"/>
    <s v="Bronchoscopy"/>
    <s v="Radiotherapy"/>
    <n v="17"/>
    <s v="No"/>
  </r>
  <r>
    <s v="LC-0122"/>
    <n v="2023"/>
    <d v="2023-07-22T00:00:00"/>
    <s v="Western Pacific"/>
    <s v="Mongolia"/>
    <n v="48"/>
    <x v="0"/>
    <x v="2"/>
    <n v="0"/>
    <n v="0"/>
    <x v="0"/>
    <x v="1"/>
    <x v="0"/>
    <x v="0"/>
    <x v="0"/>
    <n v="30.5"/>
    <x v="0"/>
    <s v="No"/>
    <x v="0"/>
    <x v="0"/>
    <x v="0"/>
    <s v="No Mutation"/>
    <s v="No"/>
    <s v="Yes"/>
    <s v="No"/>
    <s v="No"/>
    <s v="No"/>
    <s v="No"/>
    <s v="No"/>
    <s v="No"/>
    <s v="No"/>
    <s v="No"/>
    <x v="0"/>
    <s v="Large Cell"/>
    <x v="3"/>
    <n v="5.9"/>
    <s v="No"/>
    <s v="CT Scan"/>
    <s v="Chemotherapy"/>
    <n v="43"/>
    <s v="Yes"/>
  </r>
  <r>
    <s v="LC-0123"/>
    <n v="2019"/>
    <d v="2019-10-17T00:00:00"/>
    <s v="Europe"/>
    <s v="Russia"/>
    <n v="49"/>
    <x v="0"/>
    <x v="2"/>
    <n v="0"/>
    <n v="0"/>
    <x v="0"/>
    <x v="1"/>
    <x v="0"/>
    <x v="1"/>
    <x v="0"/>
    <n v="29.6"/>
    <x v="2"/>
    <s v="No"/>
    <x v="0"/>
    <x v="0"/>
    <x v="0"/>
    <s v="ROS1"/>
    <s v="Yes"/>
    <s v="Yes"/>
    <s v="No"/>
    <s v="Yes"/>
    <s v="Yes"/>
    <s v="No"/>
    <s v="No"/>
    <s v="No"/>
    <s v="No"/>
    <s v="No"/>
    <x v="0"/>
    <s v="Squamous Cell"/>
    <x v="1"/>
    <n v="3"/>
    <s v="No"/>
    <s v="Chest X-Ray"/>
    <s v="Immunotherapy"/>
    <n v="39"/>
    <s v="Yes"/>
  </r>
  <r>
    <s v="LC-0124"/>
    <n v="2021"/>
    <d v="2021-05-07T00:00:00"/>
    <s v="Americas"/>
    <s v="Colombia"/>
    <n v="66"/>
    <x v="1"/>
    <x v="0"/>
    <n v="28"/>
    <n v="28"/>
    <x v="1"/>
    <x v="0"/>
    <x v="0"/>
    <x v="1"/>
    <x v="0"/>
    <n v="27.9"/>
    <x v="2"/>
    <s v="Yes"/>
    <x v="0"/>
    <x v="0"/>
    <x v="0"/>
    <s v="KRAS"/>
    <s v="No"/>
    <s v="Yes"/>
    <s v="Yes"/>
    <s v="No"/>
    <s v="Yes"/>
    <s v="No"/>
    <s v="Yes"/>
    <s v="Yes"/>
    <s v="No"/>
    <s v="No"/>
    <x v="0"/>
    <s v="Squamous Cell"/>
    <x v="2"/>
    <n v="6.1"/>
    <s v="Yes"/>
    <s v="Biopsy"/>
    <s v="Chemo + Radiation"/>
    <n v="21"/>
    <s v="No"/>
  </r>
  <r>
    <s v="LC-0125"/>
    <n v="2024"/>
    <d v="2024-04-09T00:00:00"/>
    <s v="Eastern Mediterranean"/>
    <s v="Lebanon"/>
    <n v="66"/>
    <x v="0"/>
    <x v="2"/>
    <n v="0"/>
    <n v="0"/>
    <x v="0"/>
    <x v="0"/>
    <x v="0"/>
    <x v="2"/>
    <x v="1"/>
    <n v="25.2"/>
    <x v="1"/>
    <s v="No"/>
    <x v="0"/>
    <x v="0"/>
    <x v="0"/>
    <s v="ALK"/>
    <s v="No"/>
    <s v="No"/>
    <s v="Yes"/>
    <s v="Yes"/>
    <s v="Yes"/>
    <s v="No"/>
    <s v="No"/>
    <s v="No"/>
    <s v="No"/>
    <s v="No"/>
    <x v="0"/>
    <s v="Large Cell"/>
    <x v="3"/>
    <n v="3.3"/>
    <s v="No"/>
    <s v="Biopsy"/>
    <s v="Surgery + Chemotherapy"/>
    <n v="39"/>
    <s v="No"/>
  </r>
  <r>
    <s v="LC-0126"/>
    <n v="2020"/>
    <d v="2020-03-22T00:00:00"/>
    <s v="Western Pacific"/>
    <s v="Philippines"/>
    <n v="67"/>
    <x v="1"/>
    <x v="1"/>
    <n v="23"/>
    <n v="6"/>
    <x v="1"/>
    <x v="0"/>
    <x v="0"/>
    <x v="1"/>
    <x v="1"/>
    <n v="25.4"/>
    <x v="1"/>
    <s v="No"/>
    <x v="0"/>
    <x v="1"/>
    <x v="0"/>
    <s v="TP53"/>
    <s v="Yes"/>
    <s v="Yes"/>
    <s v="No"/>
    <s v="No"/>
    <s v="No"/>
    <s v="Yes"/>
    <s v="Yes"/>
    <s v="Yes"/>
    <s v="No"/>
    <s v="No"/>
    <x v="0"/>
    <s v="Adenocarcinoma"/>
    <x v="2"/>
    <n v="6.7"/>
    <s v="Yes"/>
    <s v="PET Scan"/>
    <s v="Chemo + Radiation"/>
    <n v="29"/>
    <s v="Yes"/>
  </r>
  <r>
    <s v="LC-0127"/>
    <n v="2025"/>
    <d v="2025-08-11T00:00:00"/>
    <s v="South-East Asia"/>
    <s v="Bangladesh"/>
    <n v="75"/>
    <x v="1"/>
    <x v="1"/>
    <n v="11"/>
    <n v="30"/>
    <x v="1"/>
    <x v="0"/>
    <x v="0"/>
    <x v="2"/>
    <x v="2"/>
    <n v="24.1"/>
    <x v="1"/>
    <s v="No"/>
    <x v="0"/>
    <x v="0"/>
    <x v="0"/>
    <s v="KRAS"/>
    <s v="Yes"/>
    <s v="No"/>
    <s v="No"/>
    <s v="Yes"/>
    <s v="No"/>
    <s v="Yes"/>
    <s v="Yes"/>
    <s v="No"/>
    <s v="No"/>
    <s v="No"/>
    <x v="0"/>
    <s v="Squamous Cell"/>
    <x v="1"/>
    <n v="0.9"/>
    <s v="No"/>
    <s v="CT Scan"/>
    <s v="Surgery"/>
    <n v="64"/>
    <s v="Yes"/>
  </r>
  <r>
    <s v="LC-0128"/>
    <n v="2020"/>
    <d v="2020-01-15T00:00:00"/>
    <s v="Western Pacific"/>
    <s v="Mongolia"/>
    <n v="37"/>
    <x v="0"/>
    <x v="0"/>
    <n v="24"/>
    <n v="8"/>
    <x v="0"/>
    <x v="1"/>
    <x v="0"/>
    <x v="2"/>
    <x v="2"/>
    <n v="22.3"/>
    <x v="0"/>
    <s v="Yes"/>
    <x v="0"/>
    <x v="0"/>
    <x v="0"/>
    <s v="TP53"/>
    <s v="Yes"/>
    <s v="No"/>
    <s v="Yes"/>
    <s v="No"/>
    <s v="Yes"/>
    <s v="No"/>
    <s v="Yes"/>
    <s v="No"/>
    <s v="No"/>
    <s v="No"/>
    <x v="1"/>
    <s v="Not Applicable"/>
    <x v="0"/>
    <n v="5"/>
    <s v="Yes"/>
    <s v="Chest X-Ray"/>
    <s v="Chemotherapy"/>
    <n v="3"/>
    <s v="No"/>
  </r>
  <r>
    <s v="LC-0129"/>
    <n v="2020"/>
    <d v="2020-10-04T00:00:00"/>
    <s v="Europe"/>
    <s v="Germany"/>
    <n v="54"/>
    <x v="1"/>
    <x v="0"/>
    <n v="30"/>
    <n v="35"/>
    <x v="1"/>
    <x v="0"/>
    <x v="1"/>
    <x v="0"/>
    <x v="0"/>
    <n v="26.6"/>
    <x v="0"/>
    <s v="No"/>
    <x v="1"/>
    <x v="0"/>
    <x v="0"/>
    <s v="No Mutation"/>
    <s v="Yes"/>
    <s v="Yes"/>
    <s v="Yes"/>
    <s v="Yes"/>
    <s v="No"/>
    <s v="Yes"/>
    <s v="No"/>
    <s v="Yes"/>
    <s v="No"/>
    <s v="No"/>
    <x v="1"/>
    <s v="Not Applicable"/>
    <x v="2"/>
    <n v="6.2"/>
    <s v="No"/>
    <s v="Biopsy"/>
    <s v="Chemotherapy"/>
    <n v="27"/>
    <s v="Yes"/>
  </r>
  <r>
    <s v="LC-0130"/>
    <n v="2019"/>
    <d v="2019-09-07T00:00:00"/>
    <s v="Eastern Mediterranean"/>
    <s v="Qatar"/>
    <n v="65"/>
    <x v="1"/>
    <x v="2"/>
    <n v="0"/>
    <n v="0"/>
    <x v="0"/>
    <x v="1"/>
    <x v="1"/>
    <x v="0"/>
    <x v="0"/>
    <n v="22.2"/>
    <x v="1"/>
    <s v="No"/>
    <x v="0"/>
    <x v="0"/>
    <x v="0"/>
    <s v="EGFR"/>
    <s v="No"/>
    <s v="No"/>
    <s v="Yes"/>
    <s v="Yes"/>
    <s v="No"/>
    <s v="No"/>
    <s v="No"/>
    <s v="Yes"/>
    <s v="No"/>
    <s v="No"/>
    <x v="0"/>
    <s v="Adenocarcinoma"/>
    <x v="1"/>
    <n v="1.4"/>
    <s v="No"/>
    <s v="CT Scan"/>
    <s v="Surgery"/>
    <n v="51"/>
    <s v="Yes"/>
  </r>
  <r>
    <s v="LC-0131"/>
    <n v="2015"/>
    <d v="2015-05-05T00:00:00"/>
    <s v="Europe"/>
    <s v="Russia"/>
    <n v="67"/>
    <x v="1"/>
    <x v="0"/>
    <n v="22"/>
    <n v="32"/>
    <x v="1"/>
    <x v="0"/>
    <x v="0"/>
    <x v="2"/>
    <x v="0"/>
    <n v="33.1"/>
    <x v="2"/>
    <s v="Yes"/>
    <x v="0"/>
    <x v="0"/>
    <x v="0"/>
    <s v="No Mutation"/>
    <s v="Yes"/>
    <s v="Yes"/>
    <s v="No"/>
    <s v="Yes"/>
    <s v="Yes"/>
    <s v="Yes"/>
    <s v="Yes"/>
    <s v="No"/>
    <s v="No"/>
    <s v="No"/>
    <x v="0"/>
    <s v="Large Cell"/>
    <x v="2"/>
    <n v="6.8"/>
    <s v="No"/>
    <s v="PET Scan"/>
    <s v="Chemo + Radiation"/>
    <n v="19"/>
    <s v="No"/>
  </r>
  <r>
    <s v="LC-0132"/>
    <n v="2019"/>
    <d v="2019-02-08T00:00:00"/>
    <s v="Europe"/>
    <s v="Russia"/>
    <n v="69"/>
    <x v="0"/>
    <x v="2"/>
    <n v="0"/>
    <n v="0"/>
    <x v="1"/>
    <x v="0"/>
    <x v="0"/>
    <x v="1"/>
    <x v="0"/>
    <n v="24.3"/>
    <x v="0"/>
    <s v="No"/>
    <x v="0"/>
    <x v="0"/>
    <x v="0"/>
    <s v="ALK"/>
    <s v="No"/>
    <s v="Yes"/>
    <s v="No"/>
    <s v="No"/>
    <s v="Yes"/>
    <s v="No"/>
    <s v="No"/>
    <s v="No"/>
    <s v="No"/>
    <s v="No"/>
    <x v="0"/>
    <s v="Large Cell"/>
    <x v="3"/>
    <n v="4.3"/>
    <s v="No"/>
    <s v="PET Scan"/>
    <s v="Targeted Therapy"/>
    <n v="61"/>
    <s v="Yes"/>
  </r>
  <r>
    <s v="LC-0133"/>
    <n v="2016"/>
    <d v="2016-05-06T00:00:00"/>
    <s v="Americas"/>
    <s v="Peru"/>
    <n v="70"/>
    <x v="1"/>
    <x v="2"/>
    <n v="0"/>
    <n v="0"/>
    <x v="1"/>
    <x v="1"/>
    <x v="0"/>
    <x v="0"/>
    <x v="2"/>
    <n v="21.8"/>
    <x v="2"/>
    <s v="No"/>
    <x v="0"/>
    <x v="0"/>
    <x v="0"/>
    <s v="EGFR"/>
    <s v="No"/>
    <s v="Yes"/>
    <s v="No"/>
    <s v="No"/>
    <s v="Yes"/>
    <s v="No"/>
    <s v="No"/>
    <s v="No"/>
    <s v="No"/>
    <s v="No"/>
    <x v="0"/>
    <s v="Squamous Cell"/>
    <x v="0"/>
    <n v="5.3"/>
    <s v="Yes"/>
    <s v="CT Scan"/>
    <s v="Immunotherapy"/>
    <n v="10"/>
    <s v="No"/>
  </r>
  <r>
    <s v="LC-0134"/>
    <n v="2022"/>
    <d v="2022-09-23T00:00:00"/>
    <s v="Americas"/>
    <s v="Argentina"/>
    <n v="62"/>
    <x v="1"/>
    <x v="2"/>
    <n v="0"/>
    <n v="0"/>
    <x v="1"/>
    <x v="0"/>
    <x v="0"/>
    <x v="1"/>
    <x v="2"/>
    <n v="25.5"/>
    <x v="2"/>
    <s v="No"/>
    <x v="0"/>
    <x v="1"/>
    <x v="0"/>
    <s v="EGFR"/>
    <s v="Yes"/>
    <s v="No"/>
    <s v="No"/>
    <s v="No"/>
    <s v="Yes"/>
    <s v="No"/>
    <s v="No"/>
    <s v="No"/>
    <s v="No"/>
    <s v="No"/>
    <x v="0"/>
    <s v="Adenocarcinoma"/>
    <x v="1"/>
    <n v="4"/>
    <s v="No"/>
    <s v="Chest X-Ray"/>
    <s v="Radiotherapy"/>
    <n v="55"/>
    <s v="Yes"/>
  </r>
  <r>
    <s v="LC-0135"/>
    <n v="2021"/>
    <d v="2021-10-26T00:00:00"/>
    <s v="Americas"/>
    <s v="Cuba"/>
    <n v="77"/>
    <x v="0"/>
    <x v="2"/>
    <n v="0"/>
    <n v="0"/>
    <x v="0"/>
    <x v="0"/>
    <x v="0"/>
    <x v="1"/>
    <x v="1"/>
    <n v="23.4"/>
    <x v="1"/>
    <s v="No"/>
    <x v="0"/>
    <x v="1"/>
    <x v="0"/>
    <s v="ALK"/>
    <s v="No"/>
    <s v="Yes"/>
    <s v="No"/>
    <s v="No"/>
    <s v="Yes"/>
    <s v="Yes"/>
    <s v="No"/>
    <s v="No"/>
    <s v="No"/>
    <s v="No"/>
    <x v="0"/>
    <s v="Adenocarcinoma"/>
    <x v="1"/>
    <n v="1.5"/>
    <s v="No"/>
    <s v="LDCT Screening"/>
    <s v="Surgery + Chemotherapy"/>
    <n v="47"/>
    <s v="Yes"/>
  </r>
  <r>
    <s v="LC-0136"/>
    <n v="2016"/>
    <d v="2016-01-22T00:00:00"/>
    <s v="Europe"/>
    <s v="Netherlands"/>
    <n v="62"/>
    <x v="1"/>
    <x v="2"/>
    <n v="0"/>
    <n v="0"/>
    <x v="0"/>
    <x v="0"/>
    <x v="1"/>
    <x v="0"/>
    <x v="2"/>
    <n v="24.2"/>
    <x v="1"/>
    <s v="No"/>
    <x v="0"/>
    <x v="0"/>
    <x v="0"/>
    <s v="EGFR"/>
    <s v="No"/>
    <s v="No"/>
    <s v="No"/>
    <s v="No"/>
    <s v="Yes"/>
    <s v="No"/>
    <s v="No"/>
    <s v="No"/>
    <s v="No"/>
    <s v="No"/>
    <x v="0"/>
    <s v="Adenocarcinoma"/>
    <x v="1"/>
    <n v="2"/>
    <s v="No"/>
    <s v="Bronchoscopy"/>
    <s v="Surgery"/>
    <n v="75"/>
    <s v="Yes"/>
  </r>
  <r>
    <s v="LC-0137"/>
    <n v="2018"/>
    <d v="2018-05-22T00:00:00"/>
    <s v="South-East Asia"/>
    <s v="Bangladesh"/>
    <n v="65"/>
    <x v="0"/>
    <x v="0"/>
    <n v="53"/>
    <n v="40"/>
    <x v="0"/>
    <x v="0"/>
    <x v="0"/>
    <x v="1"/>
    <x v="0"/>
    <n v="20"/>
    <x v="1"/>
    <s v="No"/>
    <x v="0"/>
    <x v="0"/>
    <x v="0"/>
    <s v="No Mutation"/>
    <s v="Yes"/>
    <s v="Yes"/>
    <s v="Yes"/>
    <s v="Yes"/>
    <s v="No"/>
    <s v="No"/>
    <s v="No"/>
    <s v="No"/>
    <s v="No"/>
    <s v="No"/>
    <x v="0"/>
    <s v="Adenocarcinoma"/>
    <x v="2"/>
    <n v="5.3"/>
    <s v="No"/>
    <s v="CT Scan"/>
    <s v="Chemo + Radiation"/>
    <n v="8"/>
    <s v="No"/>
  </r>
  <r>
    <s v="LC-0138"/>
    <n v="2017"/>
    <d v="2017-03-09T00:00:00"/>
    <s v="Americas"/>
    <s v="Canada"/>
    <n v="74"/>
    <x v="0"/>
    <x v="0"/>
    <n v="5"/>
    <n v="32"/>
    <x v="1"/>
    <x v="0"/>
    <x v="1"/>
    <x v="0"/>
    <x v="1"/>
    <n v="24.5"/>
    <x v="0"/>
    <s v="No"/>
    <x v="1"/>
    <x v="0"/>
    <x v="0"/>
    <s v="No Mutation"/>
    <s v="Yes"/>
    <s v="Yes"/>
    <s v="No"/>
    <s v="Yes"/>
    <s v="Yes"/>
    <s v="No"/>
    <s v="No"/>
    <s v="No"/>
    <s v="No"/>
    <s v="No"/>
    <x v="0"/>
    <s v="Adenocarcinoma"/>
    <x v="2"/>
    <n v="4.8"/>
    <s v="No"/>
    <s v="PET Scan"/>
    <s v="Chemo + Radiation"/>
    <n v="27"/>
    <s v="No"/>
  </r>
  <r>
    <s v="LC-0139"/>
    <n v="2017"/>
    <d v="2017-02-24T00:00:00"/>
    <s v="Western Pacific"/>
    <s v="Singapore"/>
    <n v="74"/>
    <x v="1"/>
    <x v="1"/>
    <n v="8"/>
    <n v="11"/>
    <x v="1"/>
    <x v="1"/>
    <x v="1"/>
    <x v="0"/>
    <x v="2"/>
    <n v="35"/>
    <x v="0"/>
    <s v="No"/>
    <x v="0"/>
    <x v="1"/>
    <x v="0"/>
    <s v="No Mutation"/>
    <s v="Yes"/>
    <s v="No"/>
    <s v="No"/>
    <s v="No"/>
    <s v="No"/>
    <s v="No"/>
    <s v="No"/>
    <s v="Yes"/>
    <s v="No"/>
    <s v="No"/>
    <x v="0"/>
    <s v="Adenocarcinoma"/>
    <x v="0"/>
    <n v="8"/>
    <s v="Yes"/>
    <s v="PET Scan"/>
    <s v="Immunotherapy"/>
    <n v="9"/>
    <s v="No"/>
  </r>
  <r>
    <s v="LC-0140"/>
    <n v="2024"/>
    <d v="2024-03-09T00:00:00"/>
    <s v="Western Pacific"/>
    <s v="Philippines"/>
    <n v="39"/>
    <x v="1"/>
    <x v="2"/>
    <n v="0"/>
    <n v="0"/>
    <x v="1"/>
    <x v="1"/>
    <x v="0"/>
    <x v="0"/>
    <x v="0"/>
    <n v="24.4"/>
    <x v="1"/>
    <s v="No"/>
    <x v="0"/>
    <x v="0"/>
    <x v="0"/>
    <s v="TP53"/>
    <s v="Yes"/>
    <s v="No"/>
    <s v="No"/>
    <s v="No"/>
    <s v="Yes"/>
    <s v="No"/>
    <s v="No"/>
    <s v="Yes"/>
    <s v="Yes"/>
    <s v="No"/>
    <x v="0"/>
    <s v="Adenocarcinoma"/>
    <x v="1"/>
    <n v="2.4"/>
    <s v="No"/>
    <s v="LDCT Screening"/>
    <s v="Surgery"/>
    <n v="56"/>
    <s v="No"/>
  </r>
  <r>
    <s v="LC-0141"/>
    <n v="2017"/>
    <d v="2017-10-07T00:00:00"/>
    <s v="Western Pacific"/>
    <s v="Vietnam"/>
    <n v="53"/>
    <x v="1"/>
    <x v="0"/>
    <n v="34"/>
    <n v="20"/>
    <x v="1"/>
    <x v="0"/>
    <x v="0"/>
    <x v="2"/>
    <x v="2"/>
    <n v="27.9"/>
    <x v="0"/>
    <s v="No"/>
    <x v="0"/>
    <x v="0"/>
    <x v="0"/>
    <s v="TP53"/>
    <s v="Yes"/>
    <s v="No"/>
    <s v="No"/>
    <s v="Yes"/>
    <s v="Yes"/>
    <s v="No"/>
    <s v="No"/>
    <s v="No"/>
    <s v="No"/>
    <s v="No"/>
    <x v="1"/>
    <s v="Not Applicable"/>
    <x v="3"/>
    <n v="2.1"/>
    <s v="No"/>
    <s v="Biopsy"/>
    <s v="Surgery + Chemotherapy"/>
    <n v="26"/>
    <s v="No"/>
  </r>
  <r>
    <s v="LC-0142"/>
    <n v="2022"/>
    <d v="2022-04-22T00:00:00"/>
    <s v="Americas"/>
    <s v="Argentina"/>
    <n v="67"/>
    <x v="1"/>
    <x v="0"/>
    <n v="5"/>
    <n v="25"/>
    <x v="0"/>
    <x v="0"/>
    <x v="0"/>
    <x v="2"/>
    <x v="2"/>
    <n v="25.5"/>
    <x v="2"/>
    <s v="Yes"/>
    <x v="0"/>
    <x v="0"/>
    <x v="0"/>
    <s v="BRAF"/>
    <s v="No"/>
    <s v="Yes"/>
    <s v="Yes"/>
    <s v="Yes"/>
    <s v="Yes"/>
    <s v="No"/>
    <s v="No"/>
    <s v="No"/>
    <s v="No"/>
    <s v="No"/>
    <x v="0"/>
    <s v="Adenocarcinoma"/>
    <x v="3"/>
    <n v="4"/>
    <s v="No"/>
    <s v="MRI"/>
    <s v="Targeted Therapy"/>
    <n v="71"/>
    <s v="Yes"/>
  </r>
  <r>
    <s v="LC-0143"/>
    <n v="2023"/>
    <d v="2023-09-16T00:00:00"/>
    <s v="Europe"/>
    <s v="Spain"/>
    <n v="42"/>
    <x v="0"/>
    <x v="2"/>
    <n v="0"/>
    <n v="0"/>
    <x v="0"/>
    <x v="0"/>
    <x v="0"/>
    <x v="0"/>
    <x v="2"/>
    <n v="31.9"/>
    <x v="1"/>
    <s v="No"/>
    <x v="0"/>
    <x v="0"/>
    <x v="0"/>
    <s v="EGFR"/>
    <s v="Yes"/>
    <s v="No"/>
    <s v="No"/>
    <s v="Yes"/>
    <s v="Yes"/>
    <s v="No"/>
    <s v="No"/>
    <s v="No"/>
    <s v="No"/>
    <s v="No"/>
    <x v="0"/>
    <s v="Adenocarcinoma"/>
    <x v="0"/>
    <n v="6.5"/>
    <s v="Yes"/>
    <s v="Biopsy"/>
    <s v="Chemo + Radiation"/>
    <n v="4"/>
    <s v="No"/>
  </r>
  <r>
    <s v="LC-0144"/>
    <n v="2020"/>
    <d v="2020-01-03T00:00:00"/>
    <s v="Western Pacific"/>
    <s v="Malaysia"/>
    <n v="55"/>
    <x v="1"/>
    <x v="2"/>
    <n v="0"/>
    <n v="0"/>
    <x v="1"/>
    <x v="0"/>
    <x v="0"/>
    <x v="1"/>
    <x v="2"/>
    <n v="21.5"/>
    <x v="0"/>
    <s v="No"/>
    <x v="0"/>
    <x v="1"/>
    <x v="0"/>
    <s v="ALK"/>
    <s v="Yes"/>
    <s v="No"/>
    <s v="No"/>
    <s v="No"/>
    <s v="Yes"/>
    <s v="No"/>
    <s v="No"/>
    <s v="No"/>
    <s v="No"/>
    <s v="No"/>
    <x v="0"/>
    <s v="Adenocarcinoma"/>
    <x v="2"/>
    <n v="5.8"/>
    <s v="No"/>
    <s v="Biopsy"/>
    <s v="Chemotherapy"/>
    <n v="14"/>
    <s v="No"/>
  </r>
  <r>
    <s v="LC-0145"/>
    <n v="2018"/>
    <d v="2018-05-02T00:00:00"/>
    <s v="Western Pacific"/>
    <s v="China"/>
    <n v="61"/>
    <x v="1"/>
    <x v="0"/>
    <n v="37"/>
    <n v="37"/>
    <x v="1"/>
    <x v="1"/>
    <x v="0"/>
    <x v="0"/>
    <x v="0"/>
    <n v="20.399999999999999"/>
    <x v="1"/>
    <s v="No"/>
    <x v="0"/>
    <x v="0"/>
    <x v="0"/>
    <s v="No Mutation"/>
    <s v="No"/>
    <s v="No"/>
    <s v="Yes"/>
    <s v="Yes"/>
    <s v="Yes"/>
    <s v="Yes"/>
    <s v="No"/>
    <s v="No"/>
    <s v="No"/>
    <s v="No"/>
    <x v="0"/>
    <s v="Squamous Cell"/>
    <x v="2"/>
    <n v="5.3"/>
    <s v="No"/>
    <s v="CT Scan"/>
    <s v="Immunotherapy"/>
    <n v="17"/>
    <s v="No"/>
  </r>
  <r>
    <s v="LC-0146"/>
    <n v="2024"/>
    <d v="2024-06-25T00:00:00"/>
    <s v="South-East Asia"/>
    <s v="Indonesia"/>
    <n v="53"/>
    <x v="0"/>
    <x v="2"/>
    <n v="0"/>
    <n v="0"/>
    <x v="1"/>
    <x v="0"/>
    <x v="0"/>
    <x v="1"/>
    <x v="2"/>
    <n v="19.3"/>
    <x v="2"/>
    <s v="No"/>
    <x v="0"/>
    <x v="0"/>
    <x v="0"/>
    <s v="KRAS"/>
    <s v="Yes"/>
    <s v="No"/>
    <s v="No"/>
    <s v="No"/>
    <s v="Yes"/>
    <s v="No"/>
    <s v="Yes"/>
    <s v="Yes"/>
    <s v="No"/>
    <s v="No"/>
    <x v="0"/>
    <s v="Adenocarcinoma"/>
    <x v="1"/>
    <n v="2.6"/>
    <s v="No"/>
    <s v="LDCT Screening"/>
    <s v="Surgery"/>
    <n v="67"/>
    <s v="Yes"/>
  </r>
  <r>
    <s v="LC-0147"/>
    <n v="2024"/>
    <d v="2024-11-09T00:00:00"/>
    <s v="Western Pacific"/>
    <s v="South Korea"/>
    <n v="73"/>
    <x v="1"/>
    <x v="2"/>
    <n v="0"/>
    <n v="0"/>
    <x v="1"/>
    <x v="0"/>
    <x v="0"/>
    <x v="2"/>
    <x v="2"/>
    <n v="28.3"/>
    <x v="0"/>
    <s v="No"/>
    <x v="0"/>
    <x v="0"/>
    <x v="0"/>
    <s v="No Mutation"/>
    <s v="No"/>
    <s v="Yes"/>
    <s v="Yes"/>
    <s v="No"/>
    <s v="No"/>
    <s v="No"/>
    <s v="No"/>
    <s v="Yes"/>
    <s v="No"/>
    <s v="No"/>
    <x v="0"/>
    <s v="Adenocarcinoma"/>
    <x v="1"/>
    <n v="1.7"/>
    <s v="No"/>
    <s v="LDCT Screening"/>
    <s v="Surgery"/>
    <n v="49"/>
    <s v="Yes"/>
  </r>
  <r>
    <s v="LC-0148"/>
    <n v="2025"/>
    <d v="2025-12-15T00:00:00"/>
    <s v="Eastern Mediterranean"/>
    <s v="Qatar"/>
    <n v="51"/>
    <x v="0"/>
    <x v="2"/>
    <n v="0"/>
    <n v="0"/>
    <x v="0"/>
    <x v="0"/>
    <x v="0"/>
    <x v="1"/>
    <x v="0"/>
    <n v="27.9"/>
    <x v="0"/>
    <s v="No"/>
    <x v="1"/>
    <x v="0"/>
    <x v="0"/>
    <s v="No Mutation"/>
    <s v="No"/>
    <s v="No"/>
    <s v="Yes"/>
    <s v="No"/>
    <s v="Yes"/>
    <s v="No"/>
    <s v="Yes"/>
    <s v="No"/>
    <s v="No"/>
    <s v="No"/>
    <x v="0"/>
    <s v="Adenocarcinoma"/>
    <x v="3"/>
    <n v="3.9"/>
    <s v="No"/>
    <s v="Bronchoscopy"/>
    <s v="Chemotherapy"/>
    <n v="26"/>
    <s v="Yes"/>
  </r>
  <r>
    <s v="LC-0149"/>
    <n v="2025"/>
    <d v="2025-12-14T00:00:00"/>
    <s v="Eastern Mediterranean"/>
    <s v="Qatar"/>
    <n v="55"/>
    <x v="1"/>
    <x v="2"/>
    <n v="0"/>
    <n v="0"/>
    <x v="0"/>
    <x v="0"/>
    <x v="0"/>
    <x v="1"/>
    <x v="2"/>
    <n v="26.7"/>
    <x v="1"/>
    <s v="No"/>
    <x v="0"/>
    <x v="0"/>
    <x v="0"/>
    <s v="EGFR"/>
    <s v="No"/>
    <s v="No"/>
    <s v="No"/>
    <s v="No"/>
    <s v="Yes"/>
    <s v="Yes"/>
    <s v="No"/>
    <s v="No"/>
    <s v="No"/>
    <s v="No"/>
    <x v="0"/>
    <s v="Large Cell"/>
    <x v="1"/>
    <n v="2.5"/>
    <s v="No"/>
    <s v="CT Scan"/>
    <s v="Surgery"/>
    <n v="69"/>
    <s v="Yes"/>
  </r>
  <r>
    <s v="LC-0150"/>
    <n v="2020"/>
    <d v="2020-01-04T00:00:00"/>
    <s v="South-East Asia"/>
    <s v="Bangladesh"/>
    <n v="65"/>
    <x v="1"/>
    <x v="2"/>
    <n v="0"/>
    <n v="0"/>
    <x v="0"/>
    <x v="1"/>
    <x v="1"/>
    <x v="2"/>
    <x v="2"/>
    <n v="25.2"/>
    <x v="2"/>
    <s v="Yes"/>
    <x v="1"/>
    <x v="0"/>
    <x v="0"/>
    <s v="ALK"/>
    <s v="Yes"/>
    <s v="No"/>
    <s v="No"/>
    <s v="Yes"/>
    <s v="No"/>
    <s v="No"/>
    <s v="No"/>
    <s v="No"/>
    <s v="No"/>
    <s v="No"/>
    <x v="0"/>
    <s v="Adenocarcinoma"/>
    <x v="1"/>
    <n v="2.2999999999999998"/>
    <s v="No"/>
    <s v="Chest X-Ray"/>
    <s v="Targeted Therapy"/>
    <n v="61"/>
    <s v="Yes"/>
  </r>
  <r>
    <s v="LC-0151"/>
    <n v="2024"/>
    <d v="2024-12-05T00:00:00"/>
    <s v="Europe"/>
    <s v="Netherlands"/>
    <n v="70"/>
    <x v="1"/>
    <x v="2"/>
    <n v="0"/>
    <n v="0"/>
    <x v="0"/>
    <x v="0"/>
    <x v="0"/>
    <x v="2"/>
    <x v="2"/>
    <n v="30.4"/>
    <x v="0"/>
    <s v="No"/>
    <x v="0"/>
    <x v="0"/>
    <x v="0"/>
    <s v="No Mutation"/>
    <s v="Yes"/>
    <s v="Yes"/>
    <s v="No"/>
    <s v="No"/>
    <s v="Yes"/>
    <s v="Yes"/>
    <s v="No"/>
    <s v="No"/>
    <s v="No"/>
    <s v="No"/>
    <x v="0"/>
    <s v="Adenocarcinoma"/>
    <x v="1"/>
    <n v="2.9"/>
    <s v="No"/>
    <s v="Chest X-Ray"/>
    <s v="Radiotherapy"/>
    <n v="45"/>
    <s v="Yes"/>
  </r>
  <r>
    <s v="LC-0152"/>
    <n v="2025"/>
    <d v="2025-01-27T00:00:00"/>
    <s v="South-East Asia"/>
    <s v="Sri Lanka"/>
    <n v="71"/>
    <x v="1"/>
    <x v="0"/>
    <n v="5"/>
    <n v="30"/>
    <x v="1"/>
    <x v="1"/>
    <x v="0"/>
    <x v="1"/>
    <x v="0"/>
    <n v="28"/>
    <x v="2"/>
    <s v="No"/>
    <x v="0"/>
    <x v="0"/>
    <x v="0"/>
    <s v="KRAS"/>
    <s v="Yes"/>
    <s v="Yes"/>
    <s v="Yes"/>
    <s v="Yes"/>
    <s v="Yes"/>
    <s v="No"/>
    <s v="Yes"/>
    <s v="Yes"/>
    <s v="No"/>
    <s v="No"/>
    <x v="0"/>
    <s v="Adenocarcinoma"/>
    <x v="0"/>
    <n v="11.2"/>
    <s v="Yes"/>
    <s v="Bronchoscopy"/>
    <s v="Immunotherapy"/>
    <n v="10"/>
    <s v="No"/>
  </r>
  <r>
    <s v="LC-0153"/>
    <n v="2023"/>
    <d v="2023-10-18T00:00:00"/>
    <s v="Eastern Mediterranean"/>
    <s v="Saudi Arabia"/>
    <n v="62"/>
    <x v="1"/>
    <x v="2"/>
    <n v="0"/>
    <n v="0"/>
    <x v="1"/>
    <x v="0"/>
    <x v="0"/>
    <x v="0"/>
    <x v="2"/>
    <n v="24.3"/>
    <x v="1"/>
    <s v="No"/>
    <x v="0"/>
    <x v="0"/>
    <x v="0"/>
    <s v="No Mutation"/>
    <s v="Yes"/>
    <s v="No"/>
    <s v="No"/>
    <s v="No"/>
    <s v="Yes"/>
    <s v="No"/>
    <s v="No"/>
    <s v="No"/>
    <s v="No"/>
    <s v="No"/>
    <x v="1"/>
    <s v="Not Applicable"/>
    <x v="1"/>
    <n v="2"/>
    <s v="No"/>
    <s v="Bronchoscopy"/>
    <s v="Surgery + Chemotherapy"/>
    <n v="58"/>
    <s v="Yes"/>
  </r>
  <r>
    <s v="LC-0154"/>
    <n v="2022"/>
    <d v="2022-07-05T00:00:00"/>
    <s v="Western Pacific"/>
    <s v="China"/>
    <n v="77"/>
    <x v="1"/>
    <x v="0"/>
    <n v="10"/>
    <n v="30"/>
    <x v="1"/>
    <x v="0"/>
    <x v="0"/>
    <x v="2"/>
    <x v="0"/>
    <n v="29.1"/>
    <x v="2"/>
    <s v="Yes"/>
    <x v="0"/>
    <x v="0"/>
    <x v="0"/>
    <s v="KRAS"/>
    <s v="Yes"/>
    <s v="No"/>
    <s v="No"/>
    <s v="No"/>
    <s v="No"/>
    <s v="Yes"/>
    <s v="No"/>
    <s v="No"/>
    <s v="No"/>
    <s v="No"/>
    <x v="0"/>
    <s v="Adenocarcinoma"/>
    <x v="0"/>
    <n v="10.6"/>
    <s v="Yes"/>
    <s v="PET Scan"/>
    <s v="Chemotherapy"/>
    <n v="2"/>
    <s v="No"/>
  </r>
  <r>
    <s v="LC-0155"/>
    <n v="2025"/>
    <d v="2025-05-12T00:00:00"/>
    <s v="Western Pacific"/>
    <s v="China"/>
    <n v="65"/>
    <x v="1"/>
    <x v="2"/>
    <n v="0"/>
    <n v="0"/>
    <x v="0"/>
    <x v="0"/>
    <x v="0"/>
    <x v="1"/>
    <x v="2"/>
    <n v="22.6"/>
    <x v="0"/>
    <s v="No"/>
    <x v="0"/>
    <x v="1"/>
    <x v="0"/>
    <s v="TP53"/>
    <s v="No"/>
    <s v="No"/>
    <s v="No"/>
    <s v="No"/>
    <s v="No"/>
    <s v="No"/>
    <s v="No"/>
    <s v="No"/>
    <s v="No"/>
    <s v="No"/>
    <x v="0"/>
    <s v="Adenocarcinoma"/>
    <x v="1"/>
    <n v="1.5"/>
    <s v="No"/>
    <s v="LDCT Screening"/>
    <s v="Targeted Therapy"/>
    <n v="46"/>
    <s v="No"/>
  </r>
  <r>
    <s v="LC-0156"/>
    <n v="2021"/>
    <d v="2021-06-07T00:00:00"/>
    <s v="Americas"/>
    <s v="Mexico"/>
    <n v="72"/>
    <x v="0"/>
    <x v="1"/>
    <n v="10"/>
    <n v="10"/>
    <x v="1"/>
    <x v="1"/>
    <x v="0"/>
    <x v="0"/>
    <x v="2"/>
    <n v="35.6"/>
    <x v="1"/>
    <s v="Yes"/>
    <x v="0"/>
    <x v="0"/>
    <x v="0"/>
    <s v="KRAS"/>
    <s v="No"/>
    <s v="No"/>
    <s v="No"/>
    <s v="No"/>
    <s v="No"/>
    <s v="No"/>
    <s v="No"/>
    <s v="No"/>
    <s v="No"/>
    <s v="No"/>
    <x v="0"/>
    <s v="Large Cell"/>
    <x v="2"/>
    <n v="4.9000000000000004"/>
    <s v="No"/>
    <s v="PET Scan"/>
    <s v="Immunotherapy"/>
    <n v="31"/>
    <s v="No"/>
  </r>
  <r>
    <s v="LC-0157"/>
    <n v="2017"/>
    <d v="2017-11-04T00:00:00"/>
    <s v="Europe"/>
    <s v="Russia"/>
    <n v="60"/>
    <x v="1"/>
    <x v="2"/>
    <n v="0"/>
    <n v="0"/>
    <x v="0"/>
    <x v="0"/>
    <x v="0"/>
    <x v="2"/>
    <x v="0"/>
    <n v="29"/>
    <x v="0"/>
    <s v="No"/>
    <x v="0"/>
    <x v="0"/>
    <x v="0"/>
    <s v="EGFR"/>
    <s v="No"/>
    <s v="No"/>
    <s v="No"/>
    <s v="No"/>
    <s v="Yes"/>
    <s v="Yes"/>
    <s v="No"/>
    <s v="No"/>
    <s v="No"/>
    <s v="No"/>
    <x v="0"/>
    <s v="Large Cell"/>
    <x v="1"/>
    <n v="2.6"/>
    <s v="No"/>
    <s v="Chest X-Ray"/>
    <s v="Surgery"/>
    <n v="76"/>
    <s v="Yes"/>
  </r>
  <r>
    <s v="LC-0158"/>
    <n v="2025"/>
    <d v="2025-09-28T00:00:00"/>
    <s v="Americas"/>
    <s v="Chile"/>
    <n v="77"/>
    <x v="1"/>
    <x v="2"/>
    <n v="0"/>
    <n v="0"/>
    <x v="0"/>
    <x v="1"/>
    <x v="0"/>
    <x v="0"/>
    <x v="0"/>
    <n v="23.7"/>
    <x v="0"/>
    <s v="No"/>
    <x v="0"/>
    <x v="0"/>
    <x v="0"/>
    <s v="EGFR"/>
    <s v="No"/>
    <s v="No"/>
    <s v="Yes"/>
    <s v="No"/>
    <s v="No"/>
    <s v="No"/>
    <s v="Yes"/>
    <s v="No"/>
    <s v="No"/>
    <s v="No"/>
    <x v="0"/>
    <s v="Squamous Cell"/>
    <x v="3"/>
    <n v="5.9"/>
    <s v="No"/>
    <s v="LDCT Screening"/>
    <s v="Surgery"/>
    <n v="34"/>
    <s v="No"/>
  </r>
  <r>
    <s v="LC-0159"/>
    <n v="2016"/>
    <d v="2016-10-24T00:00:00"/>
    <s v="Western Pacific"/>
    <s v="South Korea"/>
    <n v="51"/>
    <x v="0"/>
    <x v="2"/>
    <n v="0"/>
    <n v="0"/>
    <x v="1"/>
    <x v="0"/>
    <x v="0"/>
    <x v="2"/>
    <x v="0"/>
    <n v="28.9"/>
    <x v="1"/>
    <s v="No"/>
    <x v="0"/>
    <x v="1"/>
    <x v="0"/>
    <s v="EGFR"/>
    <s v="Yes"/>
    <s v="Yes"/>
    <s v="No"/>
    <s v="No"/>
    <s v="No"/>
    <s v="No"/>
    <s v="Yes"/>
    <s v="No"/>
    <s v="No"/>
    <s v="No"/>
    <x v="0"/>
    <s v="Adenocarcinoma"/>
    <x v="3"/>
    <n v="2.8"/>
    <s v="No"/>
    <s v="Bronchoscopy"/>
    <s v="Surgery"/>
    <n v="41"/>
    <s v="Yes"/>
  </r>
  <r>
    <s v="LC-0160"/>
    <n v="2022"/>
    <d v="2022-04-28T00:00:00"/>
    <s v="Americas"/>
    <s v="Brazil"/>
    <n v="50"/>
    <x v="0"/>
    <x v="2"/>
    <n v="0"/>
    <n v="0"/>
    <x v="0"/>
    <x v="0"/>
    <x v="0"/>
    <x v="1"/>
    <x v="2"/>
    <n v="26.6"/>
    <x v="1"/>
    <s v="No"/>
    <x v="0"/>
    <x v="0"/>
    <x v="0"/>
    <s v="EGFR"/>
    <s v="No"/>
    <s v="No"/>
    <s v="No"/>
    <s v="Yes"/>
    <s v="Yes"/>
    <s v="No"/>
    <s v="No"/>
    <s v="Yes"/>
    <s v="No"/>
    <s v="Yes"/>
    <x v="0"/>
    <s v="Adenocarcinoma"/>
    <x v="2"/>
    <n v="4.0999999999999996"/>
    <s v="Yes"/>
    <s v="CT Scan"/>
    <s v="Immunotherapy"/>
    <n v="24"/>
    <s v="No"/>
  </r>
  <r>
    <s v="LC-0161"/>
    <n v="2025"/>
    <d v="2025-03-14T00:00:00"/>
    <s v="Eastern Mediterranean"/>
    <s v="Pakistan"/>
    <n v="51"/>
    <x v="1"/>
    <x v="2"/>
    <n v="0"/>
    <n v="0"/>
    <x v="1"/>
    <x v="1"/>
    <x v="0"/>
    <x v="1"/>
    <x v="1"/>
    <n v="25.5"/>
    <x v="1"/>
    <s v="No"/>
    <x v="0"/>
    <x v="0"/>
    <x v="0"/>
    <s v="KRAS"/>
    <s v="No"/>
    <s v="No"/>
    <s v="No"/>
    <s v="No"/>
    <s v="Yes"/>
    <s v="No"/>
    <s v="No"/>
    <s v="No"/>
    <s v="No"/>
    <s v="No"/>
    <x v="0"/>
    <s v="Adenocarcinoma"/>
    <x v="1"/>
    <n v="1.6"/>
    <s v="No"/>
    <s v="LDCT Screening"/>
    <s v="Immunotherapy"/>
    <n v="44"/>
    <s v="Yes"/>
  </r>
  <r>
    <s v="LC-0162"/>
    <n v="2015"/>
    <d v="2015-03-24T00:00:00"/>
    <s v="South-East Asia"/>
    <s v="Sri Lanka"/>
    <n v="42"/>
    <x v="1"/>
    <x v="2"/>
    <n v="0"/>
    <n v="0"/>
    <x v="1"/>
    <x v="0"/>
    <x v="0"/>
    <x v="0"/>
    <x v="2"/>
    <n v="29.5"/>
    <x v="2"/>
    <s v="No"/>
    <x v="0"/>
    <x v="1"/>
    <x v="0"/>
    <s v="No Mutation"/>
    <s v="Yes"/>
    <s v="No"/>
    <s v="Yes"/>
    <s v="No"/>
    <s v="Yes"/>
    <s v="No"/>
    <s v="Yes"/>
    <s v="No"/>
    <s v="No"/>
    <s v="No"/>
    <x v="0"/>
    <s v="Large Cell"/>
    <x v="1"/>
    <n v="1.8"/>
    <s v="No"/>
    <s v="LDCT Screening"/>
    <s v="Surgery"/>
    <n v="72"/>
    <s v="Yes"/>
  </r>
  <r>
    <s v="LC-0163"/>
    <n v="2023"/>
    <d v="2023-07-26T00:00:00"/>
    <s v="Eastern Mediterranean"/>
    <s v="UAE"/>
    <n v="66"/>
    <x v="0"/>
    <x v="0"/>
    <n v="13"/>
    <n v="30"/>
    <x v="0"/>
    <x v="1"/>
    <x v="0"/>
    <x v="0"/>
    <x v="2"/>
    <n v="32.5"/>
    <x v="1"/>
    <s v="Yes"/>
    <x v="1"/>
    <x v="0"/>
    <x v="0"/>
    <s v="No Mutation"/>
    <s v="Yes"/>
    <s v="No"/>
    <s v="Yes"/>
    <s v="Yes"/>
    <s v="Yes"/>
    <s v="No"/>
    <s v="No"/>
    <s v="Yes"/>
    <s v="No"/>
    <s v="No"/>
    <x v="0"/>
    <s v="Large Cell"/>
    <x v="2"/>
    <n v="6.1"/>
    <s v="No"/>
    <s v="Biopsy"/>
    <s v="Chemotherapy"/>
    <n v="12"/>
    <s v="No"/>
  </r>
  <r>
    <s v="LC-0164"/>
    <n v="2019"/>
    <d v="2019-05-06T00:00:00"/>
    <s v="South-East Asia"/>
    <s v="Bangladesh"/>
    <n v="62"/>
    <x v="1"/>
    <x v="1"/>
    <n v="3"/>
    <n v="12"/>
    <x v="1"/>
    <x v="0"/>
    <x v="0"/>
    <x v="1"/>
    <x v="0"/>
    <n v="27.1"/>
    <x v="0"/>
    <s v="Yes"/>
    <x v="0"/>
    <x v="0"/>
    <x v="0"/>
    <s v="No Mutation"/>
    <s v="Yes"/>
    <s v="No"/>
    <s v="No"/>
    <s v="No"/>
    <s v="Yes"/>
    <s v="Yes"/>
    <s v="No"/>
    <s v="No"/>
    <s v="No"/>
    <s v="No"/>
    <x v="0"/>
    <s v="Adenocarcinoma"/>
    <x v="3"/>
    <n v="3.5"/>
    <s v="No"/>
    <s v="Bronchoscopy"/>
    <s v="Surgery + Chemotherapy"/>
    <n v="38"/>
    <s v="Yes"/>
  </r>
  <r>
    <s v="LC-0165"/>
    <n v="2023"/>
    <d v="2023-07-28T00:00:00"/>
    <s v="Americas"/>
    <s v="USA"/>
    <n v="49"/>
    <x v="0"/>
    <x v="2"/>
    <n v="0"/>
    <n v="0"/>
    <x v="0"/>
    <x v="0"/>
    <x v="1"/>
    <x v="0"/>
    <x v="0"/>
    <n v="21.6"/>
    <x v="2"/>
    <s v="No"/>
    <x v="0"/>
    <x v="0"/>
    <x v="0"/>
    <s v="EGFR"/>
    <s v="No"/>
    <s v="No"/>
    <s v="Yes"/>
    <s v="No"/>
    <s v="Yes"/>
    <s v="No"/>
    <s v="Yes"/>
    <s v="No"/>
    <s v="No"/>
    <s v="No"/>
    <x v="0"/>
    <s v="Large Cell"/>
    <x v="3"/>
    <n v="5.2"/>
    <s v="No"/>
    <s v="CT Scan"/>
    <s v="Surgery"/>
    <n v="41"/>
    <s v="No"/>
  </r>
  <r>
    <s v="LC-0166"/>
    <n v="2025"/>
    <d v="2025-08-08T00:00:00"/>
    <s v="Western Pacific"/>
    <s v="Australia"/>
    <n v="79"/>
    <x v="1"/>
    <x v="2"/>
    <n v="0"/>
    <n v="0"/>
    <x v="1"/>
    <x v="1"/>
    <x v="0"/>
    <x v="1"/>
    <x v="0"/>
    <n v="27.7"/>
    <x v="1"/>
    <s v="No"/>
    <x v="0"/>
    <x v="1"/>
    <x v="0"/>
    <s v="TP53"/>
    <s v="No"/>
    <s v="No"/>
    <s v="No"/>
    <s v="No"/>
    <s v="Yes"/>
    <s v="No"/>
    <s v="Yes"/>
    <s v="No"/>
    <s v="No"/>
    <s v="No"/>
    <x v="1"/>
    <s v="Not Applicable"/>
    <x v="1"/>
    <n v="1.8"/>
    <s v="No"/>
    <s v="CT Scan"/>
    <s v="Radiotherapy"/>
    <n v="70"/>
    <s v="Yes"/>
  </r>
  <r>
    <s v="LC-0167"/>
    <n v="2022"/>
    <d v="2022-08-12T00:00:00"/>
    <s v="Eastern Mediterranean"/>
    <s v="Iraq"/>
    <n v="73"/>
    <x v="1"/>
    <x v="0"/>
    <n v="20"/>
    <n v="34"/>
    <x v="1"/>
    <x v="0"/>
    <x v="1"/>
    <x v="1"/>
    <x v="1"/>
    <n v="31.5"/>
    <x v="1"/>
    <s v="No"/>
    <x v="0"/>
    <x v="0"/>
    <x v="0"/>
    <s v="No Mutation"/>
    <s v="Yes"/>
    <s v="No"/>
    <s v="No"/>
    <s v="Yes"/>
    <s v="Yes"/>
    <s v="No"/>
    <s v="Yes"/>
    <s v="No"/>
    <s v="No"/>
    <s v="No"/>
    <x v="1"/>
    <s v="Not Applicable"/>
    <x v="2"/>
    <n v="3"/>
    <s v="No"/>
    <s v="PET Scan"/>
    <s v="Chemo + Radiation"/>
    <n v="21"/>
    <s v="No"/>
  </r>
  <r>
    <s v="LC-0168"/>
    <n v="2021"/>
    <d v="2021-04-08T00:00:00"/>
    <s v="Eastern Mediterranean"/>
    <s v="Pakistan"/>
    <n v="65"/>
    <x v="1"/>
    <x v="2"/>
    <n v="0"/>
    <n v="0"/>
    <x v="1"/>
    <x v="0"/>
    <x v="1"/>
    <x v="1"/>
    <x v="2"/>
    <n v="25.9"/>
    <x v="1"/>
    <s v="No"/>
    <x v="1"/>
    <x v="0"/>
    <x v="0"/>
    <s v="ROS1"/>
    <s v="No"/>
    <s v="Yes"/>
    <s v="Yes"/>
    <s v="No"/>
    <s v="Yes"/>
    <s v="No"/>
    <s v="No"/>
    <s v="No"/>
    <s v="No"/>
    <s v="No"/>
    <x v="0"/>
    <s v="Adenocarcinoma"/>
    <x v="1"/>
    <n v="3"/>
    <s v="No"/>
    <s v="Chest X-Ray"/>
    <s v="Radiotherapy"/>
    <n v="54"/>
    <s v="Yes"/>
  </r>
  <r>
    <s v="LC-0169"/>
    <n v="2025"/>
    <d v="2025-11-07T00:00:00"/>
    <s v="Eastern Mediterranean"/>
    <s v="Lebanon"/>
    <n v="58"/>
    <x v="0"/>
    <x v="0"/>
    <n v="22"/>
    <n v="32"/>
    <x v="1"/>
    <x v="0"/>
    <x v="0"/>
    <x v="1"/>
    <x v="2"/>
    <n v="27"/>
    <x v="0"/>
    <s v="No"/>
    <x v="0"/>
    <x v="0"/>
    <x v="0"/>
    <s v="HER2"/>
    <s v="Yes"/>
    <s v="Yes"/>
    <s v="Yes"/>
    <s v="No"/>
    <s v="No"/>
    <s v="Yes"/>
    <s v="No"/>
    <s v="No"/>
    <s v="No"/>
    <s v="Yes"/>
    <x v="0"/>
    <s v="Squamous Cell"/>
    <x v="0"/>
    <n v="7.1"/>
    <s v="Yes"/>
    <s v="Chest X-Ray"/>
    <s v="Targeted Therapy"/>
    <n v="5"/>
    <s v="No"/>
  </r>
  <r>
    <s v="LC-0170"/>
    <n v="2021"/>
    <d v="2021-06-09T00:00:00"/>
    <s v="Eastern Mediterranean"/>
    <s v="Iran"/>
    <n v="54"/>
    <x v="1"/>
    <x v="2"/>
    <n v="0"/>
    <n v="0"/>
    <x v="0"/>
    <x v="0"/>
    <x v="0"/>
    <x v="1"/>
    <x v="1"/>
    <n v="30.4"/>
    <x v="0"/>
    <s v="No"/>
    <x v="0"/>
    <x v="0"/>
    <x v="0"/>
    <s v="No Mutation"/>
    <s v="No"/>
    <s v="Yes"/>
    <s v="No"/>
    <s v="Yes"/>
    <s v="No"/>
    <s v="No"/>
    <s v="No"/>
    <s v="No"/>
    <s v="No"/>
    <s v="Yes"/>
    <x v="0"/>
    <s v="Large Cell"/>
    <x v="3"/>
    <n v="3.8"/>
    <s v="No"/>
    <s v="CT Scan"/>
    <s v="Surgery"/>
    <n v="46"/>
    <s v="No"/>
  </r>
  <r>
    <s v="LC-0171"/>
    <n v="2025"/>
    <d v="2025-05-12T00:00:00"/>
    <s v="Europe"/>
    <s v="Netherlands"/>
    <n v="58"/>
    <x v="1"/>
    <x v="0"/>
    <n v="8"/>
    <n v="30"/>
    <x v="1"/>
    <x v="0"/>
    <x v="0"/>
    <x v="0"/>
    <x v="2"/>
    <n v="20.3"/>
    <x v="1"/>
    <s v="No"/>
    <x v="0"/>
    <x v="0"/>
    <x v="0"/>
    <s v="KRAS"/>
    <s v="Yes"/>
    <s v="No"/>
    <s v="Yes"/>
    <s v="No"/>
    <s v="Yes"/>
    <s v="No"/>
    <s v="Yes"/>
    <s v="Yes"/>
    <s v="No"/>
    <s v="No"/>
    <x v="1"/>
    <s v="Not Applicable"/>
    <x v="2"/>
    <n v="3.7"/>
    <s v="Yes"/>
    <s v="PET Scan"/>
    <s v="Surgery + Chemotherapy"/>
    <n v="21"/>
    <s v="No"/>
  </r>
  <r>
    <s v="LC-0172"/>
    <n v="2019"/>
    <d v="2019-07-22T00:00:00"/>
    <s v="South-East Asia"/>
    <s v="Timor-Leste"/>
    <n v="50"/>
    <x v="0"/>
    <x v="2"/>
    <n v="0"/>
    <n v="0"/>
    <x v="1"/>
    <x v="0"/>
    <x v="0"/>
    <x v="1"/>
    <x v="1"/>
    <n v="26.8"/>
    <x v="1"/>
    <s v="No"/>
    <x v="0"/>
    <x v="0"/>
    <x v="0"/>
    <s v="EGFR"/>
    <s v="No"/>
    <s v="No"/>
    <s v="No"/>
    <s v="Yes"/>
    <s v="Yes"/>
    <s v="No"/>
    <s v="No"/>
    <s v="No"/>
    <s v="No"/>
    <s v="No"/>
    <x v="0"/>
    <s v="Adenocarcinoma"/>
    <x v="3"/>
    <n v="2.9"/>
    <s v="No"/>
    <s v="CT Scan"/>
    <s v="Immunotherapy"/>
    <n v="31"/>
    <s v="Yes"/>
  </r>
  <r>
    <s v="LC-0173"/>
    <n v="2024"/>
    <d v="2024-06-01T00:00:00"/>
    <s v="Americas"/>
    <s v="Canada"/>
    <n v="60"/>
    <x v="1"/>
    <x v="0"/>
    <n v="24"/>
    <n v="31"/>
    <x v="1"/>
    <x v="0"/>
    <x v="0"/>
    <x v="2"/>
    <x v="2"/>
    <n v="29.2"/>
    <x v="2"/>
    <s v="No"/>
    <x v="0"/>
    <x v="0"/>
    <x v="0"/>
    <s v="No Mutation"/>
    <s v="No"/>
    <s v="Yes"/>
    <s v="Yes"/>
    <s v="Yes"/>
    <s v="No"/>
    <s v="Yes"/>
    <s v="Yes"/>
    <s v="No"/>
    <s v="Yes"/>
    <s v="No"/>
    <x v="0"/>
    <s v="Squamous Cell"/>
    <x v="2"/>
    <n v="3.7"/>
    <s v="No"/>
    <s v="Chest X-Ray"/>
    <s v="Surgery + Chemotherapy"/>
    <n v="24"/>
    <s v="No"/>
  </r>
  <r>
    <s v="LC-0174"/>
    <n v="2022"/>
    <d v="2022-05-06T00:00:00"/>
    <s v="Americas"/>
    <s v="Venezuela"/>
    <n v="49"/>
    <x v="0"/>
    <x v="2"/>
    <n v="0"/>
    <n v="0"/>
    <x v="0"/>
    <x v="1"/>
    <x v="0"/>
    <x v="2"/>
    <x v="2"/>
    <n v="26.5"/>
    <x v="1"/>
    <s v="Yes"/>
    <x v="0"/>
    <x v="0"/>
    <x v="0"/>
    <s v="EGFR"/>
    <s v="No"/>
    <s v="No"/>
    <s v="Yes"/>
    <s v="No"/>
    <s v="Yes"/>
    <s v="No"/>
    <s v="Yes"/>
    <s v="No"/>
    <s v="No"/>
    <s v="No"/>
    <x v="0"/>
    <s v="Adenocarcinoma"/>
    <x v="3"/>
    <n v="4.3"/>
    <s v="No"/>
    <s v="CT Scan"/>
    <s v="Surgery + Chemotherapy"/>
    <n v="42"/>
    <s v="Yes"/>
  </r>
  <r>
    <s v="LC-0175"/>
    <n v="2022"/>
    <d v="2022-05-02T00:00:00"/>
    <s v="Western Pacific"/>
    <s v="Japan"/>
    <n v="54"/>
    <x v="0"/>
    <x v="2"/>
    <n v="0"/>
    <n v="0"/>
    <x v="0"/>
    <x v="0"/>
    <x v="1"/>
    <x v="0"/>
    <x v="2"/>
    <n v="27.4"/>
    <x v="1"/>
    <s v="No"/>
    <x v="0"/>
    <x v="0"/>
    <x v="0"/>
    <s v="ALK"/>
    <s v="Yes"/>
    <s v="Yes"/>
    <s v="No"/>
    <s v="No"/>
    <s v="Yes"/>
    <s v="No"/>
    <s v="No"/>
    <s v="No"/>
    <s v="No"/>
    <s v="Yes"/>
    <x v="0"/>
    <s v="Adenocarcinoma"/>
    <x v="0"/>
    <n v="8.6"/>
    <s v="Yes"/>
    <s v="PET Scan"/>
    <s v="Palliative Care"/>
    <n v="4"/>
    <s v="Yes"/>
  </r>
  <r>
    <s v="LC-0176"/>
    <n v="2016"/>
    <d v="2016-10-14T00:00:00"/>
    <s v="Western Pacific"/>
    <s v="Vietnam"/>
    <n v="63"/>
    <x v="1"/>
    <x v="2"/>
    <n v="0"/>
    <n v="0"/>
    <x v="0"/>
    <x v="0"/>
    <x v="0"/>
    <x v="1"/>
    <x v="1"/>
    <n v="17.2"/>
    <x v="0"/>
    <s v="No"/>
    <x v="0"/>
    <x v="0"/>
    <x v="0"/>
    <s v="BRAF"/>
    <s v="Yes"/>
    <s v="No"/>
    <s v="No"/>
    <s v="No"/>
    <s v="Yes"/>
    <s v="No"/>
    <s v="No"/>
    <s v="Yes"/>
    <s v="No"/>
    <s v="No"/>
    <x v="0"/>
    <s v="Adenocarcinoma"/>
    <x v="0"/>
    <n v="7.8"/>
    <s v="Yes"/>
    <s v="CT Scan"/>
    <s v="Immunotherapy"/>
    <n v="12"/>
    <s v="No"/>
  </r>
  <r>
    <s v="LC-0177"/>
    <n v="2025"/>
    <d v="2025-12-26T00:00:00"/>
    <s v="South-East Asia"/>
    <s v="Sri Lanka"/>
    <n v="58"/>
    <x v="1"/>
    <x v="0"/>
    <n v="10"/>
    <n v="19"/>
    <x v="0"/>
    <x v="0"/>
    <x v="0"/>
    <x v="0"/>
    <x v="2"/>
    <n v="24.9"/>
    <x v="2"/>
    <s v="No"/>
    <x v="0"/>
    <x v="0"/>
    <x v="0"/>
    <s v="ALK"/>
    <s v="Yes"/>
    <s v="No"/>
    <s v="Yes"/>
    <s v="Yes"/>
    <s v="Yes"/>
    <s v="No"/>
    <s v="No"/>
    <s v="Yes"/>
    <s v="No"/>
    <s v="No"/>
    <x v="0"/>
    <s v="Adenocarcinoma"/>
    <x v="0"/>
    <n v="3.5"/>
    <s v="Yes"/>
    <s v="PET Scan"/>
    <s v="Targeted Therapy"/>
    <n v="11"/>
    <s v="No"/>
  </r>
  <r>
    <s v="LC-0178"/>
    <n v="2024"/>
    <d v="2024-07-20T00:00:00"/>
    <s v="Americas"/>
    <s v="Cuba"/>
    <n v="60"/>
    <x v="0"/>
    <x v="2"/>
    <n v="0"/>
    <n v="0"/>
    <x v="1"/>
    <x v="0"/>
    <x v="0"/>
    <x v="2"/>
    <x v="2"/>
    <n v="31.9"/>
    <x v="1"/>
    <s v="No"/>
    <x v="0"/>
    <x v="0"/>
    <x v="0"/>
    <s v="No Mutation"/>
    <s v="No"/>
    <s v="No"/>
    <s v="No"/>
    <s v="Yes"/>
    <s v="Yes"/>
    <s v="No"/>
    <s v="No"/>
    <s v="No"/>
    <s v="No"/>
    <s v="Yes"/>
    <x v="0"/>
    <s v="Adenocarcinoma"/>
    <x v="1"/>
    <n v="3"/>
    <s v="No"/>
    <s v="Biopsy"/>
    <s v="Surgery"/>
    <n v="55"/>
    <s v="Yes"/>
  </r>
  <r>
    <s v="LC-0179"/>
    <n v="2019"/>
    <d v="2019-02-13T00:00:00"/>
    <s v="Americas"/>
    <s v="Venezuela"/>
    <n v="56"/>
    <x v="0"/>
    <x v="2"/>
    <n v="0"/>
    <n v="0"/>
    <x v="1"/>
    <x v="0"/>
    <x v="1"/>
    <x v="0"/>
    <x v="1"/>
    <n v="32"/>
    <x v="0"/>
    <s v="No"/>
    <x v="0"/>
    <x v="0"/>
    <x v="0"/>
    <s v="MET"/>
    <s v="No"/>
    <s v="No"/>
    <s v="No"/>
    <s v="No"/>
    <s v="Yes"/>
    <s v="No"/>
    <s v="No"/>
    <s v="Yes"/>
    <s v="No"/>
    <s v="No"/>
    <x v="0"/>
    <s v="Adenocarcinoma"/>
    <x v="3"/>
    <n v="3.4"/>
    <s v="No"/>
    <s v="Bronchoscopy"/>
    <s v="Chemotherapy"/>
    <n v="25"/>
    <s v="Yes"/>
  </r>
  <r>
    <s v="LC-0180"/>
    <n v="2024"/>
    <d v="2024-04-09T00:00:00"/>
    <s v="Western Pacific"/>
    <s v="China"/>
    <n v="62"/>
    <x v="0"/>
    <x v="2"/>
    <n v="0"/>
    <n v="0"/>
    <x v="0"/>
    <x v="0"/>
    <x v="0"/>
    <x v="0"/>
    <x v="2"/>
    <n v="25.3"/>
    <x v="0"/>
    <s v="No"/>
    <x v="0"/>
    <x v="0"/>
    <x v="1"/>
    <s v="ALK"/>
    <s v="No"/>
    <s v="No"/>
    <s v="No"/>
    <s v="No"/>
    <s v="No"/>
    <s v="No"/>
    <s v="No"/>
    <s v="No"/>
    <s v="No"/>
    <s v="No"/>
    <x v="0"/>
    <s v="Adenocarcinoma"/>
    <x v="1"/>
    <n v="2.1"/>
    <s v="No"/>
    <s v="CT Scan"/>
    <s v="Surgery"/>
    <n v="59"/>
    <s v="Yes"/>
  </r>
  <r>
    <s v="LC-0181"/>
    <n v="2015"/>
    <d v="2015-12-14T00:00:00"/>
    <s v="Americas"/>
    <s v="USA"/>
    <n v="38"/>
    <x v="1"/>
    <x v="2"/>
    <n v="0"/>
    <n v="0"/>
    <x v="1"/>
    <x v="0"/>
    <x v="0"/>
    <x v="2"/>
    <x v="2"/>
    <n v="21.3"/>
    <x v="0"/>
    <s v="Yes"/>
    <x v="0"/>
    <x v="0"/>
    <x v="0"/>
    <s v="EGFR"/>
    <s v="No"/>
    <s v="No"/>
    <s v="No"/>
    <s v="No"/>
    <s v="Yes"/>
    <s v="No"/>
    <s v="No"/>
    <s v="Yes"/>
    <s v="No"/>
    <s v="No"/>
    <x v="0"/>
    <s v="Adenocarcinoma"/>
    <x v="3"/>
    <n v="4"/>
    <s v="No"/>
    <s v="LDCT Screening"/>
    <s v="Surgery + Chemotherapy"/>
    <n v="47"/>
    <s v="No"/>
  </r>
  <r>
    <s v="LC-0182"/>
    <n v="2020"/>
    <d v="2020-09-26T00:00:00"/>
    <s v="Eastern Mediterranean"/>
    <s v="Qatar"/>
    <n v="59"/>
    <x v="1"/>
    <x v="2"/>
    <n v="0"/>
    <n v="0"/>
    <x v="1"/>
    <x v="1"/>
    <x v="0"/>
    <x v="1"/>
    <x v="1"/>
    <n v="21.3"/>
    <x v="2"/>
    <s v="Yes"/>
    <x v="0"/>
    <x v="0"/>
    <x v="0"/>
    <s v="No Mutation"/>
    <s v="No"/>
    <s v="Yes"/>
    <s v="No"/>
    <s v="No"/>
    <s v="Yes"/>
    <s v="No"/>
    <s v="No"/>
    <s v="No"/>
    <s v="No"/>
    <s v="No"/>
    <x v="1"/>
    <s v="Not Applicable"/>
    <x v="3"/>
    <n v="3.5"/>
    <s v="No"/>
    <s v="CT Scan"/>
    <s v="Chemotherapy"/>
    <n v="48"/>
    <s v="Yes"/>
  </r>
  <r>
    <s v="LC-0183"/>
    <n v="2017"/>
    <d v="2017-11-24T00:00:00"/>
    <s v="Western Pacific"/>
    <s v="Australia"/>
    <n v="55"/>
    <x v="1"/>
    <x v="0"/>
    <n v="31"/>
    <n v="30"/>
    <x v="1"/>
    <x v="1"/>
    <x v="0"/>
    <x v="2"/>
    <x v="2"/>
    <n v="26.3"/>
    <x v="1"/>
    <s v="No"/>
    <x v="0"/>
    <x v="0"/>
    <x v="0"/>
    <s v="No Mutation"/>
    <s v="No"/>
    <s v="Yes"/>
    <s v="Yes"/>
    <s v="No"/>
    <s v="Yes"/>
    <s v="Yes"/>
    <s v="Yes"/>
    <s v="No"/>
    <s v="No"/>
    <s v="Yes"/>
    <x v="0"/>
    <s v="Squamous Cell"/>
    <x v="0"/>
    <n v="5.0999999999999996"/>
    <s v="Yes"/>
    <s v="PET Scan"/>
    <s v="Immunotherapy"/>
    <n v="4"/>
    <s v="No"/>
  </r>
  <r>
    <s v="LC-0184"/>
    <n v="2020"/>
    <d v="2020-06-14T00:00:00"/>
    <s v="Western Pacific"/>
    <s v="Japan"/>
    <n v="69"/>
    <x v="1"/>
    <x v="0"/>
    <n v="23"/>
    <n v="33"/>
    <x v="1"/>
    <x v="1"/>
    <x v="0"/>
    <x v="1"/>
    <x v="2"/>
    <n v="20.9"/>
    <x v="1"/>
    <s v="Yes"/>
    <x v="0"/>
    <x v="0"/>
    <x v="0"/>
    <s v="No Mutation"/>
    <s v="Yes"/>
    <s v="Yes"/>
    <s v="No"/>
    <s v="No"/>
    <s v="Yes"/>
    <s v="No"/>
    <s v="No"/>
    <s v="No"/>
    <s v="Yes"/>
    <s v="No"/>
    <x v="1"/>
    <s v="Not Applicable"/>
    <x v="3"/>
    <n v="2.5"/>
    <s v="No"/>
    <s v="CT Scan"/>
    <s v="Targeted Therapy"/>
    <n v="6"/>
    <s v="Yes"/>
  </r>
  <r>
    <s v="LC-0185"/>
    <n v="2019"/>
    <d v="2019-11-11T00:00:00"/>
    <s v="Europe"/>
    <s v="Sweden"/>
    <n v="58"/>
    <x v="0"/>
    <x v="2"/>
    <n v="0"/>
    <n v="0"/>
    <x v="0"/>
    <x v="0"/>
    <x v="0"/>
    <x v="2"/>
    <x v="0"/>
    <n v="26.6"/>
    <x v="2"/>
    <s v="No"/>
    <x v="0"/>
    <x v="0"/>
    <x v="0"/>
    <s v="HER2"/>
    <s v="Yes"/>
    <s v="No"/>
    <s v="No"/>
    <s v="No"/>
    <s v="No"/>
    <s v="No"/>
    <s v="No"/>
    <s v="Yes"/>
    <s v="No"/>
    <s v="No"/>
    <x v="1"/>
    <s v="Not Applicable"/>
    <x v="0"/>
    <n v="3.5"/>
    <s v="Yes"/>
    <s v="Bronchoscopy"/>
    <s v="Immunotherapy"/>
    <n v="2"/>
    <s v="No"/>
  </r>
  <r>
    <s v="LC-0186"/>
    <n v="2015"/>
    <d v="2015-06-22T00:00:00"/>
    <s v="Western Pacific"/>
    <s v="Japan"/>
    <n v="60"/>
    <x v="1"/>
    <x v="2"/>
    <n v="0"/>
    <n v="0"/>
    <x v="1"/>
    <x v="0"/>
    <x v="0"/>
    <x v="0"/>
    <x v="2"/>
    <n v="25.9"/>
    <x v="0"/>
    <s v="No"/>
    <x v="0"/>
    <x v="0"/>
    <x v="0"/>
    <s v="ROS1"/>
    <s v="No"/>
    <s v="Yes"/>
    <s v="Yes"/>
    <s v="No"/>
    <s v="Yes"/>
    <s v="No"/>
    <s v="No"/>
    <s v="Yes"/>
    <s v="No"/>
    <s v="No"/>
    <x v="0"/>
    <s v="Adenocarcinoma"/>
    <x v="3"/>
    <n v="5.6"/>
    <s v="No"/>
    <s v="Bronchoscopy"/>
    <s v="Chemotherapy"/>
    <n v="42"/>
    <s v="No"/>
  </r>
  <r>
    <s v="LC-0187"/>
    <n v="2025"/>
    <d v="2025-12-10T00:00:00"/>
    <s v="Europe"/>
    <s v="Netherlands"/>
    <n v="50"/>
    <x v="1"/>
    <x v="2"/>
    <n v="0"/>
    <n v="0"/>
    <x v="1"/>
    <x v="0"/>
    <x v="0"/>
    <x v="2"/>
    <x v="2"/>
    <n v="30.3"/>
    <x v="1"/>
    <s v="No"/>
    <x v="0"/>
    <x v="0"/>
    <x v="0"/>
    <s v="EGFR"/>
    <s v="No"/>
    <s v="No"/>
    <s v="No"/>
    <s v="Yes"/>
    <s v="Yes"/>
    <s v="No"/>
    <s v="No"/>
    <s v="No"/>
    <s v="No"/>
    <s v="No"/>
    <x v="0"/>
    <s v="Adenocarcinoma"/>
    <x v="2"/>
    <n v="5.8"/>
    <s v="Yes"/>
    <s v="CT Scan"/>
    <s v="Surgery + Chemotherapy"/>
    <n v="34"/>
    <s v="No"/>
  </r>
  <r>
    <s v="LC-0188"/>
    <n v="2022"/>
    <d v="2022-05-22T00:00:00"/>
    <s v="Africa"/>
    <s v="Tanzania"/>
    <n v="59"/>
    <x v="1"/>
    <x v="2"/>
    <n v="0"/>
    <n v="0"/>
    <x v="0"/>
    <x v="0"/>
    <x v="1"/>
    <x v="0"/>
    <x v="0"/>
    <n v="25"/>
    <x v="1"/>
    <s v="No"/>
    <x v="0"/>
    <x v="0"/>
    <x v="0"/>
    <s v="No Mutation"/>
    <s v="No"/>
    <s v="No"/>
    <s v="No"/>
    <s v="Yes"/>
    <s v="No"/>
    <s v="No"/>
    <s v="No"/>
    <s v="Yes"/>
    <s v="Yes"/>
    <s v="No"/>
    <x v="0"/>
    <s v="Adenocarcinoma"/>
    <x v="3"/>
    <n v="4.8"/>
    <s v="No"/>
    <s v="Biopsy"/>
    <s v="Radiotherapy"/>
    <n v="15"/>
    <s v="Yes"/>
  </r>
  <r>
    <s v="LC-0189"/>
    <n v="2018"/>
    <d v="2018-06-13T00:00:00"/>
    <s v="Western Pacific"/>
    <s v="Philippines"/>
    <n v="67"/>
    <x v="1"/>
    <x v="1"/>
    <n v="16"/>
    <n v="17"/>
    <x v="1"/>
    <x v="0"/>
    <x v="1"/>
    <x v="1"/>
    <x v="2"/>
    <n v="21"/>
    <x v="2"/>
    <s v="Yes"/>
    <x v="0"/>
    <x v="0"/>
    <x v="0"/>
    <s v="TP53"/>
    <s v="Yes"/>
    <s v="Yes"/>
    <s v="Yes"/>
    <s v="No"/>
    <s v="Yes"/>
    <s v="No"/>
    <s v="No"/>
    <s v="Yes"/>
    <s v="No"/>
    <s v="No"/>
    <x v="0"/>
    <s v="Squamous Cell"/>
    <x v="2"/>
    <n v="4.8"/>
    <s v="No"/>
    <s v="CT Scan"/>
    <s v="Radiotherapy"/>
    <n v="20"/>
    <s v="No"/>
  </r>
  <r>
    <s v="LC-0190"/>
    <n v="2023"/>
    <d v="2023-09-05T00:00:00"/>
    <s v="Western Pacific"/>
    <s v="Australia"/>
    <n v="83"/>
    <x v="1"/>
    <x v="2"/>
    <n v="0"/>
    <n v="0"/>
    <x v="0"/>
    <x v="0"/>
    <x v="0"/>
    <x v="0"/>
    <x v="1"/>
    <n v="22.5"/>
    <x v="1"/>
    <s v="No"/>
    <x v="0"/>
    <x v="0"/>
    <x v="0"/>
    <s v="BRAF"/>
    <s v="No"/>
    <s v="No"/>
    <s v="No"/>
    <s v="Yes"/>
    <s v="No"/>
    <s v="No"/>
    <s v="No"/>
    <s v="Yes"/>
    <s v="No"/>
    <s v="No"/>
    <x v="0"/>
    <s v="Squamous Cell"/>
    <x v="1"/>
    <n v="2.5"/>
    <s v="No"/>
    <s v="CT Scan"/>
    <s v="Immunotherapy"/>
    <n v="47"/>
    <s v="Yes"/>
  </r>
  <r>
    <s v="LC-0191"/>
    <n v="2020"/>
    <d v="2020-07-22T00:00:00"/>
    <s v="Western Pacific"/>
    <s v="Malaysia"/>
    <n v="40"/>
    <x v="0"/>
    <x v="2"/>
    <n v="0"/>
    <n v="0"/>
    <x v="1"/>
    <x v="0"/>
    <x v="0"/>
    <x v="1"/>
    <x v="0"/>
    <n v="31.8"/>
    <x v="2"/>
    <s v="No"/>
    <x v="0"/>
    <x v="0"/>
    <x v="0"/>
    <s v="No Mutation"/>
    <s v="Yes"/>
    <s v="Yes"/>
    <s v="No"/>
    <s v="Yes"/>
    <s v="No"/>
    <s v="Yes"/>
    <s v="No"/>
    <s v="No"/>
    <s v="No"/>
    <s v="No"/>
    <x v="0"/>
    <s v="Adenocarcinoma"/>
    <x v="1"/>
    <n v="3.6"/>
    <s v="No"/>
    <s v="CT Scan"/>
    <s v="Surgery"/>
    <n v="81"/>
    <s v="No"/>
  </r>
  <r>
    <s v="LC-0192"/>
    <n v="2025"/>
    <d v="2025-11-24T00:00:00"/>
    <s v="Western Pacific"/>
    <s v="South Korea"/>
    <n v="59"/>
    <x v="1"/>
    <x v="2"/>
    <n v="0"/>
    <n v="0"/>
    <x v="1"/>
    <x v="0"/>
    <x v="1"/>
    <x v="1"/>
    <x v="2"/>
    <n v="23.5"/>
    <x v="0"/>
    <s v="No"/>
    <x v="1"/>
    <x v="0"/>
    <x v="0"/>
    <s v="KRAS"/>
    <s v="No"/>
    <s v="No"/>
    <s v="No"/>
    <s v="No"/>
    <s v="No"/>
    <s v="No"/>
    <s v="Yes"/>
    <s v="No"/>
    <s v="No"/>
    <s v="Yes"/>
    <x v="0"/>
    <s v="Large Cell"/>
    <x v="1"/>
    <n v="2.2999999999999998"/>
    <s v="No"/>
    <s v="Biopsy"/>
    <s v="Targeted Therapy"/>
    <n v="56"/>
    <s v="No"/>
  </r>
  <r>
    <s v="LC-0193"/>
    <n v="2022"/>
    <d v="2022-10-19T00:00:00"/>
    <s v="Africa"/>
    <s v="Ethiopia"/>
    <n v="58"/>
    <x v="1"/>
    <x v="1"/>
    <n v="28"/>
    <n v="17"/>
    <x v="0"/>
    <x v="0"/>
    <x v="1"/>
    <x v="0"/>
    <x v="0"/>
    <n v="22.4"/>
    <x v="1"/>
    <s v="No"/>
    <x v="0"/>
    <x v="0"/>
    <x v="0"/>
    <s v="EGFR"/>
    <s v="Yes"/>
    <s v="No"/>
    <s v="Yes"/>
    <s v="Yes"/>
    <s v="No"/>
    <s v="No"/>
    <s v="No"/>
    <s v="Yes"/>
    <s v="Yes"/>
    <s v="No"/>
    <x v="0"/>
    <s v="Squamous Cell"/>
    <x v="2"/>
    <n v="6.6"/>
    <s v="Yes"/>
    <s v="PET Scan"/>
    <s v="Radiotherapy"/>
    <n v="21"/>
    <s v="Yes"/>
  </r>
  <r>
    <s v="LC-0194"/>
    <n v="2021"/>
    <d v="2021-07-18T00:00:00"/>
    <s v="Americas"/>
    <s v="USA"/>
    <n v="57"/>
    <x v="0"/>
    <x v="2"/>
    <n v="0"/>
    <n v="0"/>
    <x v="1"/>
    <x v="1"/>
    <x v="0"/>
    <x v="2"/>
    <x v="1"/>
    <n v="21.6"/>
    <x v="0"/>
    <s v="No"/>
    <x v="0"/>
    <x v="0"/>
    <x v="0"/>
    <s v="EGFR"/>
    <s v="No"/>
    <s v="No"/>
    <s v="No"/>
    <s v="No"/>
    <s v="Yes"/>
    <s v="No"/>
    <s v="Yes"/>
    <s v="No"/>
    <s v="No"/>
    <s v="No"/>
    <x v="0"/>
    <s v="Adenocarcinoma"/>
    <x v="3"/>
    <n v="3.3"/>
    <s v="No"/>
    <s v="Bronchoscopy"/>
    <s v="Surgery + Chemotherapy"/>
    <n v="27"/>
    <s v="No"/>
  </r>
  <r>
    <s v="LC-0195"/>
    <n v="2022"/>
    <d v="2022-05-10T00:00:00"/>
    <s v="Americas"/>
    <s v="Mexico"/>
    <n v="58"/>
    <x v="0"/>
    <x v="2"/>
    <n v="0"/>
    <n v="0"/>
    <x v="0"/>
    <x v="1"/>
    <x v="0"/>
    <x v="0"/>
    <x v="2"/>
    <n v="29.3"/>
    <x v="2"/>
    <s v="No"/>
    <x v="0"/>
    <x v="0"/>
    <x v="0"/>
    <s v="ALK"/>
    <s v="No"/>
    <s v="No"/>
    <s v="No"/>
    <s v="No"/>
    <s v="Yes"/>
    <s v="Yes"/>
    <s v="No"/>
    <s v="No"/>
    <s v="No"/>
    <s v="No"/>
    <x v="1"/>
    <s v="Not Applicable"/>
    <x v="0"/>
    <n v="10.6"/>
    <s v="Yes"/>
    <s v="CT Scan"/>
    <s v="Palliative Care"/>
    <n v="5"/>
    <s v="No"/>
  </r>
  <r>
    <s v="LC-0196"/>
    <n v="2024"/>
    <d v="2024-07-26T00:00:00"/>
    <s v="Europe"/>
    <s v="Sweden"/>
    <n v="89"/>
    <x v="1"/>
    <x v="0"/>
    <n v="22"/>
    <n v="42"/>
    <x v="1"/>
    <x v="1"/>
    <x v="0"/>
    <x v="2"/>
    <x v="0"/>
    <n v="29.2"/>
    <x v="1"/>
    <s v="No"/>
    <x v="0"/>
    <x v="0"/>
    <x v="0"/>
    <s v="BRAF"/>
    <s v="No"/>
    <s v="Yes"/>
    <s v="No"/>
    <s v="Yes"/>
    <s v="Yes"/>
    <s v="No"/>
    <s v="Yes"/>
    <s v="No"/>
    <s v="No"/>
    <s v="Yes"/>
    <x v="1"/>
    <s v="Not Applicable"/>
    <x v="2"/>
    <n v="6.7"/>
    <s v="No"/>
    <s v="CT Scan"/>
    <s v="Chemotherapy"/>
    <n v="9"/>
    <s v="Yes"/>
  </r>
  <r>
    <s v="LC-0197"/>
    <n v="2022"/>
    <d v="2022-10-21T00:00:00"/>
    <s v="Europe"/>
    <s v="Russia"/>
    <n v="69"/>
    <x v="1"/>
    <x v="2"/>
    <n v="0"/>
    <n v="0"/>
    <x v="0"/>
    <x v="0"/>
    <x v="0"/>
    <x v="0"/>
    <x v="0"/>
    <n v="22.1"/>
    <x v="2"/>
    <s v="No"/>
    <x v="0"/>
    <x v="0"/>
    <x v="0"/>
    <s v="EGFR"/>
    <s v="No"/>
    <s v="Yes"/>
    <s v="No"/>
    <s v="No"/>
    <s v="Yes"/>
    <s v="No"/>
    <s v="No"/>
    <s v="Yes"/>
    <s v="No"/>
    <s v="No"/>
    <x v="0"/>
    <s v="Adenocarcinoma"/>
    <x v="3"/>
    <n v="3.2"/>
    <s v="No"/>
    <s v="CT Scan"/>
    <s v="Surgery + Chemotherapy"/>
    <n v="26"/>
    <s v="Yes"/>
  </r>
  <r>
    <s v="LC-0198"/>
    <n v="2022"/>
    <d v="2022-08-15T00:00:00"/>
    <s v="Americas"/>
    <s v="Peru"/>
    <n v="49"/>
    <x v="1"/>
    <x v="2"/>
    <n v="0"/>
    <n v="0"/>
    <x v="1"/>
    <x v="0"/>
    <x v="0"/>
    <x v="2"/>
    <x v="2"/>
    <n v="31.4"/>
    <x v="1"/>
    <s v="No"/>
    <x v="0"/>
    <x v="0"/>
    <x v="0"/>
    <s v="HER2"/>
    <s v="No"/>
    <s v="Yes"/>
    <s v="Yes"/>
    <s v="No"/>
    <s v="Yes"/>
    <s v="No"/>
    <s v="No"/>
    <s v="No"/>
    <s v="No"/>
    <s v="No"/>
    <x v="0"/>
    <s v="Adenocarcinoma"/>
    <x v="1"/>
    <n v="2.9"/>
    <s v="No"/>
    <s v="Biopsy"/>
    <s v="Surgery"/>
    <n v="60"/>
    <s v="Yes"/>
  </r>
  <r>
    <s v="LC-0199"/>
    <n v="2023"/>
    <d v="2023-11-07T00:00:00"/>
    <s v="Africa"/>
    <s v="Algeria"/>
    <n v="38"/>
    <x v="0"/>
    <x v="1"/>
    <n v="9"/>
    <n v="8"/>
    <x v="1"/>
    <x v="0"/>
    <x v="0"/>
    <x v="1"/>
    <x v="2"/>
    <n v="16"/>
    <x v="2"/>
    <s v="Yes"/>
    <x v="0"/>
    <x v="0"/>
    <x v="0"/>
    <s v="No Mutation"/>
    <s v="Yes"/>
    <s v="Yes"/>
    <s v="No"/>
    <s v="Yes"/>
    <s v="No"/>
    <s v="No"/>
    <s v="No"/>
    <s v="Yes"/>
    <s v="Yes"/>
    <s v="No"/>
    <x v="1"/>
    <s v="Not Applicable"/>
    <x v="3"/>
    <n v="2.9"/>
    <s v="No"/>
    <s v="PET Scan"/>
    <s v="Chemotherapy"/>
    <n v="39"/>
    <s v="No"/>
  </r>
  <r>
    <s v="LC-0200"/>
    <n v="2018"/>
    <d v="2018-08-26T00:00:00"/>
    <s v="Western Pacific"/>
    <s v="South Korea"/>
    <n v="64"/>
    <x v="1"/>
    <x v="2"/>
    <n v="0"/>
    <n v="0"/>
    <x v="1"/>
    <x v="0"/>
    <x v="0"/>
    <x v="1"/>
    <x v="2"/>
    <n v="17.2"/>
    <x v="1"/>
    <s v="No"/>
    <x v="0"/>
    <x v="0"/>
    <x v="0"/>
    <s v="KRAS"/>
    <s v="No"/>
    <s v="No"/>
    <s v="No"/>
    <s v="No"/>
    <s v="Yes"/>
    <s v="No"/>
    <s v="Yes"/>
    <s v="Yes"/>
    <s v="No"/>
    <s v="No"/>
    <x v="0"/>
    <s v="Adenocarcinoma"/>
    <x v="2"/>
    <n v="5.7"/>
    <s v="No"/>
    <s v="CT Scan"/>
    <s v="Targeted Therapy"/>
    <n v="20"/>
    <s v="No"/>
  </r>
  <r>
    <s v="LC-0201"/>
    <n v="2021"/>
    <d v="2021-11-03T00:00:00"/>
    <s v="Eastern Mediterranean"/>
    <s v="Iraq"/>
    <n v="63"/>
    <x v="1"/>
    <x v="2"/>
    <n v="0"/>
    <n v="0"/>
    <x v="1"/>
    <x v="0"/>
    <x v="0"/>
    <x v="2"/>
    <x v="2"/>
    <n v="21"/>
    <x v="1"/>
    <s v="No"/>
    <x v="0"/>
    <x v="1"/>
    <x v="0"/>
    <s v="EGFR"/>
    <s v="Yes"/>
    <s v="No"/>
    <s v="Yes"/>
    <s v="No"/>
    <s v="Yes"/>
    <s v="Yes"/>
    <s v="No"/>
    <s v="No"/>
    <s v="No"/>
    <s v="No"/>
    <x v="0"/>
    <s v="Adenocarcinoma"/>
    <x v="1"/>
    <n v="3.4"/>
    <s v="No"/>
    <s v="LDCT Screening"/>
    <s v="Surgery"/>
    <n v="45"/>
    <s v="No"/>
  </r>
  <r>
    <s v="LC-0202"/>
    <n v="2016"/>
    <d v="2016-09-22T00:00:00"/>
    <s v="Americas"/>
    <s v="Venezuela"/>
    <n v="63"/>
    <x v="0"/>
    <x v="0"/>
    <n v="28"/>
    <n v="35"/>
    <x v="0"/>
    <x v="0"/>
    <x v="0"/>
    <x v="2"/>
    <x v="2"/>
    <n v="21.6"/>
    <x v="0"/>
    <s v="No"/>
    <x v="0"/>
    <x v="0"/>
    <x v="0"/>
    <s v="BRAF"/>
    <s v="No"/>
    <s v="Yes"/>
    <s v="Yes"/>
    <s v="No"/>
    <s v="Yes"/>
    <s v="No"/>
    <s v="No"/>
    <s v="No"/>
    <s v="No"/>
    <s v="No"/>
    <x v="0"/>
    <s v="Squamous Cell"/>
    <x v="2"/>
    <n v="5.3"/>
    <s v="No"/>
    <s v="Biopsy"/>
    <s v="Surgery + Chemotherapy"/>
    <n v="25"/>
    <s v="No"/>
  </r>
  <r>
    <s v="LC-0203"/>
    <n v="2022"/>
    <d v="2022-06-03T00:00:00"/>
    <s v="South-East Asia"/>
    <s v="Thailand"/>
    <n v="54"/>
    <x v="0"/>
    <x v="2"/>
    <n v="0"/>
    <n v="0"/>
    <x v="1"/>
    <x v="1"/>
    <x v="1"/>
    <x v="1"/>
    <x v="0"/>
    <n v="27"/>
    <x v="1"/>
    <s v="No"/>
    <x v="0"/>
    <x v="0"/>
    <x v="0"/>
    <s v="EGFR"/>
    <s v="Yes"/>
    <s v="No"/>
    <s v="Yes"/>
    <s v="No"/>
    <s v="Yes"/>
    <s v="No"/>
    <s v="No"/>
    <s v="No"/>
    <s v="No"/>
    <s v="No"/>
    <x v="0"/>
    <s v="Adenocarcinoma"/>
    <x v="1"/>
    <n v="2"/>
    <s v="No"/>
    <s v="Chest X-Ray"/>
    <s v="Surgery + Chemotherapy"/>
    <n v="19"/>
    <s v="Yes"/>
  </r>
  <r>
    <s v="LC-0204"/>
    <n v="2023"/>
    <d v="2023-11-10T00:00:00"/>
    <s v="Western Pacific"/>
    <s v="Australia"/>
    <n v="66"/>
    <x v="1"/>
    <x v="2"/>
    <n v="0"/>
    <n v="0"/>
    <x v="0"/>
    <x v="0"/>
    <x v="0"/>
    <x v="1"/>
    <x v="1"/>
    <n v="32.5"/>
    <x v="0"/>
    <s v="Yes"/>
    <x v="0"/>
    <x v="0"/>
    <x v="0"/>
    <s v="KRAS"/>
    <s v="Yes"/>
    <s v="No"/>
    <s v="No"/>
    <s v="No"/>
    <s v="Yes"/>
    <s v="No"/>
    <s v="Yes"/>
    <s v="No"/>
    <s v="No"/>
    <s v="No"/>
    <x v="1"/>
    <s v="Not Applicable"/>
    <x v="2"/>
    <n v="4.2"/>
    <s v="No"/>
    <s v="PET Scan"/>
    <s v="Immunotherapy"/>
    <n v="7"/>
    <s v="No"/>
  </r>
  <r>
    <s v="LC-0205"/>
    <n v="2023"/>
    <d v="2023-04-05T00:00:00"/>
    <s v="South-East Asia"/>
    <s v="India"/>
    <n v="63"/>
    <x v="1"/>
    <x v="2"/>
    <n v="0"/>
    <n v="0"/>
    <x v="0"/>
    <x v="0"/>
    <x v="1"/>
    <x v="0"/>
    <x v="0"/>
    <n v="24.6"/>
    <x v="1"/>
    <s v="Yes"/>
    <x v="0"/>
    <x v="0"/>
    <x v="0"/>
    <s v="BRAF"/>
    <s v="No"/>
    <s v="No"/>
    <s v="No"/>
    <s v="Yes"/>
    <s v="No"/>
    <s v="No"/>
    <s v="Yes"/>
    <s v="Yes"/>
    <s v="No"/>
    <s v="No"/>
    <x v="0"/>
    <s v="Adenocarcinoma"/>
    <x v="1"/>
    <n v="1.4"/>
    <s v="No"/>
    <s v="LDCT Screening"/>
    <s v="Surgery + Chemotherapy"/>
    <n v="64"/>
    <s v="No"/>
  </r>
  <r>
    <s v="LC-0206"/>
    <n v="2023"/>
    <d v="2023-01-08T00:00:00"/>
    <s v="Americas"/>
    <s v="Peru"/>
    <n v="68"/>
    <x v="1"/>
    <x v="1"/>
    <n v="9"/>
    <n v="31"/>
    <x v="0"/>
    <x v="0"/>
    <x v="0"/>
    <x v="0"/>
    <x v="0"/>
    <n v="23.1"/>
    <x v="1"/>
    <s v="Yes"/>
    <x v="0"/>
    <x v="0"/>
    <x v="0"/>
    <s v="KRAS"/>
    <s v="No"/>
    <s v="No"/>
    <s v="Yes"/>
    <s v="No"/>
    <s v="Yes"/>
    <s v="No"/>
    <s v="No"/>
    <s v="No"/>
    <s v="No"/>
    <s v="No"/>
    <x v="0"/>
    <s v="Adenocarcinoma"/>
    <x v="2"/>
    <n v="3.8"/>
    <s v="Yes"/>
    <s v="Biopsy"/>
    <s v="Immunotherapy"/>
    <n v="11"/>
    <s v="No"/>
  </r>
  <r>
    <s v="LC-0207"/>
    <n v="2019"/>
    <d v="2019-10-28T00:00:00"/>
    <s v="Western Pacific"/>
    <s v="Japan"/>
    <n v="30"/>
    <x v="0"/>
    <x v="0"/>
    <n v="36"/>
    <n v="12"/>
    <x v="0"/>
    <x v="0"/>
    <x v="1"/>
    <x v="1"/>
    <x v="2"/>
    <n v="29.2"/>
    <x v="0"/>
    <s v="No"/>
    <x v="0"/>
    <x v="0"/>
    <x v="1"/>
    <s v="No Mutation"/>
    <s v="Yes"/>
    <s v="Yes"/>
    <s v="Yes"/>
    <s v="Yes"/>
    <s v="Yes"/>
    <s v="No"/>
    <s v="Yes"/>
    <s v="Yes"/>
    <s v="Yes"/>
    <s v="No"/>
    <x v="1"/>
    <s v="Not Applicable"/>
    <x v="3"/>
    <n v="3.5"/>
    <s v="No"/>
    <s v="CT Scan"/>
    <s v="Surgery + Chemotherapy"/>
    <n v="15"/>
    <s v="No"/>
  </r>
  <r>
    <s v="LC-0208"/>
    <n v="2025"/>
    <d v="2025-08-14T00:00:00"/>
    <s v="Western Pacific"/>
    <s v="Mongolia"/>
    <n v="50"/>
    <x v="1"/>
    <x v="1"/>
    <n v="3"/>
    <n v="10"/>
    <x v="1"/>
    <x v="0"/>
    <x v="0"/>
    <x v="1"/>
    <x v="0"/>
    <n v="33.299999999999997"/>
    <x v="0"/>
    <s v="No"/>
    <x v="0"/>
    <x v="0"/>
    <x v="0"/>
    <s v="TP53"/>
    <s v="No"/>
    <s v="No"/>
    <s v="Yes"/>
    <s v="No"/>
    <s v="Yes"/>
    <s v="No"/>
    <s v="Yes"/>
    <s v="No"/>
    <s v="No"/>
    <s v="No"/>
    <x v="0"/>
    <s v="Adenocarcinoma"/>
    <x v="1"/>
    <n v="2.5"/>
    <s v="No"/>
    <s v="LDCT Screening"/>
    <s v="Surgery"/>
    <n v="77"/>
    <s v="Yes"/>
  </r>
  <r>
    <s v="LC-0209"/>
    <n v="2020"/>
    <d v="2020-04-23T00:00:00"/>
    <s v="Europe"/>
    <s v="Turkey"/>
    <n v="60"/>
    <x v="1"/>
    <x v="0"/>
    <n v="21"/>
    <n v="15"/>
    <x v="1"/>
    <x v="1"/>
    <x v="0"/>
    <x v="0"/>
    <x v="0"/>
    <n v="30.6"/>
    <x v="2"/>
    <s v="Yes"/>
    <x v="0"/>
    <x v="0"/>
    <x v="0"/>
    <s v="TP53"/>
    <s v="Yes"/>
    <s v="Yes"/>
    <s v="No"/>
    <s v="Yes"/>
    <s v="Yes"/>
    <s v="Yes"/>
    <s v="No"/>
    <s v="No"/>
    <s v="Yes"/>
    <s v="No"/>
    <x v="0"/>
    <s v="Adenocarcinoma"/>
    <x v="2"/>
    <n v="5.5"/>
    <s v="No"/>
    <s v="PET Scan"/>
    <s v="Chemotherapy"/>
    <n v="29"/>
    <s v="No"/>
  </r>
  <r>
    <s v="LC-0210"/>
    <n v="2024"/>
    <d v="2024-08-13T00:00:00"/>
    <s v="Western Pacific"/>
    <s v="Australia"/>
    <n v="68"/>
    <x v="1"/>
    <x v="2"/>
    <n v="0"/>
    <n v="0"/>
    <x v="0"/>
    <x v="0"/>
    <x v="0"/>
    <x v="2"/>
    <x v="1"/>
    <n v="25.2"/>
    <x v="0"/>
    <s v="No"/>
    <x v="0"/>
    <x v="0"/>
    <x v="0"/>
    <s v="BRAF"/>
    <s v="No"/>
    <s v="Yes"/>
    <s v="Yes"/>
    <s v="No"/>
    <s v="No"/>
    <s v="Yes"/>
    <s v="Yes"/>
    <s v="No"/>
    <s v="No"/>
    <s v="No"/>
    <x v="0"/>
    <s v="Adenocarcinoma"/>
    <x v="0"/>
    <n v="8"/>
    <s v="Yes"/>
    <s v="CT Scan"/>
    <s v="Palliative Care"/>
    <n v="9"/>
    <s v="No"/>
  </r>
  <r>
    <s v="LC-0211"/>
    <n v="2024"/>
    <d v="2024-03-21T00:00:00"/>
    <s v="Western Pacific"/>
    <s v="China"/>
    <n v="50"/>
    <x v="1"/>
    <x v="0"/>
    <n v="16"/>
    <n v="32"/>
    <x v="0"/>
    <x v="0"/>
    <x v="0"/>
    <x v="1"/>
    <x v="1"/>
    <n v="27.7"/>
    <x v="0"/>
    <s v="No"/>
    <x v="0"/>
    <x v="0"/>
    <x v="0"/>
    <s v="No Mutation"/>
    <s v="Yes"/>
    <s v="No"/>
    <s v="Yes"/>
    <s v="No"/>
    <s v="Yes"/>
    <s v="No"/>
    <s v="No"/>
    <s v="No"/>
    <s v="No"/>
    <s v="No"/>
    <x v="0"/>
    <s v="Large Cell"/>
    <x v="2"/>
    <n v="5.6"/>
    <s v="Yes"/>
    <s v="CT Scan"/>
    <s v="Chemo + Radiation"/>
    <n v="14"/>
    <s v="No"/>
  </r>
  <r>
    <s v="LC-0212"/>
    <n v="2020"/>
    <d v="2020-02-25T00:00:00"/>
    <s v="Western Pacific"/>
    <s v="Malaysia"/>
    <n v="47"/>
    <x v="0"/>
    <x v="2"/>
    <n v="0"/>
    <n v="0"/>
    <x v="0"/>
    <x v="1"/>
    <x v="0"/>
    <x v="1"/>
    <x v="2"/>
    <n v="28.2"/>
    <x v="1"/>
    <s v="No"/>
    <x v="0"/>
    <x v="0"/>
    <x v="0"/>
    <s v="BRAF"/>
    <s v="No"/>
    <s v="No"/>
    <s v="No"/>
    <s v="No"/>
    <s v="No"/>
    <s v="No"/>
    <s v="No"/>
    <s v="Yes"/>
    <s v="No"/>
    <s v="Yes"/>
    <x v="0"/>
    <s v="Adenocarcinoma"/>
    <x v="3"/>
    <n v="5.4"/>
    <s v="No"/>
    <s v="Chest X-Ray"/>
    <s v="Surgery + Chemotherapy"/>
    <n v="49"/>
    <s v="Yes"/>
  </r>
  <r>
    <s v="LC-0213"/>
    <n v="2022"/>
    <d v="2022-04-06T00:00:00"/>
    <s v="South-East Asia"/>
    <s v="Timor-Leste"/>
    <n v="66"/>
    <x v="0"/>
    <x v="0"/>
    <n v="14"/>
    <n v="28"/>
    <x v="1"/>
    <x v="1"/>
    <x v="0"/>
    <x v="1"/>
    <x v="2"/>
    <n v="31.3"/>
    <x v="1"/>
    <s v="No"/>
    <x v="0"/>
    <x v="0"/>
    <x v="0"/>
    <s v="No Mutation"/>
    <s v="Yes"/>
    <s v="Yes"/>
    <s v="Yes"/>
    <s v="No"/>
    <s v="Yes"/>
    <s v="Yes"/>
    <s v="No"/>
    <s v="No"/>
    <s v="No"/>
    <s v="No"/>
    <x v="0"/>
    <s v="Squamous Cell"/>
    <x v="1"/>
    <n v="2"/>
    <s v="No"/>
    <s v="LDCT Screening"/>
    <s v="Targeted Therapy"/>
    <n v="62"/>
    <s v="No"/>
  </r>
  <r>
    <s v="LC-0214"/>
    <n v="2015"/>
    <d v="2015-08-02T00:00:00"/>
    <s v="Western Pacific"/>
    <s v="Singapore"/>
    <n v="65"/>
    <x v="1"/>
    <x v="0"/>
    <n v="19"/>
    <n v="28"/>
    <x v="1"/>
    <x v="0"/>
    <x v="0"/>
    <x v="0"/>
    <x v="0"/>
    <n v="25.8"/>
    <x v="0"/>
    <s v="No"/>
    <x v="0"/>
    <x v="0"/>
    <x v="0"/>
    <s v="No Mutation"/>
    <s v="Yes"/>
    <s v="No"/>
    <s v="Yes"/>
    <s v="No"/>
    <s v="Yes"/>
    <s v="Yes"/>
    <s v="No"/>
    <s v="No"/>
    <s v="No"/>
    <s v="No"/>
    <x v="0"/>
    <s v="Squamous Cell"/>
    <x v="3"/>
    <n v="2"/>
    <s v="No"/>
    <s v="Biopsy"/>
    <s v="Chemotherapy"/>
    <n v="32"/>
    <s v="Yes"/>
  </r>
  <r>
    <s v="LC-0215"/>
    <n v="2018"/>
    <d v="2018-04-28T00:00:00"/>
    <s v="Americas"/>
    <s v="Canada"/>
    <n v="61"/>
    <x v="0"/>
    <x v="2"/>
    <n v="0"/>
    <n v="0"/>
    <x v="0"/>
    <x v="0"/>
    <x v="0"/>
    <x v="0"/>
    <x v="2"/>
    <n v="27.1"/>
    <x v="2"/>
    <s v="No"/>
    <x v="0"/>
    <x v="0"/>
    <x v="0"/>
    <s v="KRAS"/>
    <s v="No"/>
    <s v="No"/>
    <s v="No"/>
    <s v="No"/>
    <s v="Yes"/>
    <s v="No"/>
    <s v="No"/>
    <s v="Yes"/>
    <s v="No"/>
    <s v="No"/>
    <x v="0"/>
    <s v="Adenocarcinoma"/>
    <x v="1"/>
    <n v="1.5"/>
    <s v="No"/>
    <s v="PET Scan"/>
    <s v="Radiotherapy"/>
    <n v="31"/>
    <s v="No"/>
  </r>
  <r>
    <s v="LC-0216"/>
    <n v="2017"/>
    <d v="2017-08-05T00:00:00"/>
    <s v="Europe"/>
    <s v="Poland"/>
    <n v="54"/>
    <x v="1"/>
    <x v="2"/>
    <n v="0"/>
    <n v="0"/>
    <x v="0"/>
    <x v="1"/>
    <x v="1"/>
    <x v="1"/>
    <x v="1"/>
    <n v="27.7"/>
    <x v="0"/>
    <s v="No"/>
    <x v="0"/>
    <x v="0"/>
    <x v="0"/>
    <s v="No Mutation"/>
    <s v="Yes"/>
    <s v="No"/>
    <s v="No"/>
    <s v="No"/>
    <s v="Yes"/>
    <s v="Yes"/>
    <s v="No"/>
    <s v="No"/>
    <s v="No"/>
    <s v="No"/>
    <x v="0"/>
    <s v="Adenocarcinoma"/>
    <x v="0"/>
    <n v="7.3"/>
    <s v="Yes"/>
    <s v="PET Scan"/>
    <s v="Chemotherapy"/>
    <n v="14"/>
    <s v="No"/>
  </r>
  <r>
    <s v="LC-0217"/>
    <n v="2025"/>
    <d v="2025-11-17T00:00:00"/>
    <s v="Western Pacific"/>
    <s v="Singapore"/>
    <n v="54"/>
    <x v="1"/>
    <x v="1"/>
    <n v="27"/>
    <n v="12"/>
    <x v="1"/>
    <x v="0"/>
    <x v="0"/>
    <x v="2"/>
    <x v="2"/>
    <n v="22.4"/>
    <x v="1"/>
    <s v="Yes"/>
    <x v="0"/>
    <x v="0"/>
    <x v="0"/>
    <s v="KRAS"/>
    <s v="No"/>
    <s v="Yes"/>
    <s v="Yes"/>
    <s v="No"/>
    <s v="Yes"/>
    <s v="Yes"/>
    <s v="Yes"/>
    <s v="Yes"/>
    <s v="Yes"/>
    <s v="No"/>
    <x v="0"/>
    <s v="Adenocarcinoma"/>
    <x v="3"/>
    <n v="3.6"/>
    <s v="No"/>
    <s v="LDCT Screening"/>
    <s v="Surgery"/>
    <n v="48"/>
    <s v="Yes"/>
  </r>
  <r>
    <s v="LC-0218"/>
    <n v="2018"/>
    <d v="2018-10-11T00:00:00"/>
    <s v="Europe"/>
    <s v="Poland"/>
    <n v="51"/>
    <x v="1"/>
    <x v="2"/>
    <n v="0"/>
    <n v="0"/>
    <x v="0"/>
    <x v="1"/>
    <x v="0"/>
    <x v="1"/>
    <x v="0"/>
    <n v="30.5"/>
    <x v="1"/>
    <s v="No"/>
    <x v="0"/>
    <x v="1"/>
    <x v="0"/>
    <s v="EGFR"/>
    <s v="Yes"/>
    <s v="No"/>
    <s v="Yes"/>
    <s v="No"/>
    <s v="Yes"/>
    <s v="No"/>
    <s v="No"/>
    <s v="No"/>
    <s v="No"/>
    <s v="No"/>
    <x v="0"/>
    <s v="Adenocarcinoma"/>
    <x v="1"/>
    <n v="2.6"/>
    <s v="No"/>
    <s v="Bronchoscopy"/>
    <s v="Surgery"/>
    <n v="22"/>
    <s v="Yes"/>
  </r>
  <r>
    <s v="LC-0219"/>
    <n v="2021"/>
    <d v="2021-10-27T00:00:00"/>
    <s v="Americas"/>
    <s v="Cuba"/>
    <n v="67"/>
    <x v="1"/>
    <x v="0"/>
    <n v="38"/>
    <n v="44"/>
    <x v="1"/>
    <x v="0"/>
    <x v="1"/>
    <x v="0"/>
    <x v="2"/>
    <n v="28.2"/>
    <x v="0"/>
    <s v="No"/>
    <x v="0"/>
    <x v="0"/>
    <x v="0"/>
    <s v="RET"/>
    <s v="No"/>
    <s v="No"/>
    <s v="No"/>
    <s v="No"/>
    <s v="Yes"/>
    <s v="No"/>
    <s v="Yes"/>
    <s v="No"/>
    <s v="No"/>
    <s v="No"/>
    <x v="0"/>
    <s v="Squamous Cell"/>
    <x v="1"/>
    <n v="0.7"/>
    <s v="No"/>
    <s v="LDCT Screening"/>
    <s v="Surgery + Chemotherapy"/>
    <n v="83"/>
    <s v="No"/>
  </r>
  <r>
    <s v="LC-0220"/>
    <n v="2016"/>
    <d v="2016-07-27T00:00:00"/>
    <s v="Americas"/>
    <s v="Cuba"/>
    <n v="79"/>
    <x v="1"/>
    <x v="2"/>
    <n v="0"/>
    <n v="0"/>
    <x v="0"/>
    <x v="0"/>
    <x v="1"/>
    <x v="2"/>
    <x v="1"/>
    <n v="27.1"/>
    <x v="2"/>
    <s v="No"/>
    <x v="0"/>
    <x v="0"/>
    <x v="0"/>
    <s v="EGFR"/>
    <s v="Yes"/>
    <s v="No"/>
    <s v="No"/>
    <s v="No"/>
    <s v="Yes"/>
    <s v="Yes"/>
    <s v="No"/>
    <s v="No"/>
    <s v="No"/>
    <s v="No"/>
    <x v="0"/>
    <s v="Squamous Cell"/>
    <x v="2"/>
    <n v="4.8"/>
    <s v="No"/>
    <s v="CT Scan"/>
    <s v="Immunotherapy"/>
    <n v="13"/>
    <s v="No"/>
  </r>
  <r>
    <s v="LC-0221"/>
    <n v="2021"/>
    <d v="2021-08-06T00:00:00"/>
    <s v="Europe"/>
    <s v="Poland"/>
    <n v="63"/>
    <x v="1"/>
    <x v="1"/>
    <n v="12"/>
    <n v="20"/>
    <x v="1"/>
    <x v="0"/>
    <x v="0"/>
    <x v="2"/>
    <x v="2"/>
    <n v="24.9"/>
    <x v="0"/>
    <s v="No"/>
    <x v="0"/>
    <x v="0"/>
    <x v="0"/>
    <s v="No Mutation"/>
    <s v="No"/>
    <s v="Yes"/>
    <s v="No"/>
    <s v="No"/>
    <s v="No"/>
    <s v="No"/>
    <s v="No"/>
    <s v="No"/>
    <s v="No"/>
    <s v="No"/>
    <x v="0"/>
    <s v="Squamous Cell"/>
    <x v="0"/>
    <n v="6.9"/>
    <s v="Yes"/>
    <s v="Biopsy"/>
    <s v="Chemotherapy"/>
    <n v="10"/>
    <s v="No"/>
  </r>
  <r>
    <s v="LC-0222"/>
    <n v="2024"/>
    <d v="2024-08-09T00:00:00"/>
    <s v="Africa"/>
    <s v="Egypt"/>
    <n v="73"/>
    <x v="1"/>
    <x v="0"/>
    <n v="29"/>
    <n v="34"/>
    <x v="0"/>
    <x v="0"/>
    <x v="0"/>
    <x v="0"/>
    <x v="0"/>
    <n v="31.1"/>
    <x v="0"/>
    <s v="No"/>
    <x v="0"/>
    <x v="0"/>
    <x v="0"/>
    <s v="TP53"/>
    <s v="Yes"/>
    <s v="Yes"/>
    <s v="No"/>
    <s v="No"/>
    <s v="Yes"/>
    <s v="Yes"/>
    <s v="Yes"/>
    <s v="No"/>
    <s v="No"/>
    <s v="No"/>
    <x v="0"/>
    <s v="Adenocarcinoma"/>
    <x v="3"/>
    <n v="4.0999999999999996"/>
    <s v="No"/>
    <s v="Biopsy"/>
    <s v="Surgery"/>
    <n v="17"/>
    <s v="No"/>
  </r>
  <r>
    <s v="LC-0223"/>
    <n v="2018"/>
    <d v="2018-11-09T00:00:00"/>
    <s v="Europe"/>
    <s v="Netherlands"/>
    <n v="67"/>
    <x v="0"/>
    <x v="0"/>
    <n v="7"/>
    <n v="23"/>
    <x v="1"/>
    <x v="0"/>
    <x v="0"/>
    <x v="0"/>
    <x v="2"/>
    <n v="27.3"/>
    <x v="1"/>
    <s v="No"/>
    <x v="0"/>
    <x v="0"/>
    <x v="0"/>
    <s v="HER2"/>
    <s v="Yes"/>
    <s v="Yes"/>
    <s v="Yes"/>
    <s v="Yes"/>
    <s v="Yes"/>
    <s v="Yes"/>
    <s v="Yes"/>
    <s v="No"/>
    <s v="No"/>
    <s v="No"/>
    <x v="0"/>
    <s v="Adenocarcinoma"/>
    <x v="1"/>
    <n v="2.4"/>
    <s v="No"/>
    <s v="Biopsy"/>
    <s v="Radiotherapy"/>
    <n v="49"/>
    <s v="Yes"/>
  </r>
  <r>
    <s v="LC-0224"/>
    <n v="2018"/>
    <d v="2018-08-21T00:00:00"/>
    <s v="Africa"/>
    <s v="Egypt"/>
    <n v="55"/>
    <x v="1"/>
    <x v="2"/>
    <n v="0"/>
    <n v="0"/>
    <x v="0"/>
    <x v="1"/>
    <x v="1"/>
    <x v="0"/>
    <x v="0"/>
    <n v="25.1"/>
    <x v="2"/>
    <s v="No"/>
    <x v="0"/>
    <x v="0"/>
    <x v="1"/>
    <s v="No Mutation"/>
    <s v="No"/>
    <s v="Yes"/>
    <s v="Yes"/>
    <s v="No"/>
    <s v="Yes"/>
    <s v="Yes"/>
    <s v="No"/>
    <s v="No"/>
    <s v="No"/>
    <s v="Yes"/>
    <x v="0"/>
    <s v="Adenocarcinoma"/>
    <x v="1"/>
    <n v="3.2"/>
    <s v="No"/>
    <s v="Chest X-Ray"/>
    <s v="Surgery"/>
    <n v="37"/>
    <s v="No"/>
  </r>
  <r>
    <s v="LC-0225"/>
    <n v="2025"/>
    <d v="2025-05-15T00:00:00"/>
    <s v="Western Pacific"/>
    <s v="Japan"/>
    <n v="58"/>
    <x v="1"/>
    <x v="2"/>
    <n v="0"/>
    <n v="0"/>
    <x v="0"/>
    <x v="1"/>
    <x v="0"/>
    <x v="0"/>
    <x v="2"/>
    <n v="20.100000000000001"/>
    <x v="0"/>
    <s v="No"/>
    <x v="0"/>
    <x v="0"/>
    <x v="0"/>
    <s v="No Mutation"/>
    <s v="No"/>
    <s v="Yes"/>
    <s v="Yes"/>
    <s v="No"/>
    <s v="No"/>
    <s v="No"/>
    <s v="No"/>
    <s v="Yes"/>
    <s v="No"/>
    <s v="No"/>
    <x v="0"/>
    <s v="Squamous Cell"/>
    <x v="1"/>
    <n v="2.1"/>
    <s v="No"/>
    <s v="CT Scan"/>
    <s v="Immunotherapy"/>
    <n v="60"/>
    <s v="Yes"/>
  </r>
  <r>
    <s v="LC-0226"/>
    <n v="2020"/>
    <d v="2020-12-10T00:00:00"/>
    <s v="South-East Asia"/>
    <s v="Thailand"/>
    <n v="70"/>
    <x v="1"/>
    <x v="0"/>
    <n v="26"/>
    <n v="35"/>
    <x v="1"/>
    <x v="0"/>
    <x v="0"/>
    <x v="0"/>
    <x v="1"/>
    <n v="22.2"/>
    <x v="2"/>
    <s v="No"/>
    <x v="0"/>
    <x v="0"/>
    <x v="0"/>
    <s v="ROS1"/>
    <s v="Yes"/>
    <s v="Yes"/>
    <s v="Yes"/>
    <s v="No"/>
    <s v="No"/>
    <s v="No"/>
    <s v="No"/>
    <s v="No"/>
    <s v="Yes"/>
    <s v="No"/>
    <x v="1"/>
    <s v="Not Applicable"/>
    <x v="2"/>
    <n v="7"/>
    <s v="No"/>
    <s v="PET Scan"/>
    <s v="Chemotherapy"/>
    <n v="17"/>
    <s v="No"/>
  </r>
  <r>
    <s v="LC-0227"/>
    <n v="2023"/>
    <d v="2023-05-11T00:00:00"/>
    <s v="Western Pacific"/>
    <s v="Vietnam"/>
    <n v="61"/>
    <x v="0"/>
    <x v="2"/>
    <n v="0"/>
    <n v="0"/>
    <x v="0"/>
    <x v="0"/>
    <x v="1"/>
    <x v="1"/>
    <x v="0"/>
    <n v="16.5"/>
    <x v="1"/>
    <s v="No"/>
    <x v="0"/>
    <x v="0"/>
    <x v="1"/>
    <s v="MET"/>
    <s v="No"/>
    <s v="No"/>
    <s v="Yes"/>
    <s v="No"/>
    <s v="No"/>
    <s v="No"/>
    <s v="No"/>
    <s v="No"/>
    <s v="No"/>
    <s v="No"/>
    <x v="0"/>
    <s v="Adenocarcinoma"/>
    <x v="3"/>
    <n v="3.5"/>
    <s v="No"/>
    <s v="PET Scan"/>
    <s v="Surgery + Chemotherapy"/>
    <n v="45"/>
    <s v="Yes"/>
  </r>
  <r>
    <s v="LC-0228"/>
    <n v="2017"/>
    <d v="2017-09-03T00:00:00"/>
    <s v="South-East Asia"/>
    <s v="Indonesia"/>
    <n v="71"/>
    <x v="1"/>
    <x v="2"/>
    <n v="0"/>
    <n v="0"/>
    <x v="0"/>
    <x v="0"/>
    <x v="0"/>
    <x v="1"/>
    <x v="2"/>
    <n v="23.4"/>
    <x v="1"/>
    <s v="No"/>
    <x v="0"/>
    <x v="1"/>
    <x v="0"/>
    <s v="No Mutation"/>
    <s v="No"/>
    <s v="No"/>
    <s v="No"/>
    <s v="No"/>
    <s v="Yes"/>
    <s v="No"/>
    <s v="No"/>
    <s v="No"/>
    <s v="No"/>
    <s v="No"/>
    <x v="0"/>
    <s v="Adenocarcinoma"/>
    <x v="2"/>
    <n v="7"/>
    <s v="No"/>
    <s v="CT Scan"/>
    <s v="Immunotherapy"/>
    <n v="16"/>
    <s v="No"/>
  </r>
  <r>
    <s v="LC-0229"/>
    <n v="2016"/>
    <d v="2016-03-08T00:00:00"/>
    <s v="South-East Asia"/>
    <s v="Nepal"/>
    <n v="70"/>
    <x v="0"/>
    <x v="0"/>
    <n v="25"/>
    <n v="19"/>
    <x v="1"/>
    <x v="0"/>
    <x v="0"/>
    <x v="1"/>
    <x v="0"/>
    <n v="29.4"/>
    <x v="0"/>
    <s v="No"/>
    <x v="0"/>
    <x v="0"/>
    <x v="0"/>
    <s v="TP53"/>
    <s v="Yes"/>
    <s v="Yes"/>
    <s v="No"/>
    <s v="No"/>
    <s v="Yes"/>
    <s v="Yes"/>
    <s v="No"/>
    <s v="No"/>
    <s v="No"/>
    <s v="Yes"/>
    <x v="0"/>
    <s v="Adenocarcinoma"/>
    <x v="3"/>
    <n v="5.4"/>
    <s v="No"/>
    <s v="PET Scan"/>
    <s v="Surgery + Chemotherapy"/>
    <n v="10"/>
    <s v="Yes"/>
  </r>
  <r>
    <s v="LC-0230"/>
    <n v="2018"/>
    <d v="2018-12-05T00:00:00"/>
    <s v="Americas"/>
    <s v="Mexico"/>
    <n v="38"/>
    <x v="0"/>
    <x v="0"/>
    <n v="10"/>
    <n v="20"/>
    <x v="1"/>
    <x v="0"/>
    <x v="1"/>
    <x v="2"/>
    <x v="1"/>
    <n v="26.1"/>
    <x v="2"/>
    <s v="Yes"/>
    <x v="0"/>
    <x v="0"/>
    <x v="1"/>
    <s v="KRAS"/>
    <s v="Yes"/>
    <s v="No"/>
    <s v="Yes"/>
    <s v="Yes"/>
    <s v="Yes"/>
    <s v="No"/>
    <s v="Yes"/>
    <s v="No"/>
    <s v="No"/>
    <s v="No"/>
    <x v="0"/>
    <s v="Adenocarcinoma"/>
    <x v="3"/>
    <n v="5"/>
    <s v="No"/>
    <s v="CT Scan"/>
    <s v="Surgery"/>
    <n v="18"/>
    <s v="Yes"/>
  </r>
  <r>
    <s v="LC-0231"/>
    <n v="2022"/>
    <d v="2022-02-14T00:00:00"/>
    <s v="Western Pacific"/>
    <s v="Malaysia"/>
    <n v="88"/>
    <x v="1"/>
    <x v="2"/>
    <n v="0"/>
    <n v="0"/>
    <x v="1"/>
    <x v="0"/>
    <x v="0"/>
    <x v="0"/>
    <x v="2"/>
    <n v="22.5"/>
    <x v="1"/>
    <s v="No"/>
    <x v="0"/>
    <x v="0"/>
    <x v="0"/>
    <s v="ALK"/>
    <s v="No"/>
    <s v="No"/>
    <s v="No"/>
    <s v="No"/>
    <s v="Yes"/>
    <s v="No"/>
    <s v="No"/>
    <s v="No"/>
    <s v="No"/>
    <s v="No"/>
    <x v="0"/>
    <s v="Adenocarcinoma"/>
    <x v="0"/>
    <n v="4.5999999999999996"/>
    <s v="Yes"/>
    <s v="Bronchoscopy"/>
    <s v="Immunotherapy"/>
    <n v="4"/>
    <s v="No"/>
  </r>
  <r>
    <s v="LC-0232"/>
    <n v="2017"/>
    <d v="2017-06-18T00:00:00"/>
    <s v="Western Pacific"/>
    <s v="New Zealand"/>
    <n v="41"/>
    <x v="1"/>
    <x v="2"/>
    <n v="0"/>
    <n v="0"/>
    <x v="0"/>
    <x v="1"/>
    <x v="1"/>
    <x v="1"/>
    <x v="2"/>
    <n v="23"/>
    <x v="1"/>
    <s v="No"/>
    <x v="1"/>
    <x v="0"/>
    <x v="0"/>
    <s v="EGFR"/>
    <s v="Yes"/>
    <s v="Yes"/>
    <s v="Yes"/>
    <s v="No"/>
    <s v="Yes"/>
    <s v="Yes"/>
    <s v="Yes"/>
    <s v="No"/>
    <s v="No"/>
    <s v="No"/>
    <x v="0"/>
    <s v="Adenocarcinoma"/>
    <x v="3"/>
    <n v="4.0999999999999996"/>
    <s v="No"/>
    <s v="CT Scan"/>
    <s v="Chemotherapy"/>
    <n v="49"/>
    <s v="Yes"/>
  </r>
  <r>
    <s v="LC-0233"/>
    <n v="2024"/>
    <d v="2024-07-02T00:00:00"/>
    <s v="Americas"/>
    <s v="Mexico"/>
    <n v="57"/>
    <x v="1"/>
    <x v="0"/>
    <n v="17"/>
    <n v="8"/>
    <x v="1"/>
    <x v="1"/>
    <x v="0"/>
    <x v="2"/>
    <x v="2"/>
    <n v="31.9"/>
    <x v="0"/>
    <s v="Yes"/>
    <x v="0"/>
    <x v="0"/>
    <x v="0"/>
    <s v="MET"/>
    <s v="Yes"/>
    <s v="Yes"/>
    <s v="No"/>
    <s v="Yes"/>
    <s v="No"/>
    <s v="No"/>
    <s v="Yes"/>
    <s v="Yes"/>
    <s v="No"/>
    <s v="No"/>
    <x v="0"/>
    <s v="Adenocarcinoma"/>
    <x v="2"/>
    <n v="6.8"/>
    <s v="No"/>
    <s v="CT Scan"/>
    <s v="Chemo + Radiation"/>
    <n v="11"/>
    <s v="No"/>
  </r>
  <r>
    <s v="LC-0234"/>
    <n v="2023"/>
    <d v="2023-07-13T00:00:00"/>
    <s v="Western Pacific"/>
    <s v="Mongolia"/>
    <n v="60"/>
    <x v="1"/>
    <x v="1"/>
    <n v="12"/>
    <n v="12"/>
    <x v="1"/>
    <x v="0"/>
    <x v="0"/>
    <x v="0"/>
    <x v="2"/>
    <n v="30.4"/>
    <x v="0"/>
    <s v="Yes"/>
    <x v="0"/>
    <x v="0"/>
    <x v="0"/>
    <s v="No Mutation"/>
    <s v="Yes"/>
    <s v="No"/>
    <s v="Yes"/>
    <s v="No"/>
    <s v="Yes"/>
    <s v="Yes"/>
    <s v="No"/>
    <s v="No"/>
    <s v="No"/>
    <s v="No"/>
    <x v="0"/>
    <s v="Squamous Cell"/>
    <x v="2"/>
    <n v="5.8"/>
    <s v="No"/>
    <s v="LDCT Screening"/>
    <s v="Chemotherapy"/>
    <n v="26"/>
    <s v="No"/>
  </r>
  <r>
    <s v="LC-0235"/>
    <n v="2015"/>
    <d v="2015-12-01T00:00:00"/>
    <s v="Western Pacific"/>
    <s v="Mongolia"/>
    <n v="50"/>
    <x v="0"/>
    <x v="0"/>
    <n v="44"/>
    <n v="22"/>
    <x v="0"/>
    <x v="0"/>
    <x v="0"/>
    <x v="2"/>
    <x v="0"/>
    <n v="29.8"/>
    <x v="0"/>
    <s v="No"/>
    <x v="0"/>
    <x v="0"/>
    <x v="0"/>
    <s v="No Mutation"/>
    <s v="Yes"/>
    <s v="Yes"/>
    <s v="No"/>
    <s v="No"/>
    <s v="Yes"/>
    <s v="No"/>
    <s v="Yes"/>
    <s v="No"/>
    <s v="Yes"/>
    <s v="No"/>
    <x v="0"/>
    <s v="Large Cell"/>
    <x v="1"/>
    <n v="1.6"/>
    <s v="No"/>
    <s v="LDCT Screening"/>
    <s v="Surgery"/>
    <n v="37"/>
    <s v="Yes"/>
  </r>
  <r>
    <s v="LC-0236"/>
    <n v="2015"/>
    <d v="2015-07-16T00:00:00"/>
    <s v="South-East Asia"/>
    <s v="India"/>
    <n v="69"/>
    <x v="0"/>
    <x v="2"/>
    <n v="0"/>
    <n v="0"/>
    <x v="0"/>
    <x v="1"/>
    <x v="0"/>
    <x v="1"/>
    <x v="1"/>
    <n v="30.3"/>
    <x v="1"/>
    <s v="Yes"/>
    <x v="0"/>
    <x v="0"/>
    <x v="0"/>
    <s v="EGFR"/>
    <s v="No"/>
    <s v="No"/>
    <s v="No"/>
    <s v="No"/>
    <s v="No"/>
    <s v="No"/>
    <s v="No"/>
    <s v="No"/>
    <s v="No"/>
    <s v="No"/>
    <x v="1"/>
    <s v="Not Applicable"/>
    <x v="2"/>
    <n v="3"/>
    <s v="No"/>
    <s v="Bronchoscopy"/>
    <s v="Surgery + Chemotherapy"/>
    <n v="35"/>
    <s v="No"/>
  </r>
  <r>
    <s v="LC-0237"/>
    <n v="2022"/>
    <d v="2022-06-10T00:00:00"/>
    <s v="Europe"/>
    <s v="Turkey"/>
    <n v="74"/>
    <x v="1"/>
    <x v="0"/>
    <n v="28"/>
    <n v="46"/>
    <x v="0"/>
    <x v="1"/>
    <x v="0"/>
    <x v="0"/>
    <x v="0"/>
    <n v="33"/>
    <x v="0"/>
    <s v="No"/>
    <x v="0"/>
    <x v="0"/>
    <x v="0"/>
    <s v="No Mutation"/>
    <s v="Yes"/>
    <s v="Yes"/>
    <s v="Yes"/>
    <s v="Yes"/>
    <s v="No"/>
    <s v="No"/>
    <s v="Yes"/>
    <s v="No"/>
    <s v="No"/>
    <s v="No"/>
    <x v="0"/>
    <s v="Squamous Cell"/>
    <x v="3"/>
    <n v="4.9000000000000004"/>
    <s v="No"/>
    <s v="Bronchoscopy"/>
    <s v="Surgery + Chemotherapy"/>
    <n v="9"/>
    <s v="Yes"/>
  </r>
  <r>
    <s v="LC-0238"/>
    <n v="2024"/>
    <d v="2024-07-18T00:00:00"/>
    <s v="Eastern Mediterranean"/>
    <s v="Qatar"/>
    <n v="59"/>
    <x v="0"/>
    <x v="2"/>
    <n v="0"/>
    <n v="0"/>
    <x v="0"/>
    <x v="0"/>
    <x v="0"/>
    <x v="1"/>
    <x v="2"/>
    <n v="19.600000000000001"/>
    <x v="1"/>
    <s v="Yes"/>
    <x v="0"/>
    <x v="0"/>
    <x v="0"/>
    <s v="EGFR"/>
    <s v="No"/>
    <s v="No"/>
    <s v="No"/>
    <s v="No"/>
    <s v="Yes"/>
    <s v="No"/>
    <s v="No"/>
    <s v="No"/>
    <s v="No"/>
    <s v="No"/>
    <x v="0"/>
    <s v="Adenocarcinoma"/>
    <x v="3"/>
    <n v="4.5999999999999996"/>
    <s v="No"/>
    <s v="LDCT Screening"/>
    <s v="Radiotherapy"/>
    <n v="14"/>
    <s v="Yes"/>
  </r>
  <r>
    <s v="LC-0239"/>
    <n v="2021"/>
    <d v="2021-10-08T00:00:00"/>
    <s v="South-East Asia"/>
    <s v="Maldives"/>
    <n v="63"/>
    <x v="1"/>
    <x v="2"/>
    <n v="0"/>
    <n v="0"/>
    <x v="0"/>
    <x v="0"/>
    <x v="0"/>
    <x v="0"/>
    <x v="2"/>
    <n v="30"/>
    <x v="1"/>
    <s v="No"/>
    <x v="0"/>
    <x v="0"/>
    <x v="0"/>
    <s v="EGFR"/>
    <s v="Yes"/>
    <s v="Yes"/>
    <s v="Yes"/>
    <s v="No"/>
    <s v="Yes"/>
    <s v="No"/>
    <s v="No"/>
    <s v="No"/>
    <s v="No"/>
    <s v="No"/>
    <x v="0"/>
    <s v="Adenocarcinoma"/>
    <x v="3"/>
    <n v="2.9"/>
    <s v="No"/>
    <s v="CT Scan"/>
    <s v="Immunotherapy"/>
    <n v="9"/>
    <s v="No"/>
  </r>
  <r>
    <s v="LC-0240"/>
    <n v="2024"/>
    <d v="2024-04-09T00:00:00"/>
    <s v="Europe"/>
    <s v="Turkey"/>
    <n v="49"/>
    <x v="0"/>
    <x v="0"/>
    <n v="31"/>
    <n v="19"/>
    <x v="0"/>
    <x v="0"/>
    <x v="0"/>
    <x v="1"/>
    <x v="2"/>
    <n v="19.899999999999999"/>
    <x v="2"/>
    <s v="No"/>
    <x v="0"/>
    <x v="0"/>
    <x v="0"/>
    <s v="No Mutation"/>
    <s v="No"/>
    <s v="Yes"/>
    <s v="Yes"/>
    <s v="Yes"/>
    <s v="No"/>
    <s v="No"/>
    <s v="No"/>
    <s v="No"/>
    <s v="No"/>
    <s v="No"/>
    <x v="0"/>
    <s v="Squamous Cell"/>
    <x v="1"/>
    <n v="3.2"/>
    <s v="No"/>
    <s v="LDCT Screening"/>
    <s v="Targeted Therapy"/>
    <n v="51"/>
    <s v="Yes"/>
  </r>
  <r>
    <s v="LC-0241"/>
    <n v="2024"/>
    <d v="2024-08-01T00:00:00"/>
    <s v="Western Pacific"/>
    <s v="Malaysia"/>
    <n v="49"/>
    <x v="0"/>
    <x v="2"/>
    <n v="0"/>
    <n v="0"/>
    <x v="0"/>
    <x v="0"/>
    <x v="0"/>
    <x v="0"/>
    <x v="0"/>
    <n v="29.1"/>
    <x v="0"/>
    <s v="No"/>
    <x v="0"/>
    <x v="0"/>
    <x v="0"/>
    <s v="EGFR"/>
    <s v="No"/>
    <s v="No"/>
    <s v="No"/>
    <s v="No"/>
    <s v="Yes"/>
    <s v="Yes"/>
    <s v="No"/>
    <s v="No"/>
    <s v="No"/>
    <s v="No"/>
    <x v="0"/>
    <s v="Squamous Cell"/>
    <x v="1"/>
    <n v="2.5"/>
    <s v="No"/>
    <s v="LDCT Screening"/>
    <s v="Surgery"/>
    <n v="49"/>
    <s v="No"/>
  </r>
  <r>
    <s v="LC-0242"/>
    <n v="2021"/>
    <d v="2021-06-22T00:00:00"/>
    <s v="Europe"/>
    <s v="Turkey"/>
    <n v="60"/>
    <x v="1"/>
    <x v="2"/>
    <n v="0"/>
    <n v="0"/>
    <x v="1"/>
    <x v="0"/>
    <x v="0"/>
    <x v="1"/>
    <x v="2"/>
    <n v="18.399999999999999"/>
    <x v="1"/>
    <s v="No"/>
    <x v="0"/>
    <x v="0"/>
    <x v="0"/>
    <s v="HER2"/>
    <s v="No"/>
    <s v="No"/>
    <s v="Yes"/>
    <s v="No"/>
    <s v="Yes"/>
    <s v="No"/>
    <s v="No"/>
    <s v="No"/>
    <s v="No"/>
    <s v="No"/>
    <x v="0"/>
    <s v="Adenocarcinoma"/>
    <x v="3"/>
    <n v="4.0999999999999996"/>
    <s v="No"/>
    <s v="CT Scan"/>
    <s v="Immunotherapy"/>
    <n v="60"/>
    <s v="Yes"/>
  </r>
  <r>
    <s v="LC-0243"/>
    <n v="2020"/>
    <d v="2020-12-06T00:00:00"/>
    <s v="Europe"/>
    <s v="Poland"/>
    <n v="60"/>
    <x v="1"/>
    <x v="0"/>
    <n v="56"/>
    <n v="16"/>
    <x v="0"/>
    <x v="0"/>
    <x v="0"/>
    <x v="0"/>
    <x v="2"/>
    <n v="26.4"/>
    <x v="2"/>
    <s v="No"/>
    <x v="0"/>
    <x v="0"/>
    <x v="0"/>
    <s v="No Mutation"/>
    <s v="No"/>
    <s v="Yes"/>
    <s v="Yes"/>
    <s v="Yes"/>
    <s v="Yes"/>
    <s v="No"/>
    <s v="Yes"/>
    <s v="Yes"/>
    <s v="No"/>
    <s v="No"/>
    <x v="0"/>
    <s v="Squamous Cell"/>
    <x v="2"/>
    <n v="5.2"/>
    <s v="No"/>
    <s v="CT Scan"/>
    <s v="Chemo + Radiation"/>
    <n v="10"/>
    <s v="No"/>
  </r>
  <r>
    <s v="LC-0244"/>
    <n v="2023"/>
    <d v="2023-03-20T00:00:00"/>
    <s v="Western Pacific"/>
    <s v="Singapore"/>
    <n v="70"/>
    <x v="1"/>
    <x v="2"/>
    <n v="0"/>
    <n v="0"/>
    <x v="0"/>
    <x v="0"/>
    <x v="0"/>
    <x v="1"/>
    <x v="0"/>
    <n v="33.799999999999997"/>
    <x v="1"/>
    <s v="No"/>
    <x v="0"/>
    <x v="0"/>
    <x v="0"/>
    <s v="No Mutation"/>
    <s v="Yes"/>
    <s v="No"/>
    <s v="Yes"/>
    <s v="No"/>
    <s v="Yes"/>
    <s v="No"/>
    <s v="No"/>
    <s v="Yes"/>
    <s v="Yes"/>
    <s v="No"/>
    <x v="0"/>
    <s v="Adenocarcinoma"/>
    <x v="0"/>
    <n v="8.6999999999999993"/>
    <s v="Yes"/>
    <s v="LDCT Screening"/>
    <s v="Immunotherapy"/>
    <n v="6"/>
    <s v="No"/>
  </r>
  <r>
    <s v="LC-0245"/>
    <n v="2021"/>
    <d v="2021-01-13T00:00:00"/>
    <s v="Americas"/>
    <s v="Venezuela"/>
    <n v="74"/>
    <x v="0"/>
    <x v="2"/>
    <n v="0"/>
    <n v="0"/>
    <x v="0"/>
    <x v="1"/>
    <x v="0"/>
    <x v="0"/>
    <x v="0"/>
    <n v="25.2"/>
    <x v="1"/>
    <s v="No"/>
    <x v="0"/>
    <x v="0"/>
    <x v="0"/>
    <s v="KRAS"/>
    <s v="No"/>
    <s v="Yes"/>
    <s v="No"/>
    <s v="Yes"/>
    <s v="Yes"/>
    <s v="Yes"/>
    <s v="No"/>
    <s v="No"/>
    <s v="No"/>
    <s v="No"/>
    <x v="0"/>
    <s v="Squamous Cell"/>
    <x v="1"/>
    <n v="3.1"/>
    <s v="No"/>
    <s v="CT Scan"/>
    <s v="Surgery"/>
    <n v="78"/>
    <s v="No"/>
  </r>
  <r>
    <s v="LC-0246"/>
    <n v="2019"/>
    <d v="2019-10-22T00:00:00"/>
    <s v="South-East Asia"/>
    <s v="India"/>
    <n v="52"/>
    <x v="1"/>
    <x v="2"/>
    <n v="0"/>
    <n v="0"/>
    <x v="1"/>
    <x v="0"/>
    <x v="0"/>
    <x v="0"/>
    <x v="0"/>
    <n v="22"/>
    <x v="1"/>
    <s v="Yes"/>
    <x v="0"/>
    <x v="0"/>
    <x v="0"/>
    <s v="No Mutation"/>
    <s v="Yes"/>
    <s v="No"/>
    <s v="No"/>
    <s v="No"/>
    <s v="No"/>
    <s v="No"/>
    <s v="No"/>
    <s v="No"/>
    <s v="No"/>
    <s v="No"/>
    <x v="0"/>
    <s v="Large Cell"/>
    <x v="0"/>
    <n v="3.5"/>
    <s v="Yes"/>
    <s v="Chest X-Ray"/>
    <s v="Chemo + Radiation"/>
    <n v="7"/>
    <s v="No"/>
  </r>
  <r>
    <s v="LC-0247"/>
    <n v="2021"/>
    <d v="2021-02-21T00:00:00"/>
    <s v="Western Pacific"/>
    <s v="Malaysia"/>
    <n v="71"/>
    <x v="1"/>
    <x v="0"/>
    <n v="15"/>
    <n v="21"/>
    <x v="0"/>
    <x v="0"/>
    <x v="0"/>
    <x v="1"/>
    <x v="0"/>
    <n v="23.2"/>
    <x v="2"/>
    <s v="No"/>
    <x v="0"/>
    <x v="0"/>
    <x v="0"/>
    <s v="No Mutation"/>
    <s v="Yes"/>
    <s v="Yes"/>
    <s v="Yes"/>
    <s v="No"/>
    <s v="No"/>
    <s v="Yes"/>
    <s v="Yes"/>
    <s v="No"/>
    <s v="No"/>
    <s v="No"/>
    <x v="0"/>
    <s v="Squamous Cell"/>
    <x v="2"/>
    <n v="4.8"/>
    <s v="No"/>
    <s v="CT Scan"/>
    <s v="Immunotherapy"/>
    <n v="33"/>
    <s v="No"/>
  </r>
  <r>
    <s v="LC-0248"/>
    <n v="2024"/>
    <d v="2024-03-28T00:00:00"/>
    <s v="Africa"/>
    <s v="Morocco"/>
    <n v="63"/>
    <x v="0"/>
    <x v="2"/>
    <n v="0"/>
    <n v="0"/>
    <x v="1"/>
    <x v="1"/>
    <x v="0"/>
    <x v="1"/>
    <x v="0"/>
    <n v="28.1"/>
    <x v="0"/>
    <s v="No"/>
    <x v="0"/>
    <x v="0"/>
    <x v="0"/>
    <s v="No Mutation"/>
    <s v="No"/>
    <s v="No"/>
    <s v="No"/>
    <s v="No"/>
    <s v="Yes"/>
    <s v="No"/>
    <s v="No"/>
    <s v="No"/>
    <s v="No"/>
    <s v="No"/>
    <x v="0"/>
    <s v="Adenocarcinoma"/>
    <x v="1"/>
    <n v="1.2"/>
    <s v="No"/>
    <s v="Bronchoscopy"/>
    <s v="Surgery"/>
    <n v="74"/>
    <s v="Yes"/>
  </r>
  <r>
    <s v="LC-0249"/>
    <n v="2019"/>
    <d v="2019-03-02T00:00:00"/>
    <s v="Africa"/>
    <s v="Ethiopia"/>
    <n v="44"/>
    <x v="1"/>
    <x v="2"/>
    <n v="0"/>
    <n v="0"/>
    <x v="1"/>
    <x v="0"/>
    <x v="0"/>
    <x v="0"/>
    <x v="2"/>
    <n v="31.2"/>
    <x v="2"/>
    <s v="No"/>
    <x v="0"/>
    <x v="0"/>
    <x v="0"/>
    <s v="EGFR"/>
    <s v="Yes"/>
    <s v="No"/>
    <s v="No"/>
    <s v="Yes"/>
    <s v="No"/>
    <s v="No"/>
    <s v="No"/>
    <s v="No"/>
    <s v="No"/>
    <s v="No"/>
    <x v="0"/>
    <s v="Adenocarcinoma"/>
    <x v="1"/>
    <n v="2.6"/>
    <s v="No"/>
    <s v="CT Scan"/>
    <s v="Surgery"/>
    <n v="80"/>
    <s v="Yes"/>
  </r>
  <r>
    <s v="LC-0250"/>
    <n v="2016"/>
    <d v="2016-07-11T00:00:00"/>
    <s v="Eastern Mediterranean"/>
    <s v="UAE"/>
    <n v="80"/>
    <x v="1"/>
    <x v="2"/>
    <n v="0"/>
    <n v="0"/>
    <x v="0"/>
    <x v="0"/>
    <x v="0"/>
    <x v="1"/>
    <x v="2"/>
    <n v="37.700000000000003"/>
    <x v="0"/>
    <s v="No"/>
    <x v="0"/>
    <x v="0"/>
    <x v="0"/>
    <s v="EGFR"/>
    <s v="No"/>
    <s v="Yes"/>
    <s v="No"/>
    <s v="No"/>
    <s v="No"/>
    <s v="Yes"/>
    <s v="Yes"/>
    <s v="No"/>
    <s v="No"/>
    <s v="Yes"/>
    <x v="0"/>
    <s v="Adenocarcinoma"/>
    <x v="3"/>
    <n v="5.4"/>
    <s v="No"/>
    <s v="CT Scan"/>
    <s v="Immunotherapy"/>
    <n v="22"/>
    <s v="Yes"/>
  </r>
  <r>
    <s v="LC-0251"/>
    <n v="2022"/>
    <d v="2022-08-11T00:00:00"/>
    <s v="Americas"/>
    <s v="Colombia"/>
    <n v="58"/>
    <x v="1"/>
    <x v="1"/>
    <n v="19"/>
    <n v="16"/>
    <x v="0"/>
    <x v="0"/>
    <x v="1"/>
    <x v="0"/>
    <x v="2"/>
    <n v="29.9"/>
    <x v="2"/>
    <s v="No"/>
    <x v="0"/>
    <x v="0"/>
    <x v="0"/>
    <s v="KRAS"/>
    <s v="Yes"/>
    <s v="No"/>
    <s v="No"/>
    <s v="Yes"/>
    <s v="No"/>
    <s v="No"/>
    <s v="No"/>
    <s v="No"/>
    <s v="No"/>
    <s v="Yes"/>
    <x v="0"/>
    <s v="Adenocarcinoma"/>
    <x v="2"/>
    <n v="3"/>
    <s v="No"/>
    <s v="Bronchoscopy"/>
    <s v="Surgery + Chemotherapy"/>
    <n v="18"/>
    <s v="Yes"/>
  </r>
  <r>
    <s v="LC-0252"/>
    <n v="2017"/>
    <d v="2017-07-09T00:00:00"/>
    <s v="Eastern Mediterranean"/>
    <s v="Lebanon"/>
    <n v="35"/>
    <x v="1"/>
    <x v="2"/>
    <n v="0"/>
    <n v="0"/>
    <x v="0"/>
    <x v="0"/>
    <x v="0"/>
    <x v="1"/>
    <x v="1"/>
    <n v="25.8"/>
    <x v="0"/>
    <s v="No"/>
    <x v="0"/>
    <x v="0"/>
    <x v="0"/>
    <s v="EGFR"/>
    <s v="No"/>
    <s v="No"/>
    <s v="Yes"/>
    <s v="No"/>
    <s v="Yes"/>
    <s v="Yes"/>
    <s v="No"/>
    <s v="No"/>
    <s v="No"/>
    <s v="No"/>
    <x v="0"/>
    <s v="Adenocarcinoma"/>
    <x v="0"/>
    <n v="6.8"/>
    <s v="Yes"/>
    <s v="Biopsy"/>
    <s v="Chemotherapy"/>
    <n v="12"/>
    <s v="No"/>
  </r>
  <r>
    <s v="LC-0253"/>
    <n v="2025"/>
    <d v="2025-05-27T00:00:00"/>
    <s v="Western Pacific"/>
    <s v="Japan"/>
    <n v="61"/>
    <x v="1"/>
    <x v="2"/>
    <n v="0"/>
    <n v="0"/>
    <x v="0"/>
    <x v="0"/>
    <x v="0"/>
    <x v="1"/>
    <x v="0"/>
    <n v="28.9"/>
    <x v="1"/>
    <s v="No"/>
    <x v="0"/>
    <x v="0"/>
    <x v="0"/>
    <s v="ALK"/>
    <s v="Yes"/>
    <s v="Yes"/>
    <s v="Yes"/>
    <s v="No"/>
    <s v="No"/>
    <s v="Yes"/>
    <s v="No"/>
    <s v="No"/>
    <s v="No"/>
    <s v="No"/>
    <x v="0"/>
    <s v="Adenocarcinoma"/>
    <x v="3"/>
    <n v="6.3"/>
    <s v="No"/>
    <s v="Biopsy"/>
    <s v="Chemotherapy"/>
    <n v="40"/>
    <s v="Yes"/>
  </r>
  <r>
    <s v="LC-0254"/>
    <n v="2022"/>
    <d v="2022-08-01T00:00:00"/>
    <s v="Western Pacific"/>
    <s v="Singapore"/>
    <n v="59"/>
    <x v="1"/>
    <x v="0"/>
    <n v="36"/>
    <n v="14"/>
    <x v="1"/>
    <x v="0"/>
    <x v="1"/>
    <x v="0"/>
    <x v="0"/>
    <n v="22"/>
    <x v="1"/>
    <s v="Yes"/>
    <x v="1"/>
    <x v="0"/>
    <x v="0"/>
    <s v="KRAS"/>
    <s v="Yes"/>
    <s v="Yes"/>
    <s v="No"/>
    <s v="No"/>
    <s v="Yes"/>
    <s v="No"/>
    <s v="Yes"/>
    <s v="Yes"/>
    <s v="No"/>
    <s v="No"/>
    <x v="0"/>
    <s v="Adenocarcinoma"/>
    <x v="2"/>
    <n v="6.5"/>
    <s v="No"/>
    <s v="CT Scan"/>
    <s v="Targeted Therapy"/>
    <n v="27"/>
    <s v="No"/>
  </r>
  <r>
    <s v="LC-0255"/>
    <n v="2018"/>
    <d v="2018-01-12T00:00:00"/>
    <s v="Western Pacific"/>
    <s v="Australia"/>
    <n v="61"/>
    <x v="0"/>
    <x v="0"/>
    <n v="22"/>
    <n v="30"/>
    <x v="1"/>
    <x v="1"/>
    <x v="0"/>
    <x v="2"/>
    <x v="0"/>
    <n v="27.2"/>
    <x v="1"/>
    <s v="No"/>
    <x v="0"/>
    <x v="0"/>
    <x v="0"/>
    <s v="EGFR"/>
    <s v="Yes"/>
    <s v="Yes"/>
    <s v="No"/>
    <s v="Yes"/>
    <s v="No"/>
    <s v="Yes"/>
    <s v="Yes"/>
    <s v="No"/>
    <s v="Yes"/>
    <s v="No"/>
    <x v="0"/>
    <s v="Adenocarcinoma"/>
    <x v="2"/>
    <n v="3.9"/>
    <s v="No"/>
    <s v="PET Scan"/>
    <s v="Chemotherapy"/>
    <n v="30"/>
    <s v="No"/>
  </r>
  <r>
    <s v="LC-0256"/>
    <n v="2022"/>
    <d v="2022-11-03T00:00:00"/>
    <s v="Americas"/>
    <s v="USA"/>
    <n v="58"/>
    <x v="1"/>
    <x v="0"/>
    <n v="18"/>
    <n v="40"/>
    <x v="1"/>
    <x v="1"/>
    <x v="0"/>
    <x v="1"/>
    <x v="2"/>
    <n v="29.9"/>
    <x v="0"/>
    <s v="Yes"/>
    <x v="0"/>
    <x v="0"/>
    <x v="0"/>
    <s v="EGFR"/>
    <s v="Yes"/>
    <s v="No"/>
    <s v="No"/>
    <s v="No"/>
    <s v="No"/>
    <s v="Yes"/>
    <s v="Yes"/>
    <s v="No"/>
    <s v="No"/>
    <s v="No"/>
    <x v="0"/>
    <s v="Squamous Cell"/>
    <x v="2"/>
    <n v="4.7"/>
    <s v="No"/>
    <s v="Biopsy"/>
    <s v="Chemotherapy"/>
    <n v="25"/>
    <s v="No"/>
  </r>
  <r>
    <s v="LC-0257"/>
    <n v="2019"/>
    <d v="2019-01-08T00:00:00"/>
    <s v="South-East Asia"/>
    <s v="Thailand"/>
    <n v="42"/>
    <x v="1"/>
    <x v="2"/>
    <n v="0"/>
    <n v="0"/>
    <x v="0"/>
    <x v="0"/>
    <x v="0"/>
    <x v="1"/>
    <x v="2"/>
    <n v="21.8"/>
    <x v="2"/>
    <s v="No"/>
    <x v="0"/>
    <x v="0"/>
    <x v="0"/>
    <s v="ALK"/>
    <s v="Yes"/>
    <s v="Yes"/>
    <s v="No"/>
    <s v="No"/>
    <s v="Yes"/>
    <s v="Yes"/>
    <s v="No"/>
    <s v="Yes"/>
    <s v="No"/>
    <s v="No"/>
    <x v="0"/>
    <s v="Adenocarcinoma"/>
    <x v="1"/>
    <n v="3.2"/>
    <s v="No"/>
    <s v="LDCT Screening"/>
    <s v="Surgery + Chemotherapy"/>
    <n v="56"/>
    <s v="No"/>
  </r>
  <r>
    <s v="LC-0258"/>
    <n v="2017"/>
    <d v="2017-01-20T00:00:00"/>
    <s v="Western Pacific"/>
    <s v="South Korea"/>
    <n v="52"/>
    <x v="0"/>
    <x v="0"/>
    <n v="19"/>
    <n v="26"/>
    <x v="1"/>
    <x v="0"/>
    <x v="0"/>
    <x v="1"/>
    <x v="2"/>
    <n v="24.1"/>
    <x v="0"/>
    <s v="Yes"/>
    <x v="0"/>
    <x v="1"/>
    <x v="1"/>
    <s v="No Mutation"/>
    <s v="Yes"/>
    <s v="Yes"/>
    <s v="No"/>
    <s v="No"/>
    <s v="Yes"/>
    <s v="Yes"/>
    <s v="No"/>
    <s v="No"/>
    <s v="Yes"/>
    <s v="No"/>
    <x v="1"/>
    <s v="Not Applicable"/>
    <x v="3"/>
    <n v="4.2"/>
    <s v="No"/>
    <s v="CT Scan"/>
    <s v="Surgery + Chemotherapy"/>
    <n v="46"/>
    <s v="Yes"/>
  </r>
  <r>
    <s v="LC-0259"/>
    <n v="2025"/>
    <d v="2025-04-05T00:00:00"/>
    <s v="Western Pacific"/>
    <s v="New Zealand"/>
    <n v="75"/>
    <x v="1"/>
    <x v="2"/>
    <n v="0"/>
    <n v="0"/>
    <x v="0"/>
    <x v="0"/>
    <x v="0"/>
    <x v="0"/>
    <x v="2"/>
    <n v="29.2"/>
    <x v="2"/>
    <s v="No"/>
    <x v="0"/>
    <x v="0"/>
    <x v="0"/>
    <s v="HER2"/>
    <s v="Yes"/>
    <s v="No"/>
    <s v="No"/>
    <s v="No"/>
    <s v="Yes"/>
    <s v="No"/>
    <s v="Yes"/>
    <s v="Yes"/>
    <s v="No"/>
    <s v="Yes"/>
    <x v="0"/>
    <s v="Adenocarcinoma"/>
    <x v="1"/>
    <n v="2.1"/>
    <s v="No"/>
    <s v="LDCT Screening"/>
    <s v="Surgery"/>
    <n v="73"/>
    <s v="Yes"/>
  </r>
  <r>
    <s v="LC-0260"/>
    <n v="2025"/>
    <d v="2025-11-04T00:00:00"/>
    <s v="Western Pacific"/>
    <s v="Mongolia"/>
    <n v="66"/>
    <x v="1"/>
    <x v="2"/>
    <n v="0"/>
    <n v="0"/>
    <x v="1"/>
    <x v="0"/>
    <x v="0"/>
    <x v="1"/>
    <x v="2"/>
    <n v="23.3"/>
    <x v="0"/>
    <s v="No"/>
    <x v="0"/>
    <x v="0"/>
    <x v="0"/>
    <s v="No Mutation"/>
    <s v="No"/>
    <s v="No"/>
    <s v="No"/>
    <s v="No"/>
    <s v="Yes"/>
    <s v="No"/>
    <s v="No"/>
    <s v="Yes"/>
    <s v="No"/>
    <s v="No"/>
    <x v="0"/>
    <s v="Adenocarcinoma"/>
    <x v="2"/>
    <n v="4.0999999999999996"/>
    <s v="No"/>
    <s v="Biopsy"/>
    <s v="Chemo + Radiation"/>
    <n v="24"/>
    <s v="No"/>
  </r>
  <r>
    <s v="LC-0261"/>
    <n v="2025"/>
    <d v="2025-04-15T00:00:00"/>
    <s v="South-East Asia"/>
    <s v="Myanmar"/>
    <n v="55"/>
    <x v="0"/>
    <x v="2"/>
    <n v="0"/>
    <n v="0"/>
    <x v="0"/>
    <x v="0"/>
    <x v="0"/>
    <x v="1"/>
    <x v="1"/>
    <n v="22.7"/>
    <x v="0"/>
    <s v="No"/>
    <x v="0"/>
    <x v="0"/>
    <x v="0"/>
    <s v="TP53"/>
    <s v="Yes"/>
    <s v="Yes"/>
    <s v="No"/>
    <s v="No"/>
    <s v="No"/>
    <s v="No"/>
    <s v="No"/>
    <s v="Yes"/>
    <s v="No"/>
    <s v="No"/>
    <x v="0"/>
    <s v="Adenocarcinoma"/>
    <x v="1"/>
    <n v="0.9"/>
    <s v="No"/>
    <s v="CT Scan"/>
    <s v="Surgery"/>
    <n v="68"/>
    <s v="Yes"/>
  </r>
  <r>
    <s v="LC-0262"/>
    <n v="2020"/>
    <d v="2020-06-06T00:00:00"/>
    <s v="Western Pacific"/>
    <s v="Mongolia"/>
    <n v="79"/>
    <x v="1"/>
    <x v="1"/>
    <n v="3"/>
    <n v="24"/>
    <x v="1"/>
    <x v="1"/>
    <x v="0"/>
    <x v="1"/>
    <x v="0"/>
    <n v="27.8"/>
    <x v="2"/>
    <s v="No"/>
    <x v="0"/>
    <x v="0"/>
    <x v="0"/>
    <s v="No Mutation"/>
    <s v="No"/>
    <s v="Yes"/>
    <s v="Yes"/>
    <s v="No"/>
    <s v="Yes"/>
    <s v="No"/>
    <s v="No"/>
    <s v="No"/>
    <s v="No"/>
    <s v="Yes"/>
    <x v="0"/>
    <s v="Adenocarcinoma"/>
    <x v="3"/>
    <n v="6.6"/>
    <s v="No"/>
    <s v="Chest X-Ray"/>
    <s v="Surgery + Chemotherapy"/>
    <n v="22"/>
    <s v="No"/>
  </r>
  <r>
    <s v="LC-0263"/>
    <n v="2018"/>
    <d v="2018-10-24T00:00:00"/>
    <s v="Africa"/>
    <s v="South Africa"/>
    <n v="69"/>
    <x v="1"/>
    <x v="2"/>
    <n v="0"/>
    <n v="0"/>
    <x v="1"/>
    <x v="0"/>
    <x v="1"/>
    <x v="0"/>
    <x v="1"/>
    <n v="24.9"/>
    <x v="2"/>
    <s v="No"/>
    <x v="0"/>
    <x v="0"/>
    <x v="0"/>
    <s v="EGFR"/>
    <s v="Yes"/>
    <s v="Yes"/>
    <s v="No"/>
    <s v="No"/>
    <s v="No"/>
    <s v="No"/>
    <s v="No"/>
    <s v="Yes"/>
    <s v="Yes"/>
    <s v="No"/>
    <x v="0"/>
    <s v="Adenocarcinoma"/>
    <x v="1"/>
    <n v="0.5"/>
    <s v="No"/>
    <s v="LDCT Screening"/>
    <s v="Surgery"/>
    <n v="70"/>
    <s v="Yes"/>
  </r>
  <r>
    <s v="LC-0264"/>
    <n v="2018"/>
    <d v="2018-03-10T00:00:00"/>
    <s v="Americas"/>
    <s v="Canada"/>
    <n v="71"/>
    <x v="1"/>
    <x v="2"/>
    <n v="0"/>
    <n v="0"/>
    <x v="0"/>
    <x v="0"/>
    <x v="0"/>
    <x v="0"/>
    <x v="2"/>
    <n v="29.7"/>
    <x v="1"/>
    <s v="No"/>
    <x v="0"/>
    <x v="0"/>
    <x v="0"/>
    <s v="EGFR"/>
    <s v="Yes"/>
    <s v="No"/>
    <s v="No"/>
    <s v="Yes"/>
    <s v="Yes"/>
    <s v="Yes"/>
    <s v="No"/>
    <s v="No"/>
    <s v="No"/>
    <s v="No"/>
    <x v="0"/>
    <s v="Adenocarcinoma"/>
    <x v="1"/>
    <n v="2.5"/>
    <s v="No"/>
    <s v="Bronchoscopy"/>
    <s v="Targeted Therapy"/>
    <n v="25"/>
    <s v="Yes"/>
  </r>
  <r>
    <s v="LC-0265"/>
    <n v="2024"/>
    <d v="2024-10-01T00:00:00"/>
    <s v="Europe"/>
    <s v="Spain"/>
    <n v="76"/>
    <x v="1"/>
    <x v="0"/>
    <n v="23"/>
    <n v="33"/>
    <x v="0"/>
    <x v="0"/>
    <x v="0"/>
    <x v="2"/>
    <x v="2"/>
    <n v="28.8"/>
    <x v="1"/>
    <s v="No"/>
    <x v="0"/>
    <x v="0"/>
    <x v="0"/>
    <s v="No Mutation"/>
    <s v="No"/>
    <s v="No"/>
    <s v="No"/>
    <s v="Yes"/>
    <s v="Yes"/>
    <s v="Yes"/>
    <s v="Yes"/>
    <s v="Yes"/>
    <s v="Yes"/>
    <s v="No"/>
    <x v="0"/>
    <s v="Adenocarcinoma"/>
    <x v="0"/>
    <n v="8.5"/>
    <s v="Yes"/>
    <s v="CT Scan"/>
    <s v="Chemo + Radiation"/>
    <n v="9"/>
    <s v="No"/>
  </r>
  <r>
    <s v="LC-0266"/>
    <n v="2015"/>
    <d v="2015-10-22T00:00:00"/>
    <s v="Western Pacific"/>
    <s v="Malaysia"/>
    <n v="60"/>
    <x v="0"/>
    <x v="2"/>
    <n v="0"/>
    <n v="0"/>
    <x v="1"/>
    <x v="0"/>
    <x v="0"/>
    <x v="2"/>
    <x v="1"/>
    <n v="29.5"/>
    <x v="0"/>
    <s v="No"/>
    <x v="0"/>
    <x v="0"/>
    <x v="0"/>
    <s v="EGFR"/>
    <s v="Yes"/>
    <s v="No"/>
    <s v="No"/>
    <s v="No"/>
    <s v="Yes"/>
    <s v="No"/>
    <s v="No"/>
    <s v="No"/>
    <s v="No"/>
    <s v="No"/>
    <x v="0"/>
    <s v="Adenocarcinoma"/>
    <x v="1"/>
    <n v="2.4"/>
    <s v="No"/>
    <s v="LDCT Screening"/>
    <s v="Surgery"/>
    <n v="34"/>
    <s v="Yes"/>
  </r>
  <r>
    <s v="LC-0267"/>
    <n v="2023"/>
    <d v="2023-07-23T00:00:00"/>
    <s v="Western Pacific"/>
    <s v="Australia"/>
    <n v="68"/>
    <x v="1"/>
    <x v="0"/>
    <n v="36"/>
    <n v="28"/>
    <x v="0"/>
    <x v="0"/>
    <x v="0"/>
    <x v="1"/>
    <x v="2"/>
    <n v="20.9"/>
    <x v="1"/>
    <s v="Yes"/>
    <x v="0"/>
    <x v="0"/>
    <x v="0"/>
    <s v="No Mutation"/>
    <s v="Yes"/>
    <s v="Yes"/>
    <s v="Yes"/>
    <s v="Yes"/>
    <s v="No"/>
    <s v="No"/>
    <s v="Yes"/>
    <s v="No"/>
    <s v="No"/>
    <s v="No"/>
    <x v="0"/>
    <s v="Large Cell"/>
    <x v="2"/>
    <n v="6.6"/>
    <s v="No"/>
    <s v="MRI"/>
    <s v="Chemo + Radiation"/>
    <n v="10"/>
    <s v="No"/>
  </r>
  <r>
    <s v="LC-0268"/>
    <n v="2019"/>
    <d v="2019-02-19T00:00:00"/>
    <s v="Americas"/>
    <s v="Mexico"/>
    <n v="53"/>
    <x v="1"/>
    <x v="0"/>
    <n v="24"/>
    <n v="25"/>
    <x v="0"/>
    <x v="0"/>
    <x v="1"/>
    <x v="2"/>
    <x v="1"/>
    <n v="23.1"/>
    <x v="1"/>
    <s v="Yes"/>
    <x v="0"/>
    <x v="0"/>
    <x v="0"/>
    <s v="No Mutation"/>
    <s v="Yes"/>
    <s v="No"/>
    <s v="Yes"/>
    <s v="No"/>
    <s v="Yes"/>
    <s v="Yes"/>
    <s v="Yes"/>
    <s v="Yes"/>
    <s v="No"/>
    <s v="No"/>
    <x v="0"/>
    <s v="Adenocarcinoma"/>
    <x v="2"/>
    <n v="6.4"/>
    <s v="No"/>
    <s v="LDCT Screening"/>
    <s v="Chemo + Radiation"/>
    <n v="28"/>
    <s v="No"/>
  </r>
  <r>
    <s v="LC-0269"/>
    <n v="2024"/>
    <d v="2024-02-23T00:00:00"/>
    <s v="Europe"/>
    <s v="Spain"/>
    <n v="49"/>
    <x v="0"/>
    <x v="0"/>
    <n v="15"/>
    <n v="19"/>
    <x v="0"/>
    <x v="1"/>
    <x v="0"/>
    <x v="1"/>
    <x v="2"/>
    <n v="31.9"/>
    <x v="1"/>
    <s v="No"/>
    <x v="0"/>
    <x v="0"/>
    <x v="0"/>
    <s v="TP53"/>
    <s v="Yes"/>
    <s v="Yes"/>
    <s v="Yes"/>
    <s v="No"/>
    <s v="Yes"/>
    <s v="Yes"/>
    <s v="Yes"/>
    <s v="Yes"/>
    <s v="Yes"/>
    <s v="No"/>
    <x v="0"/>
    <s v="Squamous Cell"/>
    <x v="0"/>
    <n v="4.2"/>
    <s v="Yes"/>
    <s v="Biopsy"/>
    <s v="Immunotherapy"/>
    <n v="1"/>
    <s v="No"/>
  </r>
  <r>
    <s v="LC-0270"/>
    <n v="2021"/>
    <d v="2021-11-20T00:00:00"/>
    <s v="Western Pacific"/>
    <s v="Japan"/>
    <n v="55"/>
    <x v="0"/>
    <x v="2"/>
    <n v="0"/>
    <n v="0"/>
    <x v="0"/>
    <x v="1"/>
    <x v="0"/>
    <x v="0"/>
    <x v="1"/>
    <n v="25.8"/>
    <x v="1"/>
    <s v="No"/>
    <x v="0"/>
    <x v="0"/>
    <x v="0"/>
    <s v="EGFR"/>
    <s v="Yes"/>
    <s v="No"/>
    <s v="Yes"/>
    <s v="No"/>
    <s v="No"/>
    <s v="Yes"/>
    <s v="Yes"/>
    <s v="No"/>
    <s v="No"/>
    <s v="No"/>
    <x v="0"/>
    <s v="Adenocarcinoma"/>
    <x v="0"/>
    <n v="3.5"/>
    <s v="Yes"/>
    <s v="Bronchoscopy"/>
    <s v="Targeted Therapy"/>
    <n v="10"/>
    <s v="No"/>
  </r>
  <r>
    <s v="LC-0271"/>
    <n v="2023"/>
    <d v="2023-10-26T00:00:00"/>
    <s v="Western Pacific"/>
    <s v="China"/>
    <n v="76"/>
    <x v="0"/>
    <x v="2"/>
    <n v="0"/>
    <n v="0"/>
    <x v="0"/>
    <x v="0"/>
    <x v="0"/>
    <x v="0"/>
    <x v="1"/>
    <n v="28.1"/>
    <x v="1"/>
    <s v="No"/>
    <x v="0"/>
    <x v="0"/>
    <x v="0"/>
    <s v="No Mutation"/>
    <s v="Yes"/>
    <s v="No"/>
    <s v="Yes"/>
    <s v="No"/>
    <s v="Yes"/>
    <s v="No"/>
    <s v="No"/>
    <s v="Yes"/>
    <s v="No"/>
    <s v="No"/>
    <x v="0"/>
    <s v="Adenocarcinoma"/>
    <x v="1"/>
    <n v="4"/>
    <s v="No"/>
    <s v="LDCT Screening"/>
    <s v="Surgery"/>
    <n v="60"/>
    <s v="No"/>
  </r>
  <r>
    <s v="LC-0272"/>
    <n v="2023"/>
    <d v="2023-06-18T00:00:00"/>
    <s v="Eastern Mediterranean"/>
    <s v="Lebanon"/>
    <n v="57"/>
    <x v="0"/>
    <x v="2"/>
    <n v="0"/>
    <n v="0"/>
    <x v="0"/>
    <x v="0"/>
    <x v="0"/>
    <x v="0"/>
    <x v="1"/>
    <n v="24.2"/>
    <x v="0"/>
    <s v="No"/>
    <x v="0"/>
    <x v="0"/>
    <x v="0"/>
    <s v="ALK"/>
    <s v="No"/>
    <s v="No"/>
    <s v="No"/>
    <s v="No"/>
    <s v="No"/>
    <s v="Yes"/>
    <s v="Yes"/>
    <s v="No"/>
    <s v="Yes"/>
    <s v="No"/>
    <x v="0"/>
    <s v="Adenocarcinoma"/>
    <x v="1"/>
    <n v="2"/>
    <s v="No"/>
    <s v="CT Scan"/>
    <s v="Radiotherapy"/>
    <n v="67"/>
    <s v="No"/>
  </r>
  <r>
    <s v="LC-0273"/>
    <n v="2015"/>
    <d v="2015-11-12T00:00:00"/>
    <s v="Western Pacific"/>
    <s v="Japan"/>
    <n v="55"/>
    <x v="0"/>
    <x v="2"/>
    <n v="0"/>
    <n v="0"/>
    <x v="0"/>
    <x v="0"/>
    <x v="0"/>
    <x v="0"/>
    <x v="1"/>
    <n v="27.2"/>
    <x v="0"/>
    <s v="No"/>
    <x v="0"/>
    <x v="0"/>
    <x v="1"/>
    <s v="No Mutation"/>
    <s v="No"/>
    <s v="No"/>
    <s v="Yes"/>
    <s v="No"/>
    <s v="Yes"/>
    <s v="No"/>
    <s v="No"/>
    <s v="No"/>
    <s v="Yes"/>
    <s v="No"/>
    <x v="0"/>
    <s v="Adenocarcinoma"/>
    <x v="1"/>
    <n v="3.3"/>
    <s v="No"/>
    <s v="CT Scan"/>
    <s v="Targeted Therapy"/>
    <n v="71"/>
    <s v="Yes"/>
  </r>
  <r>
    <s v="LC-0274"/>
    <n v="2017"/>
    <d v="2017-09-21T00:00:00"/>
    <s v="Western Pacific"/>
    <s v="Vietnam"/>
    <n v="44"/>
    <x v="1"/>
    <x v="2"/>
    <n v="0"/>
    <n v="0"/>
    <x v="0"/>
    <x v="0"/>
    <x v="1"/>
    <x v="1"/>
    <x v="1"/>
    <n v="22.5"/>
    <x v="1"/>
    <s v="No"/>
    <x v="0"/>
    <x v="0"/>
    <x v="0"/>
    <s v="MET"/>
    <s v="No"/>
    <s v="Yes"/>
    <s v="No"/>
    <s v="No"/>
    <s v="Yes"/>
    <s v="No"/>
    <s v="No"/>
    <s v="Yes"/>
    <s v="No"/>
    <s v="No"/>
    <x v="0"/>
    <s v="Large Cell"/>
    <x v="0"/>
    <n v="9.1999999999999993"/>
    <s v="Yes"/>
    <s v="CT Scan"/>
    <s v="Immunotherapy"/>
    <n v="5"/>
    <s v="No"/>
  </r>
  <r>
    <s v="LC-0275"/>
    <n v="2022"/>
    <d v="2022-01-28T00:00:00"/>
    <s v="South-East Asia"/>
    <s v="Nepal"/>
    <n v="30"/>
    <x v="0"/>
    <x v="2"/>
    <n v="0"/>
    <n v="0"/>
    <x v="0"/>
    <x v="1"/>
    <x v="0"/>
    <x v="1"/>
    <x v="2"/>
    <n v="27.7"/>
    <x v="2"/>
    <s v="No"/>
    <x v="0"/>
    <x v="0"/>
    <x v="0"/>
    <s v="EGFR"/>
    <s v="Yes"/>
    <s v="No"/>
    <s v="No"/>
    <s v="No"/>
    <s v="No"/>
    <s v="No"/>
    <s v="No"/>
    <s v="No"/>
    <s v="Yes"/>
    <s v="No"/>
    <x v="0"/>
    <s v="Adenocarcinoma"/>
    <x v="3"/>
    <n v="3.4"/>
    <s v="No"/>
    <s v="PET Scan"/>
    <s v="Surgery + Chemotherapy"/>
    <n v="25"/>
    <s v="Yes"/>
  </r>
  <r>
    <s v="LC-0276"/>
    <n v="2017"/>
    <d v="2017-08-04T00:00:00"/>
    <s v="South-East Asia"/>
    <s v="Nepal"/>
    <n v="52"/>
    <x v="1"/>
    <x v="2"/>
    <n v="0"/>
    <n v="0"/>
    <x v="1"/>
    <x v="1"/>
    <x v="0"/>
    <x v="1"/>
    <x v="1"/>
    <n v="27.9"/>
    <x v="1"/>
    <s v="Yes"/>
    <x v="0"/>
    <x v="0"/>
    <x v="0"/>
    <s v="KRAS"/>
    <s v="No"/>
    <s v="No"/>
    <s v="No"/>
    <s v="No"/>
    <s v="Yes"/>
    <s v="No"/>
    <s v="Yes"/>
    <s v="No"/>
    <s v="No"/>
    <s v="Yes"/>
    <x v="0"/>
    <s v="Adenocarcinoma"/>
    <x v="0"/>
    <n v="7.1"/>
    <s v="Yes"/>
    <s v="PET Scan"/>
    <s v="Chemotherapy"/>
    <n v="1"/>
    <s v="No"/>
  </r>
  <r>
    <s v="LC-0277"/>
    <n v="2023"/>
    <d v="2023-06-21T00:00:00"/>
    <s v="Western Pacific"/>
    <s v="New Zealand"/>
    <n v="50"/>
    <x v="0"/>
    <x v="2"/>
    <n v="0"/>
    <n v="0"/>
    <x v="0"/>
    <x v="0"/>
    <x v="0"/>
    <x v="1"/>
    <x v="1"/>
    <n v="32.6"/>
    <x v="2"/>
    <s v="No"/>
    <x v="0"/>
    <x v="0"/>
    <x v="0"/>
    <s v="EGFR"/>
    <s v="No"/>
    <s v="No"/>
    <s v="No"/>
    <s v="No"/>
    <s v="No"/>
    <s v="Yes"/>
    <s v="No"/>
    <s v="No"/>
    <s v="No"/>
    <s v="No"/>
    <x v="0"/>
    <s v="Adenocarcinoma"/>
    <x v="0"/>
    <n v="10.4"/>
    <s v="Yes"/>
    <s v="Bronchoscopy"/>
    <s v="Chemotherapy"/>
    <n v="5"/>
    <s v="No"/>
  </r>
  <r>
    <s v="LC-0278"/>
    <n v="2015"/>
    <d v="2015-12-05T00:00:00"/>
    <s v="Europe"/>
    <s v="Turkey"/>
    <n v="71"/>
    <x v="1"/>
    <x v="2"/>
    <n v="0"/>
    <n v="0"/>
    <x v="0"/>
    <x v="1"/>
    <x v="0"/>
    <x v="2"/>
    <x v="1"/>
    <n v="22.2"/>
    <x v="1"/>
    <s v="No"/>
    <x v="0"/>
    <x v="1"/>
    <x v="0"/>
    <s v="EGFR"/>
    <s v="No"/>
    <s v="Yes"/>
    <s v="No"/>
    <s v="No"/>
    <s v="Yes"/>
    <s v="Yes"/>
    <s v="Yes"/>
    <s v="Yes"/>
    <s v="No"/>
    <s v="No"/>
    <x v="0"/>
    <s v="Adenocarcinoma"/>
    <x v="3"/>
    <n v="3.6"/>
    <s v="No"/>
    <s v="Biopsy"/>
    <s v="Chemotherapy"/>
    <n v="27"/>
    <s v="No"/>
  </r>
  <r>
    <s v="LC-0279"/>
    <n v="2020"/>
    <d v="2020-03-24T00:00:00"/>
    <s v="Eastern Mediterranean"/>
    <s v="Qatar"/>
    <n v="71"/>
    <x v="1"/>
    <x v="2"/>
    <n v="0"/>
    <n v="0"/>
    <x v="1"/>
    <x v="0"/>
    <x v="0"/>
    <x v="1"/>
    <x v="2"/>
    <n v="35.299999999999997"/>
    <x v="1"/>
    <s v="No"/>
    <x v="0"/>
    <x v="1"/>
    <x v="0"/>
    <s v="EGFR"/>
    <s v="No"/>
    <s v="No"/>
    <s v="No"/>
    <s v="Yes"/>
    <s v="Yes"/>
    <s v="No"/>
    <s v="No"/>
    <s v="Yes"/>
    <s v="No"/>
    <s v="No"/>
    <x v="0"/>
    <s v="Adenocarcinoma"/>
    <x v="2"/>
    <n v="5.3"/>
    <s v="No"/>
    <s v="Bronchoscopy"/>
    <s v="Surgery + Chemotherapy"/>
    <n v="22"/>
    <s v="No"/>
  </r>
  <r>
    <s v="LC-0280"/>
    <n v="2017"/>
    <d v="2017-11-09T00:00:00"/>
    <s v="Europe"/>
    <s v="Sweden"/>
    <n v="81"/>
    <x v="1"/>
    <x v="2"/>
    <n v="0"/>
    <n v="0"/>
    <x v="0"/>
    <x v="1"/>
    <x v="0"/>
    <x v="2"/>
    <x v="1"/>
    <n v="33.1"/>
    <x v="0"/>
    <s v="No"/>
    <x v="0"/>
    <x v="0"/>
    <x v="1"/>
    <s v="No Mutation"/>
    <s v="No"/>
    <s v="No"/>
    <s v="No"/>
    <s v="No"/>
    <s v="Yes"/>
    <s v="No"/>
    <s v="No"/>
    <s v="No"/>
    <s v="No"/>
    <s v="No"/>
    <x v="1"/>
    <s v="Not Applicable"/>
    <x v="0"/>
    <n v="7"/>
    <s v="Yes"/>
    <s v="CT Scan"/>
    <s v="Chemo + Radiation"/>
    <n v="8"/>
    <s v="No"/>
  </r>
  <r>
    <s v="LC-0281"/>
    <n v="2022"/>
    <d v="2022-09-25T00:00:00"/>
    <s v="Europe"/>
    <s v="Poland"/>
    <n v="59"/>
    <x v="1"/>
    <x v="2"/>
    <n v="0"/>
    <n v="0"/>
    <x v="1"/>
    <x v="0"/>
    <x v="0"/>
    <x v="1"/>
    <x v="2"/>
    <n v="27.8"/>
    <x v="1"/>
    <s v="No"/>
    <x v="0"/>
    <x v="0"/>
    <x v="0"/>
    <s v="EGFR"/>
    <s v="No"/>
    <s v="No"/>
    <s v="No"/>
    <s v="No"/>
    <s v="Yes"/>
    <s v="No"/>
    <s v="No"/>
    <s v="No"/>
    <s v="No"/>
    <s v="No"/>
    <x v="0"/>
    <s v="Adenocarcinoma"/>
    <x v="3"/>
    <n v="2.7"/>
    <s v="No"/>
    <s v="Biopsy"/>
    <s v="Targeted Therapy"/>
    <n v="29"/>
    <s v="Yes"/>
  </r>
  <r>
    <s v="LC-0282"/>
    <n v="2025"/>
    <d v="2025-08-14T00:00:00"/>
    <s v="Western Pacific"/>
    <s v="Mongolia"/>
    <n v="58"/>
    <x v="0"/>
    <x v="1"/>
    <n v="24"/>
    <n v="30"/>
    <x v="1"/>
    <x v="1"/>
    <x v="0"/>
    <x v="0"/>
    <x v="1"/>
    <n v="31.3"/>
    <x v="1"/>
    <s v="No"/>
    <x v="0"/>
    <x v="0"/>
    <x v="0"/>
    <s v="No Mutation"/>
    <s v="Yes"/>
    <s v="No"/>
    <s v="Yes"/>
    <s v="Yes"/>
    <s v="No"/>
    <s v="No"/>
    <s v="No"/>
    <s v="No"/>
    <s v="No"/>
    <s v="No"/>
    <x v="0"/>
    <s v="Squamous Cell"/>
    <x v="3"/>
    <n v="6"/>
    <s v="No"/>
    <s v="LDCT Screening"/>
    <s v="Surgery"/>
    <n v="6"/>
    <s v="No"/>
  </r>
  <r>
    <s v="LC-0283"/>
    <n v="2015"/>
    <d v="2015-05-11T00:00:00"/>
    <s v="Western Pacific"/>
    <s v="Australia"/>
    <n v="52"/>
    <x v="1"/>
    <x v="0"/>
    <n v="27"/>
    <n v="29"/>
    <x v="0"/>
    <x v="0"/>
    <x v="1"/>
    <x v="0"/>
    <x v="0"/>
    <n v="22.4"/>
    <x v="0"/>
    <s v="No"/>
    <x v="0"/>
    <x v="0"/>
    <x v="0"/>
    <s v="KRAS"/>
    <s v="Yes"/>
    <s v="No"/>
    <s v="Yes"/>
    <s v="No"/>
    <s v="Yes"/>
    <s v="Yes"/>
    <s v="Yes"/>
    <s v="Yes"/>
    <s v="No"/>
    <s v="No"/>
    <x v="0"/>
    <s v="Adenocarcinoma"/>
    <x v="0"/>
    <n v="6.7"/>
    <s v="Yes"/>
    <s v="CT Scan"/>
    <s v="Palliative Care"/>
    <n v="16"/>
    <s v="No"/>
  </r>
  <r>
    <s v="LC-0284"/>
    <n v="2017"/>
    <d v="2017-02-09T00:00:00"/>
    <s v="Europe"/>
    <s v="Poland"/>
    <n v="80"/>
    <x v="1"/>
    <x v="2"/>
    <n v="0"/>
    <n v="0"/>
    <x v="1"/>
    <x v="1"/>
    <x v="0"/>
    <x v="2"/>
    <x v="1"/>
    <n v="31.5"/>
    <x v="2"/>
    <s v="No"/>
    <x v="0"/>
    <x v="0"/>
    <x v="0"/>
    <s v="EGFR"/>
    <s v="Yes"/>
    <s v="No"/>
    <s v="Yes"/>
    <s v="No"/>
    <s v="No"/>
    <s v="No"/>
    <s v="No"/>
    <s v="No"/>
    <s v="No"/>
    <s v="No"/>
    <x v="0"/>
    <s v="Adenocarcinoma"/>
    <x v="0"/>
    <n v="5.9"/>
    <s v="Yes"/>
    <s v="Bronchoscopy"/>
    <s v="Targeted Therapy"/>
    <n v="1"/>
    <s v="No"/>
  </r>
  <r>
    <s v="LC-0285"/>
    <n v="2021"/>
    <d v="2021-04-25T00:00:00"/>
    <s v="Americas"/>
    <s v="Peru"/>
    <n v="67"/>
    <x v="1"/>
    <x v="0"/>
    <n v="19"/>
    <n v="9"/>
    <x v="1"/>
    <x v="0"/>
    <x v="0"/>
    <x v="0"/>
    <x v="0"/>
    <n v="32.200000000000003"/>
    <x v="1"/>
    <s v="No"/>
    <x v="0"/>
    <x v="0"/>
    <x v="0"/>
    <s v="No Mutation"/>
    <s v="Yes"/>
    <s v="No"/>
    <s v="Yes"/>
    <s v="No"/>
    <s v="Yes"/>
    <s v="Yes"/>
    <s v="No"/>
    <s v="Yes"/>
    <s v="No"/>
    <s v="No"/>
    <x v="0"/>
    <s v="Adenocarcinoma"/>
    <x v="2"/>
    <n v="8.1999999999999993"/>
    <s v="No"/>
    <s v="Biopsy"/>
    <s v="Chemo + Radiation"/>
    <n v="13"/>
    <s v="No"/>
  </r>
  <r>
    <s v="LC-0286"/>
    <n v="2015"/>
    <d v="2015-10-20T00:00:00"/>
    <s v="South-East Asia"/>
    <s v="Nepal"/>
    <n v="51"/>
    <x v="0"/>
    <x v="2"/>
    <n v="0"/>
    <n v="0"/>
    <x v="0"/>
    <x v="0"/>
    <x v="0"/>
    <x v="1"/>
    <x v="0"/>
    <n v="28.9"/>
    <x v="0"/>
    <s v="Yes"/>
    <x v="0"/>
    <x v="0"/>
    <x v="0"/>
    <s v="ALK"/>
    <s v="No"/>
    <s v="Yes"/>
    <s v="Yes"/>
    <s v="No"/>
    <s v="Yes"/>
    <s v="No"/>
    <s v="No"/>
    <s v="Yes"/>
    <s v="No"/>
    <s v="No"/>
    <x v="0"/>
    <s v="Large Cell"/>
    <x v="0"/>
    <n v="5.8"/>
    <s v="Yes"/>
    <s v="CT Scan"/>
    <s v="Chemotherapy"/>
    <n v="14"/>
    <s v="No"/>
  </r>
  <r>
    <s v="LC-0287"/>
    <n v="2023"/>
    <d v="2023-06-01T00:00:00"/>
    <s v="Western Pacific"/>
    <s v="New Zealand"/>
    <n v="68"/>
    <x v="1"/>
    <x v="2"/>
    <n v="0"/>
    <n v="0"/>
    <x v="1"/>
    <x v="0"/>
    <x v="1"/>
    <x v="0"/>
    <x v="2"/>
    <n v="29.9"/>
    <x v="0"/>
    <s v="No"/>
    <x v="1"/>
    <x v="0"/>
    <x v="0"/>
    <s v="EGFR"/>
    <s v="No"/>
    <s v="No"/>
    <s v="No"/>
    <s v="No"/>
    <s v="Yes"/>
    <s v="No"/>
    <s v="No"/>
    <s v="No"/>
    <s v="No"/>
    <s v="No"/>
    <x v="0"/>
    <s v="Adenocarcinoma"/>
    <x v="3"/>
    <n v="4.9000000000000004"/>
    <s v="No"/>
    <s v="Chest X-Ray"/>
    <s v="Surgery"/>
    <n v="30"/>
    <s v="Yes"/>
  </r>
  <r>
    <s v="LC-0288"/>
    <n v="2022"/>
    <d v="2022-06-06T00:00:00"/>
    <s v="Western Pacific"/>
    <s v="New Zealand"/>
    <n v="58"/>
    <x v="0"/>
    <x v="2"/>
    <n v="0"/>
    <n v="0"/>
    <x v="1"/>
    <x v="0"/>
    <x v="0"/>
    <x v="1"/>
    <x v="2"/>
    <n v="23.8"/>
    <x v="0"/>
    <s v="No"/>
    <x v="0"/>
    <x v="0"/>
    <x v="0"/>
    <s v="EGFR"/>
    <s v="No"/>
    <s v="Yes"/>
    <s v="No"/>
    <s v="Yes"/>
    <s v="No"/>
    <s v="No"/>
    <s v="No"/>
    <s v="Yes"/>
    <s v="No"/>
    <s v="No"/>
    <x v="0"/>
    <s v="Large Cell"/>
    <x v="1"/>
    <n v="1.8"/>
    <s v="No"/>
    <s v="CT Scan"/>
    <s v="Surgery"/>
    <n v="47"/>
    <s v="Yes"/>
  </r>
  <r>
    <s v="LC-0289"/>
    <n v="2021"/>
    <d v="2021-04-12T00:00:00"/>
    <s v="Western Pacific"/>
    <s v="Philippines"/>
    <n v="71"/>
    <x v="1"/>
    <x v="0"/>
    <n v="19"/>
    <n v="28"/>
    <x v="1"/>
    <x v="1"/>
    <x v="1"/>
    <x v="0"/>
    <x v="0"/>
    <n v="30.7"/>
    <x v="0"/>
    <s v="No"/>
    <x v="0"/>
    <x v="0"/>
    <x v="0"/>
    <s v="No Mutation"/>
    <s v="Yes"/>
    <s v="Yes"/>
    <s v="Yes"/>
    <s v="No"/>
    <s v="Yes"/>
    <s v="Yes"/>
    <s v="No"/>
    <s v="Yes"/>
    <s v="No"/>
    <s v="No"/>
    <x v="0"/>
    <s v="Adenocarcinoma"/>
    <x v="2"/>
    <n v="7.9"/>
    <s v="Yes"/>
    <s v="Biopsy"/>
    <s v="Chemotherapy"/>
    <n v="23"/>
    <s v="No"/>
  </r>
  <r>
    <s v="LC-0290"/>
    <n v="2024"/>
    <d v="2024-06-09T00:00:00"/>
    <s v="Americas"/>
    <s v="Venezuela"/>
    <n v="75"/>
    <x v="0"/>
    <x v="2"/>
    <n v="0"/>
    <n v="0"/>
    <x v="1"/>
    <x v="0"/>
    <x v="1"/>
    <x v="0"/>
    <x v="2"/>
    <n v="19.399999999999999"/>
    <x v="0"/>
    <s v="No"/>
    <x v="0"/>
    <x v="1"/>
    <x v="1"/>
    <s v="RET"/>
    <s v="No"/>
    <s v="Yes"/>
    <s v="No"/>
    <s v="No"/>
    <s v="No"/>
    <s v="Yes"/>
    <s v="No"/>
    <s v="Yes"/>
    <s v="No"/>
    <s v="No"/>
    <x v="0"/>
    <s v="Adenocarcinoma"/>
    <x v="1"/>
    <n v="1.4"/>
    <s v="No"/>
    <s v="Bronchoscopy"/>
    <s v="Targeted Therapy"/>
    <n v="89"/>
    <s v="Yes"/>
  </r>
  <r>
    <s v="LC-0291"/>
    <n v="2019"/>
    <d v="2019-12-09T00:00:00"/>
    <s v="Europe"/>
    <s v="Netherlands"/>
    <n v="70"/>
    <x v="1"/>
    <x v="0"/>
    <n v="22"/>
    <n v="33"/>
    <x v="1"/>
    <x v="1"/>
    <x v="0"/>
    <x v="1"/>
    <x v="0"/>
    <n v="22"/>
    <x v="1"/>
    <s v="No"/>
    <x v="0"/>
    <x v="0"/>
    <x v="0"/>
    <s v="TP53"/>
    <s v="Yes"/>
    <s v="Yes"/>
    <s v="Yes"/>
    <s v="No"/>
    <s v="Yes"/>
    <s v="Yes"/>
    <s v="Yes"/>
    <s v="Yes"/>
    <s v="Yes"/>
    <s v="No"/>
    <x v="0"/>
    <s v="Squamous Cell"/>
    <x v="2"/>
    <n v="6.9"/>
    <s v="No"/>
    <s v="Bronchoscopy"/>
    <s v="Chemo + Radiation"/>
    <n v="15"/>
    <s v="No"/>
  </r>
  <r>
    <s v="LC-0292"/>
    <n v="2018"/>
    <d v="2018-01-17T00:00:00"/>
    <s v="Europe"/>
    <s v="Italy"/>
    <n v="65"/>
    <x v="1"/>
    <x v="0"/>
    <n v="14"/>
    <n v="36"/>
    <x v="1"/>
    <x v="0"/>
    <x v="0"/>
    <x v="0"/>
    <x v="1"/>
    <n v="27.8"/>
    <x v="0"/>
    <s v="No"/>
    <x v="0"/>
    <x v="0"/>
    <x v="0"/>
    <s v="TP53"/>
    <s v="No"/>
    <s v="No"/>
    <s v="Yes"/>
    <s v="No"/>
    <s v="Yes"/>
    <s v="Yes"/>
    <s v="No"/>
    <s v="Yes"/>
    <s v="No"/>
    <s v="No"/>
    <x v="0"/>
    <s v="Adenocarcinoma"/>
    <x v="1"/>
    <n v="2.5"/>
    <s v="No"/>
    <s v="CT Scan"/>
    <s v="Surgery + Chemotherapy"/>
    <n v="34"/>
    <s v="No"/>
  </r>
  <r>
    <s v="LC-0293"/>
    <n v="2022"/>
    <d v="2022-02-08T00:00:00"/>
    <s v="Western Pacific"/>
    <s v="Malaysia"/>
    <n v="49"/>
    <x v="0"/>
    <x v="2"/>
    <n v="0"/>
    <n v="0"/>
    <x v="0"/>
    <x v="0"/>
    <x v="0"/>
    <x v="0"/>
    <x v="0"/>
    <n v="32.200000000000003"/>
    <x v="0"/>
    <s v="No"/>
    <x v="0"/>
    <x v="0"/>
    <x v="0"/>
    <s v="MET"/>
    <s v="No"/>
    <s v="Yes"/>
    <s v="No"/>
    <s v="No"/>
    <s v="Yes"/>
    <s v="No"/>
    <s v="No"/>
    <s v="Yes"/>
    <s v="Yes"/>
    <s v="Yes"/>
    <x v="0"/>
    <s v="Adenocarcinoma"/>
    <x v="3"/>
    <n v="3.8"/>
    <s v="No"/>
    <s v="CT Scan"/>
    <s v="Targeted Therapy"/>
    <n v="29"/>
    <s v="Yes"/>
  </r>
  <r>
    <s v="LC-0294"/>
    <n v="2020"/>
    <d v="2020-08-18T00:00:00"/>
    <s v="South-East Asia"/>
    <s v="Thailand"/>
    <n v="52"/>
    <x v="1"/>
    <x v="2"/>
    <n v="0"/>
    <n v="0"/>
    <x v="1"/>
    <x v="0"/>
    <x v="0"/>
    <x v="1"/>
    <x v="2"/>
    <n v="20.3"/>
    <x v="1"/>
    <s v="No"/>
    <x v="0"/>
    <x v="1"/>
    <x v="0"/>
    <s v="KRAS"/>
    <s v="Yes"/>
    <s v="No"/>
    <s v="No"/>
    <s v="No"/>
    <s v="No"/>
    <s v="No"/>
    <s v="No"/>
    <s v="No"/>
    <s v="No"/>
    <s v="No"/>
    <x v="0"/>
    <s v="Squamous Cell"/>
    <x v="3"/>
    <n v="4.7"/>
    <s v="No"/>
    <s v="PET Scan"/>
    <s v="Chemotherapy"/>
    <n v="19"/>
    <s v="Yes"/>
  </r>
  <r>
    <s v="LC-0295"/>
    <n v="2022"/>
    <d v="2022-12-16T00:00:00"/>
    <s v="Western Pacific"/>
    <s v="New Zealand"/>
    <n v="74"/>
    <x v="0"/>
    <x v="2"/>
    <n v="0"/>
    <n v="0"/>
    <x v="1"/>
    <x v="1"/>
    <x v="0"/>
    <x v="1"/>
    <x v="0"/>
    <n v="27.2"/>
    <x v="1"/>
    <s v="No"/>
    <x v="0"/>
    <x v="0"/>
    <x v="0"/>
    <s v="No Mutation"/>
    <s v="Yes"/>
    <s v="No"/>
    <s v="No"/>
    <s v="No"/>
    <s v="Yes"/>
    <s v="No"/>
    <s v="No"/>
    <s v="No"/>
    <s v="No"/>
    <s v="No"/>
    <x v="1"/>
    <s v="Not Applicable"/>
    <x v="1"/>
    <n v="3.6"/>
    <s v="No"/>
    <s v="Biopsy"/>
    <s v="Surgery"/>
    <n v="53"/>
    <s v="Yes"/>
  </r>
  <r>
    <s v="LC-0296"/>
    <n v="2024"/>
    <d v="2024-08-26T00:00:00"/>
    <s v="Africa"/>
    <s v="Nigeria"/>
    <n v="51"/>
    <x v="1"/>
    <x v="2"/>
    <n v="0"/>
    <n v="0"/>
    <x v="0"/>
    <x v="0"/>
    <x v="1"/>
    <x v="1"/>
    <x v="2"/>
    <n v="19.2"/>
    <x v="0"/>
    <s v="No"/>
    <x v="0"/>
    <x v="0"/>
    <x v="0"/>
    <s v="TP53"/>
    <s v="Yes"/>
    <s v="Yes"/>
    <s v="No"/>
    <s v="Yes"/>
    <s v="No"/>
    <s v="No"/>
    <s v="No"/>
    <s v="No"/>
    <s v="No"/>
    <s v="No"/>
    <x v="0"/>
    <s v="Large Cell"/>
    <x v="2"/>
    <n v="6.8"/>
    <s v="Yes"/>
    <s v="CT Scan"/>
    <s v="Immunotherapy"/>
    <n v="32"/>
    <s v="No"/>
  </r>
  <r>
    <s v="LC-0297"/>
    <n v="2023"/>
    <d v="2023-02-10T00:00:00"/>
    <s v="South-East Asia"/>
    <s v="Thailand"/>
    <n v="47"/>
    <x v="0"/>
    <x v="1"/>
    <n v="17"/>
    <n v="6"/>
    <x v="0"/>
    <x v="0"/>
    <x v="0"/>
    <x v="1"/>
    <x v="1"/>
    <n v="27.7"/>
    <x v="0"/>
    <s v="No"/>
    <x v="0"/>
    <x v="0"/>
    <x v="0"/>
    <s v="No Mutation"/>
    <s v="No"/>
    <s v="Yes"/>
    <s v="Yes"/>
    <s v="No"/>
    <s v="Yes"/>
    <s v="No"/>
    <s v="No"/>
    <s v="Yes"/>
    <s v="No"/>
    <s v="No"/>
    <x v="0"/>
    <s v="Squamous Cell"/>
    <x v="2"/>
    <n v="4.7"/>
    <s v="No"/>
    <s v="PET Scan"/>
    <s v="Chemotherapy"/>
    <n v="29"/>
    <s v="No"/>
  </r>
  <r>
    <s v="LC-0298"/>
    <n v="2020"/>
    <d v="2020-07-23T00:00:00"/>
    <s v="Western Pacific"/>
    <s v="Australia"/>
    <n v="53"/>
    <x v="0"/>
    <x v="2"/>
    <n v="0"/>
    <n v="0"/>
    <x v="1"/>
    <x v="1"/>
    <x v="0"/>
    <x v="0"/>
    <x v="2"/>
    <n v="19.899999999999999"/>
    <x v="1"/>
    <s v="No"/>
    <x v="0"/>
    <x v="0"/>
    <x v="0"/>
    <s v="No Mutation"/>
    <s v="Yes"/>
    <s v="No"/>
    <s v="Yes"/>
    <s v="No"/>
    <s v="Yes"/>
    <s v="No"/>
    <s v="No"/>
    <s v="No"/>
    <s v="No"/>
    <s v="No"/>
    <x v="0"/>
    <s v="Large Cell"/>
    <x v="1"/>
    <n v="1.8"/>
    <s v="No"/>
    <s v="PET Scan"/>
    <s v="Surgery"/>
    <n v="74"/>
    <s v="Yes"/>
  </r>
  <r>
    <s v="LC-0299"/>
    <n v="2019"/>
    <d v="2019-05-22T00:00:00"/>
    <s v="Eastern Mediterranean"/>
    <s v="Kuwait"/>
    <n v="68"/>
    <x v="1"/>
    <x v="2"/>
    <n v="0"/>
    <n v="0"/>
    <x v="0"/>
    <x v="0"/>
    <x v="0"/>
    <x v="2"/>
    <x v="0"/>
    <n v="27.7"/>
    <x v="1"/>
    <s v="No"/>
    <x v="0"/>
    <x v="0"/>
    <x v="0"/>
    <s v="HER2"/>
    <s v="No"/>
    <s v="No"/>
    <s v="No"/>
    <s v="No"/>
    <s v="No"/>
    <s v="Yes"/>
    <s v="No"/>
    <s v="Yes"/>
    <s v="No"/>
    <s v="No"/>
    <x v="0"/>
    <s v="Squamous Cell"/>
    <x v="3"/>
    <n v="3.7"/>
    <s v="No"/>
    <s v="PET Scan"/>
    <s v="Chemotherapy"/>
    <n v="35"/>
    <s v="Yes"/>
  </r>
  <r>
    <s v="LC-0300"/>
    <n v="2018"/>
    <d v="2018-06-16T00:00:00"/>
    <s v="Europe"/>
    <s v="Netherlands"/>
    <n v="52"/>
    <x v="1"/>
    <x v="0"/>
    <n v="26"/>
    <n v="26"/>
    <x v="0"/>
    <x v="1"/>
    <x v="0"/>
    <x v="0"/>
    <x v="1"/>
    <n v="23.5"/>
    <x v="2"/>
    <s v="No"/>
    <x v="0"/>
    <x v="0"/>
    <x v="0"/>
    <s v="No Mutation"/>
    <s v="Yes"/>
    <s v="Yes"/>
    <s v="Yes"/>
    <s v="Yes"/>
    <s v="No"/>
    <s v="Yes"/>
    <s v="Yes"/>
    <s v="Yes"/>
    <s v="No"/>
    <s v="Yes"/>
    <x v="1"/>
    <s v="Not Applicable"/>
    <x v="3"/>
    <n v="2.5"/>
    <s v="No"/>
    <s v="Chest X-Ray"/>
    <s v="Chemotherapy"/>
    <n v="39"/>
    <s v="Yes"/>
  </r>
  <r>
    <s v="LC-0301"/>
    <n v="2024"/>
    <d v="2024-09-12T00:00:00"/>
    <s v="Europe"/>
    <s v="Turkey"/>
    <n v="59"/>
    <x v="1"/>
    <x v="2"/>
    <n v="0"/>
    <n v="0"/>
    <x v="0"/>
    <x v="0"/>
    <x v="0"/>
    <x v="2"/>
    <x v="0"/>
    <n v="22"/>
    <x v="2"/>
    <s v="No"/>
    <x v="1"/>
    <x v="0"/>
    <x v="0"/>
    <s v="No Mutation"/>
    <s v="Yes"/>
    <s v="Yes"/>
    <s v="No"/>
    <s v="No"/>
    <s v="Yes"/>
    <s v="No"/>
    <s v="No"/>
    <s v="No"/>
    <s v="No"/>
    <s v="No"/>
    <x v="0"/>
    <s v="Adenocarcinoma"/>
    <x v="0"/>
    <n v="9.6999999999999993"/>
    <s v="Yes"/>
    <s v="PET Scan"/>
    <s v="Palliative Care"/>
    <n v="6"/>
    <s v="No"/>
  </r>
  <r>
    <s v="LC-0302"/>
    <n v="2021"/>
    <d v="2021-12-18T00:00:00"/>
    <s v="Western Pacific"/>
    <s v="Vietnam"/>
    <n v="56"/>
    <x v="1"/>
    <x v="1"/>
    <n v="10"/>
    <n v="17"/>
    <x v="1"/>
    <x v="0"/>
    <x v="0"/>
    <x v="2"/>
    <x v="1"/>
    <n v="32.200000000000003"/>
    <x v="2"/>
    <s v="No"/>
    <x v="1"/>
    <x v="0"/>
    <x v="0"/>
    <s v="No Mutation"/>
    <s v="No"/>
    <s v="Yes"/>
    <s v="No"/>
    <s v="No"/>
    <s v="Yes"/>
    <s v="No"/>
    <s v="Yes"/>
    <s v="No"/>
    <s v="No"/>
    <s v="No"/>
    <x v="0"/>
    <s v="Squamous Cell"/>
    <x v="1"/>
    <n v="1.8"/>
    <s v="No"/>
    <s v="CT Scan"/>
    <s v="Surgery"/>
    <n v="42"/>
    <s v="Yes"/>
  </r>
  <r>
    <s v="LC-0303"/>
    <n v="2016"/>
    <d v="2016-06-23T00:00:00"/>
    <s v="Europe"/>
    <s v="Poland"/>
    <n v="61"/>
    <x v="1"/>
    <x v="2"/>
    <n v="0"/>
    <n v="0"/>
    <x v="0"/>
    <x v="0"/>
    <x v="0"/>
    <x v="1"/>
    <x v="2"/>
    <n v="29.2"/>
    <x v="2"/>
    <s v="No"/>
    <x v="0"/>
    <x v="0"/>
    <x v="1"/>
    <s v="KRAS"/>
    <s v="Yes"/>
    <s v="No"/>
    <s v="No"/>
    <s v="No"/>
    <s v="No"/>
    <s v="No"/>
    <s v="No"/>
    <s v="No"/>
    <s v="No"/>
    <s v="No"/>
    <x v="0"/>
    <s v="Adenocarcinoma"/>
    <x v="1"/>
    <n v="2"/>
    <s v="No"/>
    <s v="CT Scan"/>
    <s v="Surgery"/>
    <n v="54"/>
    <s v="No"/>
  </r>
  <r>
    <s v="LC-0304"/>
    <n v="2022"/>
    <d v="2022-05-10T00:00:00"/>
    <s v="Africa"/>
    <s v="Ethiopia"/>
    <n v="45"/>
    <x v="1"/>
    <x v="2"/>
    <n v="0"/>
    <n v="0"/>
    <x v="1"/>
    <x v="1"/>
    <x v="1"/>
    <x v="1"/>
    <x v="0"/>
    <n v="23.7"/>
    <x v="1"/>
    <s v="Yes"/>
    <x v="1"/>
    <x v="0"/>
    <x v="0"/>
    <s v="No Mutation"/>
    <s v="Yes"/>
    <s v="Yes"/>
    <s v="No"/>
    <s v="No"/>
    <s v="No"/>
    <s v="Yes"/>
    <s v="No"/>
    <s v="No"/>
    <s v="No"/>
    <s v="No"/>
    <x v="0"/>
    <s v="Adenocarcinoma"/>
    <x v="3"/>
    <n v="2.7"/>
    <s v="No"/>
    <s v="Biopsy"/>
    <s v="Surgery + Chemotherapy"/>
    <n v="12"/>
    <s v="Yes"/>
  </r>
  <r>
    <s v="LC-0305"/>
    <n v="2021"/>
    <d v="2021-04-04T00:00:00"/>
    <s v="Western Pacific"/>
    <s v="Australia"/>
    <n v="76"/>
    <x v="1"/>
    <x v="2"/>
    <n v="0"/>
    <n v="0"/>
    <x v="0"/>
    <x v="1"/>
    <x v="0"/>
    <x v="0"/>
    <x v="1"/>
    <n v="24.9"/>
    <x v="0"/>
    <s v="No"/>
    <x v="0"/>
    <x v="0"/>
    <x v="0"/>
    <s v="No Mutation"/>
    <s v="No"/>
    <s v="Yes"/>
    <s v="No"/>
    <s v="No"/>
    <s v="Yes"/>
    <s v="No"/>
    <s v="No"/>
    <s v="No"/>
    <s v="No"/>
    <s v="No"/>
    <x v="0"/>
    <s v="Adenocarcinoma"/>
    <x v="2"/>
    <n v="4.4000000000000004"/>
    <s v="Yes"/>
    <s v="Chest X-Ray"/>
    <s v="Immunotherapy"/>
    <n v="18"/>
    <s v="No"/>
  </r>
  <r>
    <s v="LC-0306"/>
    <n v="2024"/>
    <d v="2024-06-04T00:00:00"/>
    <s v="Europe"/>
    <s v="Netherlands"/>
    <n v="68"/>
    <x v="0"/>
    <x v="2"/>
    <n v="0"/>
    <n v="0"/>
    <x v="0"/>
    <x v="0"/>
    <x v="0"/>
    <x v="1"/>
    <x v="0"/>
    <n v="25.2"/>
    <x v="2"/>
    <s v="No"/>
    <x v="0"/>
    <x v="0"/>
    <x v="0"/>
    <s v="No Mutation"/>
    <s v="No"/>
    <s v="No"/>
    <s v="Yes"/>
    <s v="No"/>
    <s v="No"/>
    <s v="No"/>
    <s v="No"/>
    <s v="No"/>
    <s v="No"/>
    <s v="No"/>
    <x v="0"/>
    <s v="Squamous Cell"/>
    <x v="3"/>
    <n v="3.6"/>
    <s v="Yes"/>
    <s v="CT Scan"/>
    <s v="Targeted Therapy"/>
    <n v="54"/>
    <s v="Yes"/>
  </r>
  <r>
    <s v="LC-0307"/>
    <n v="2021"/>
    <d v="2021-12-06T00:00:00"/>
    <s v="Americas"/>
    <s v="Mexico"/>
    <n v="53"/>
    <x v="0"/>
    <x v="0"/>
    <n v="7"/>
    <n v="31"/>
    <x v="0"/>
    <x v="0"/>
    <x v="0"/>
    <x v="0"/>
    <x v="1"/>
    <n v="23.7"/>
    <x v="0"/>
    <s v="Yes"/>
    <x v="0"/>
    <x v="0"/>
    <x v="0"/>
    <s v="No Mutation"/>
    <s v="Yes"/>
    <s v="Yes"/>
    <s v="No"/>
    <s v="No"/>
    <s v="Yes"/>
    <s v="No"/>
    <s v="Yes"/>
    <s v="Yes"/>
    <s v="No"/>
    <s v="No"/>
    <x v="0"/>
    <s v="Adenocarcinoma"/>
    <x v="3"/>
    <n v="5.4"/>
    <s v="No"/>
    <s v="Biopsy"/>
    <s v="Surgery"/>
    <n v="29"/>
    <s v="No"/>
  </r>
  <r>
    <s v="LC-0308"/>
    <n v="2017"/>
    <d v="2017-04-24T00:00:00"/>
    <s v="Africa"/>
    <s v="Morocco"/>
    <n v="60"/>
    <x v="1"/>
    <x v="1"/>
    <n v="17"/>
    <n v="11"/>
    <x v="0"/>
    <x v="0"/>
    <x v="1"/>
    <x v="0"/>
    <x v="0"/>
    <n v="30.8"/>
    <x v="0"/>
    <s v="Yes"/>
    <x v="1"/>
    <x v="1"/>
    <x v="0"/>
    <s v="TP53"/>
    <s v="Yes"/>
    <s v="Yes"/>
    <s v="No"/>
    <s v="No"/>
    <s v="No"/>
    <s v="No"/>
    <s v="Yes"/>
    <s v="No"/>
    <s v="No"/>
    <s v="No"/>
    <x v="0"/>
    <s v="Adenocarcinoma"/>
    <x v="0"/>
    <n v="8.9"/>
    <s v="Yes"/>
    <s v="Bronchoscopy"/>
    <s v="Immunotherapy"/>
    <n v="3"/>
    <s v="No"/>
  </r>
  <r>
    <s v="LC-0309"/>
    <n v="2019"/>
    <d v="2019-05-24T00:00:00"/>
    <s v="Europe"/>
    <s v="Sweden"/>
    <n v="58"/>
    <x v="1"/>
    <x v="2"/>
    <n v="0"/>
    <n v="0"/>
    <x v="0"/>
    <x v="1"/>
    <x v="0"/>
    <x v="0"/>
    <x v="1"/>
    <n v="31"/>
    <x v="2"/>
    <s v="No"/>
    <x v="0"/>
    <x v="0"/>
    <x v="0"/>
    <s v="RET"/>
    <s v="No"/>
    <s v="No"/>
    <s v="No"/>
    <s v="No"/>
    <s v="No"/>
    <s v="No"/>
    <s v="Yes"/>
    <s v="No"/>
    <s v="Yes"/>
    <s v="No"/>
    <x v="0"/>
    <s v="Adenocarcinoma"/>
    <x v="1"/>
    <n v="2.1"/>
    <s v="No"/>
    <s v="CT Scan"/>
    <s v="Radiotherapy"/>
    <n v="33"/>
    <s v="Yes"/>
  </r>
  <r>
    <s v="LC-0310"/>
    <n v="2021"/>
    <d v="2021-09-20T00:00:00"/>
    <s v="South-East Asia"/>
    <s v="Myanmar"/>
    <n v="51"/>
    <x v="0"/>
    <x v="2"/>
    <n v="0"/>
    <n v="0"/>
    <x v="0"/>
    <x v="0"/>
    <x v="0"/>
    <x v="1"/>
    <x v="2"/>
    <n v="26.3"/>
    <x v="2"/>
    <s v="No"/>
    <x v="0"/>
    <x v="0"/>
    <x v="0"/>
    <s v="No Mutation"/>
    <s v="Yes"/>
    <s v="Yes"/>
    <s v="No"/>
    <s v="Yes"/>
    <s v="Yes"/>
    <s v="Yes"/>
    <s v="No"/>
    <s v="No"/>
    <s v="No"/>
    <s v="No"/>
    <x v="0"/>
    <s v="Large Cell"/>
    <x v="1"/>
    <n v="0.9"/>
    <s v="No"/>
    <s v="Chest X-Ray"/>
    <s v="Surgery"/>
    <n v="52"/>
    <s v="Yes"/>
  </r>
  <r>
    <s v="LC-0311"/>
    <n v="2018"/>
    <d v="2018-02-27T00:00:00"/>
    <s v="South-East Asia"/>
    <s v="Thailand"/>
    <n v="62"/>
    <x v="1"/>
    <x v="2"/>
    <n v="0"/>
    <n v="0"/>
    <x v="1"/>
    <x v="0"/>
    <x v="1"/>
    <x v="1"/>
    <x v="0"/>
    <n v="31"/>
    <x v="0"/>
    <s v="No"/>
    <x v="0"/>
    <x v="0"/>
    <x v="0"/>
    <s v="KRAS"/>
    <s v="No"/>
    <s v="No"/>
    <s v="No"/>
    <s v="No"/>
    <s v="Yes"/>
    <s v="No"/>
    <s v="No"/>
    <s v="No"/>
    <s v="No"/>
    <s v="No"/>
    <x v="0"/>
    <s v="Adenocarcinoma"/>
    <x v="1"/>
    <n v="2.1"/>
    <s v="No"/>
    <s v="LDCT Screening"/>
    <s v="Surgery"/>
    <n v="80"/>
    <s v="No"/>
  </r>
  <r>
    <s v="LC-0312"/>
    <n v="2020"/>
    <d v="2020-05-08T00:00:00"/>
    <s v="Europe"/>
    <s v="Russia"/>
    <n v="77"/>
    <x v="0"/>
    <x v="0"/>
    <n v="25"/>
    <n v="22"/>
    <x v="1"/>
    <x v="0"/>
    <x v="0"/>
    <x v="2"/>
    <x v="0"/>
    <n v="28.1"/>
    <x v="0"/>
    <s v="Yes"/>
    <x v="0"/>
    <x v="0"/>
    <x v="0"/>
    <s v="No Mutation"/>
    <s v="Yes"/>
    <s v="Yes"/>
    <s v="Yes"/>
    <s v="No"/>
    <s v="No"/>
    <s v="Yes"/>
    <s v="No"/>
    <s v="No"/>
    <s v="No"/>
    <s v="No"/>
    <x v="1"/>
    <s v="Not Applicable"/>
    <x v="0"/>
    <n v="8"/>
    <s v="Yes"/>
    <s v="Biopsy"/>
    <s v="Immunotherapy"/>
    <n v="13"/>
    <s v="Yes"/>
  </r>
  <r>
    <s v="LC-0313"/>
    <n v="2025"/>
    <d v="2025-03-10T00:00:00"/>
    <s v="Americas"/>
    <s v="USA"/>
    <n v="59"/>
    <x v="1"/>
    <x v="2"/>
    <n v="0"/>
    <n v="0"/>
    <x v="0"/>
    <x v="0"/>
    <x v="1"/>
    <x v="2"/>
    <x v="0"/>
    <n v="28.3"/>
    <x v="2"/>
    <s v="No"/>
    <x v="1"/>
    <x v="0"/>
    <x v="1"/>
    <s v="EGFR"/>
    <s v="Yes"/>
    <s v="No"/>
    <s v="No"/>
    <s v="No"/>
    <s v="Yes"/>
    <s v="Yes"/>
    <s v="No"/>
    <s v="No"/>
    <s v="No"/>
    <s v="No"/>
    <x v="0"/>
    <s v="Large Cell"/>
    <x v="2"/>
    <n v="6.8"/>
    <s v="No"/>
    <s v="PET Scan"/>
    <s v="Targeted Therapy"/>
    <n v="13"/>
    <s v="No"/>
  </r>
  <r>
    <s v="LC-0314"/>
    <n v="2017"/>
    <d v="2017-12-18T00:00:00"/>
    <s v="Africa"/>
    <s v="Kenya"/>
    <n v="69"/>
    <x v="1"/>
    <x v="2"/>
    <n v="0"/>
    <n v="0"/>
    <x v="0"/>
    <x v="1"/>
    <x v="0"/>
    <x v="1"/>
    <x v="0"/>
    <n v="29.2"/>
    <x v="0"/>
    <s v="Yes"/>
    <x v="0"/>
    <x v="0"/>
    <x v="0"/>
    <s v="No Mutation"/>
    <s v="Yes"/>
    <s v="No"/>
    <s v="No"/>
    <s v="No"/>
    <s v="No"/>
    <s v="No"/>
    <s v="No"/>
    <s v="No"/>
    <s v="No"/>
    <s v="No"/>
    <x v="0"/>
    <s v="Adenocarcinoma"/>
    <x v="3"/>
    <n v="4.4000000000000004"/>
    <s v="No"/>
    <s v="Bronchoscopy"/>
    <s v="Radiotherapy"/>
    <n v="30"/>
    <s v="Yes"/>
  </r>
  <r>
    <s v="LC-0315"/>
    <n v="2022"/>
    <d v="2022-05-02T00:00:00"/>
    <s v="Eastern Mediterranean"/>
    <s v="Pakistan"/>
    <n v="41"/>
    <x v="0"/>
    <x v="2"/>
    <n v="0"/>
    <n v="0"/>
    <x v="1"/>
    <x v="0"/>
    <x v="0"/>
    <x v="0"/>
    <x v="2"/>
    <n v="22.5"/>
    <x v="2"/>
    <s v="No"/>
    <x v="0"/>
    <x v="0"/>
    <x v="1"/>
    <s v="No Mutation"/>
    <s v="Yes"/>
    <s v="Yes"/>
    <s v="No"/>
    <s v="No"/>
    <s v="Yes"/>
    <s v="No"/>
    <s v="Yes"/>
    <s v="Yes"/>
    <s v="No"/>
    <s v="No"/>
    <x v="0"/>
    <s v="Adenocarcinoma"/>
    <x v="0"/>
    <n v="10.5"/>
    <s v="Yes"/>
    <s v="Biopsy"/>
    <s v="Chemotherapy"/>
    <n v="4"/>
    <s v="No"/>
  </r>
  <r>
    <s v="LC-0316"/>
    <n v="2024"/>
    <d v="2024-09-10T00:00:00"/>
    <s v="Western Pacific"/>
    <s v="South Korea"/>
    <n v="60"/>
    <x v="1"/>
    <x v="2"/>
    <n v="0"/>
    <n v="0"/>
    <x v="1"/>
    <x v="1"/>
    <x v="0"/>
    <x v="1"/>
    <x v="1"/>
    <n v="26.4"/>
    <x v="2"/>
    <s v="No"/>
    <x v="0"/>
    <x v="0"/>
    <x v="0"/>
    <s v="EGFR"/>
    <s v="Yes"/>
    <s v="No"/>
    <s v="No"/>
    <s v="No"/>
    <s v="Yes"/>
    <s v="Yes"/>
    <s v="No"/>
    <s v="Yes"/>
    <s v="No"/>
    <s v="No"/>
    <x v="0"/>
    <s v="Adenocarcinoma"/>
    <x v="3"/>
    <n v="3.8"/>
    <s v="No"/>
    <s v="CT Scan"/>
    <s v="Radiotherapy"/>
    <n v="24"/>
    <s v="No"/>
  </r>
  <r>
    <s v="LC-0317"/>
    <n v="2016"/>
    <d v="2016-11-28T00:00:00"/>
    <s v="South-East Asia"/>
    <s v="Maldives"/>
    <n v="45"/>
    <x v="0"/>
    <x v="2"/>
    <n v="0"/>
    <n v="0"/>
    <x v="1"/>
    <x v="0"/>
    <x v="1"/>
    <x v="2"/>
    <x v="2"/>
    <n v="22.9"/>
    <x v="2"/>
    <s v="No"/>
    <x v="0"/>
    <x v="0"/>
    <x v="0"/>
    <s v="No Mutation"/>
    <s v="No"/>
    <s v="No"/>
    <s v="No"/>
    <s v="No"/>
    <s v="Yes"/>
    <s v="No"/>
    <s v="No"/>
    <s v="Yes"/>
    <s v="No"/>
    <s v="No"/>
    <x v="0"/>
    <s v="Adenocarcinoma"/>
    <x v="3"/>
    <n v="5.3"/>
    <s v="No"/>
    <s v="Biopsy"/>
    <s v="Surgery + Chemotherapy"/>
    <n v="33"/>
    <s v="No"/>
  </r>
  <r>
    <s v="LC-0318"/>
    <n v="2018"/>
    <d v="2018-02-28T00:00:00"/>
    <s v="Americas"/>
    <s v="USA"/>
    <n v="53"/>
    <x v="1"/>
    <x v="1"/>
    <n v="15"/>
    <n v="3"/>
    <x v="0"/>
    <x v="0"/>
    <x v="0"/>
    <x v="2"/>
    <x v="0"/>
    <n v="29"/>
    <x v="2"/>
    <s v="Yes"/>
    <x v="0"/>
    <x v="1"/>
    <x v="0"/>
    <s v="KRAS"/>
    <s v="No"/>
    <s v="Yes"/>
    <s v="No"/>
    <s v="Yes"/>
    <s v="Yes"/>
    <s v="No"/>
    <s v="No"/>
    <s v="No"/>
    <s v="No"/>
    <s v="No"/>
    <x v="0"/>
    <s v="Large Cell"/>
    <x v="0"/>
    <n v="8"/>
    <s v="Yes"/>
    <s v="PET Scan"/>
    <s v="Palliative Care"/>
    <n v="5"/>
    <s v="No"/>
  </r>
  <r>
    <s v="LC-0319"/>
    <n v="2016"/>
    <d v="2016-10-10T00:00:00"/>
    <s v="Western Pacific"/>
    <s v="New Zealand"/>
    <n v="61"/>
    <x v="1"/>
    <x v="2"/>
    <n v="0"/>
    <n v="0"/>
    <x v="1"/>
    <x v="0"/>
    <x v="0"/>
    <x v="2"/>
    <x v="2"/>
    <n v="23.7"/>
    <x v="1"/>
    <s v="No"/>
    <x v="0"/>
    <x v="0"/>
    <x v="0"/>
    <s v="No Mutation"/>
    <s v="No"/>
    <s v="No"/>
    <s v="No"/>
    <s v="No"/>
    <s v="No"/>
    <s v="No"/>
    <s v="No"/>
    <s v="No"/>
    <s v="No"/>
    <s v="No"/>
    <x v="0"/>
    <s v="Squamous Cell"/>
    <x v="1"/>
    <n v="2.2999999999999998"/>
    <s v="No"/>
    <s v="CT Scan"/>
    <s v="Immunotherapy"/>
    <n v="52"/>
    <s v="Yes"/>
  </r>
  <r>
    <s v="LC-0320"/>
    <n v="2023"/>
    <d v="2023-08-15T00:00:00"/>
    <s v="Western Pacific"/>
    <s v="Vietnam"/>
    <n v="71"/>
    <x v="0"/>
    <x v="2"/>
    <n v="0"/>
    <n v="0"/>
    <x v="0"/>
    <x v="0"/>
    <x v="0"/>
    <x v="1"/>
    <x v="2"/>
    <n v="26.7"/>
    <x v="1"/>
    <s v="No"/>
    <x v="0"/>
    <x v="0"/>
    <x v="0"/>
    <s v="No Mutation"/>
    <s v="Yes"/>
    <s v="No"/>
    <s v="No"/>
    <s v="No"/>
    <s v="No"/>
    <s v="No"/>
    <s v="No"/>
    <s v="Yes"/>
    <s v="No"/>
    <s v="Yes"/>
    <x v="0"/>
    <s v="Adenocarcinoma"/>
    <x v="2"/>
    <n v="4.9000000000000004"/>
    <s v="No"/>
    <s v="CT Scan"/>
    <s v="Chemotherapy"/>
    <n v="16"/>
    <s v="No"/>
  </r>
  <r>
    <s v="LC-0321"/>
    <n v="2022"/>
    <d v="2022-03-02T00:00:00"/>
    <s v="Europe"/>
    <s v="Spain"/>
    <n v="57"/>
    <x v="1"/>
    <x v="2"/>
    <n v="0"/>
    <n v="0"/>
    <x v="1"/>
    <x v="1"/>
    <x v="1"/>
    <x v="1"/>
    <x v="2"/>
    <n v="24.9"/>
    <x v="1"/>
    <s v="No"/>
    <x v="0"/>
    <x v="0"/>
    <x v="0"/>
    <s v="ALK"/>
    <s v="No"/>
    <s v="No"/>
    <s v="No"/>
    <s v="No"/>
    <s v="Yes"/>
    <s v="Yes"/>
    <s v="No"/>
    <s v="Yes"/>
    <s v="No"/>
    <s v="No"/>
    <x v="0"/>
    <s v="Adenocarcinoma"/>
    <x v="2"/>
    <n v="3"/>
    <s v="No"/>
    <s v="Bronchoscopy"/>
    <s v="Targeted Therapy"/>
    <n v="12"/>
    <s v="No"/>
  </r>
  <r>
    <s v="LC-0322"/>
    <n v="2019"/>
    <d v="2019-08-04T00:00:00"/>
    <s v="Western Pacific"/>
    <s v="Japan"/>
    <n v="85"/>
    <x v="1"/>
    <x v="0"/>
    <n v="17"/>
    <n v="33"/>
    <x v="0"/>
    <x v="0"/>
    <x v="0"/>
    <x v="1"/>
    <x v="0"/>
    <n v="25.2"/>
    <x v="2"/>
    <s v="No"/>
    <x v="0"/>
    <x v="0"/>
    <x v="0"/>
    <s v="TP53"/>
    <s v="Yes"/>
    <s v="Yes"/>
    <s v="Yes"/>
    <s v="Yes"/>
    <s v="Yes"/>
    <s v="Yes"/>
    <s v="Yes"/>
    <s v="Yes"/>
    <s v="No"/>
    <s v="No"/>
    <x v="0"/>
    <s v="Adenocarcinoma"/>
    <x v="1"/>
    <n v="0.9"/>
    <s v="No"/>
    <s v="CT Scan"/>
    <s v="Surgery"/>
    <n v="86"/>
    <s v="Yes"/>
  </r>
  <r>
    <s v="LC-0323"/>
    <n v="2019"/>
    <d v="2019-07-16T00:00:00"/>
    <s v="Eastern Mediterranean"/>
    <s v="Iran"/>
    <n v="61"/>
    <x v="0"/>
    <x v="2"/>
    <n v="0"/>
    <n v="0"/>
    <x v="0"/>
    <x v="0"/>
    <x v="1"/>
    <x v="1"/>
    <x v="2"/>
    <n v="32.9"/>
    <x v="1"/>
    <s v="Yes"/>
    <x v="0"/>
    <x v="0"/>
    <x v="0"/>
    <s v="ALK"/>
    <s v="No"/>
    <s v="No"/>
    <s v="No"/>
    <s v="Yes"/>
    <s v="No"/>
    <s v="No"/>
    <s v="No"/>
    <s v="No"/>
    <s v="No"/>
    <s v="No"/>
    <x v="0"/>
    <s v="Large Cell"/>
    <x v="3"/>
    <n v="4.5"/>
    <s v="No"/>
    <s v="PET Scan"/>
    <s v="Surgery"/>
    <n v="29"/>
    <s v="Yes"/>
  </r>
  <r>
    <s v="LC-0324"/>
    <n v="2019"/>
    <d v="2019-10-21T00:00:00"/>
    <s v="Western Pacific"/>
    <s v="China"/>
    <n v="44"/>
    <x v="1"/>
    <x v="0"/>
    <n v="35"/>
    <n v="21"/>
    <x v="1"/>
    <x v="0"/>
    <x v="0"/>
    <x v="0"/>
    <x v="2"/>
    <n v="36.1"/>
    <x v="1"/>
    <s v="Yes"/>
    <x v="0"/>
    <x v="1"/>
    <x v="0"/>
    <s v="KRAS"/>
    <s v="Yes"/>
    <s v="No"/>
    <s v="Yes"/>
    <s v="Yes"/>
    <s v="Yes"/>
    <s v="No"/>
    <s v="Yes"/>
    <s v="No"/>
    <s v="No"/>
    <s v="Yes"/>
    <x v="0"/>
    <s v="Adenocarcinoma"/>
    <x v="0"/>
    <n v="8.4"/>
    <s v="Yes"/>
    <s v="Bronchoscopy"/>
    <s v="Palliative Care"/>
    <n v="13"/>
    <s v="No"/>
  </r>
  <r>
    <s v="LC-0325"/>
    <n v="2021"/>
    <d v="2021-03-05T00:00:00"/>
    <s v="Western Pacific"/>
    <s v="Mongolia"/>
    <n v="69"/>
    <x v="1"/>
    <x v="2"/>
    <n v="0"/>
    <n v="0"/>
    <x v="1"/>
    <x v="0"/>
    <x v="0"/>
    <x v="1"/>
    <x v="0"/>
    <n v="19.100000000000001"/>
    <x v="2"/>
    <s v="No"/>
    <x v="0"/>
    <x v="0"/>
    <x v="0"/>
    <s v="EGFR"/>
    <s v="No"/>
    <s v="Yes"/>
    <s v="No"/>
    <s v="No"/>
    <s v="Yes"/>
    <s v="No"/>
    <s v="No"/>
    <s v="No"/>
    <s v="No"/>
    <s v="No"/>
    <x v="0"/>
    <s v="Large Cell"/>
    <x v="1"/>
    <n v="2.6"/>
    <s v="No"/>
    <s v="CT Scan"/>
    <s v="Surgery"/>
    <n v="73"/>
    <s v="Yes"/>
  </r>
  <r>
    <s v="LC-0326"/>
    <n v="2015"/>
    <d v="2015-05-03T00:00:00"/>
    <s v="Europe"/>
    <s v="Italy"/>
    <n v="62"/>
    <x v="1"/>
    <x v="0"/>
    <n v="27"/>
    <n v="27"/>
    <x v="1"/>
    <x v="1"/>
    <x v="0"/>
    <x v="1"/>
    <x v="2"/>
    <n v="30.5"/>
    <x v="0"/>
    <s v="No"/>
    <x v="0"/>
    <x v="0"/>
    <x v="0"/>
    <s v="No Mutation"/>
    <s v="Yes"/>
    <s v="No"/>
    <s v="No"/>
    <s v="No"/>
    <s v="Yes"/>
    <s v="Yes"/>
    <s v="No"/>
    <s v="Yes"/>
    <s v="No"/>
    <s v="No"/>
    <x v="0"/>
    <s v="Large Cell"/>
    <x v="2"/>
    <n v="6.1"/>
    <s v="No"/>
    <s v="MRI"/>
    <s v="Chemotherapy"/>
    <n v="7"/>
    <s v="No"/>
  </r>
  <r>
    <s v="LC-0327"/>
    <n v="2016"/>
    <d v="2016-02-18T00:00:00"/>
    <s v="Western Pacific"/>
    <s v="Malaysia"/>
    <n v="64"/>
    <x v="1"/>
    <x v="2"/>
    <n v="0"/>
    <n v="0"/>
    <x v="1"/>
    <x v="0"/>
    <x v="1"/>
    <x v="0"/>
    <x v="2"/>
    <n v="26.6"/>
    <x v="2"/>
    <s v="No"/>
    <x v="0"/>
    <x v="0"/>
    <x v="0"/>
    <s v="No Mutation"/>
    <s v="No"/>
    <s v="No"/>
    <s v="Yes"/>
    <s v="No"/>
    <s v="Yes"/>
    <s v="Yes"/>
    <s v="No"/>
    <s v="No"/>
    <s v="No"/>
    <s v="No"/>
    <x v="0"/>
    <s v="Adenocarcinoma"/>
    <x v="2"/>
    <n v="5.2"/>
    <s v="No"/>
    <s v="Bronchoscopy"/>
    <s v="Chemotherapy"/>
    <n v="30"/>
    <s v="No"/>
  </r>
  <r>
    <s v="LC-0328"/>
    <n v="2015"/>
    <d v="2015-10-20T00:00:00"/>
    <s v="Eastern Mediterranean"/>
    <s v="Kuwait"/>
    <n v="58"/>
    <x v="1"/>
    <x v="1"/>
    <n v="23"/>
    <n v="4"/>
    <x v="0"/>
    <x v="0"/>
    <x v="0"/>
    <x v="2"/>
    <x v="2"/>
    <n v="21.3"/>
    <x v="1"/>
    <s v="No"/>
    <x v="0"/>
    <x v="0"/>
    <x v="0"/>
    <s v="TP53"/>
    <s v="Yes"/>
    <s v="Yes"/>
    <s v="No"/>
    <s v="No"/>
    <s v="No"/>
    <s v="Yes"/>
    <s v="No"/>
    <s v="No"/>
    <s v="No"/>
    <s v="No"/>
    <x v="0"/>
    <s v="Adenocarcinoma"/>
    <x v="2"/>
    <n v="4.2"/>
    <s v="No"/>
    <s v="CT Scan"/>
    <s v="Chemo + Radiation"/>
    <n v="24"/>
    <s v="No"/>
  </r>
  <r>
    <s v="LC-0329"/>
    <n v="2018"/>
    <d v="2018-04-25T00:00:00"/>
    <s v="Western Pacific"/>
    <s v="Singapore"/>
    <n v="71"/>
    <x v="1"/>
    <x v="0"/>
    <n v="28"/>
    <n v="43"/>
    <x v="0"/>
    <x v="0"/>
    <x v="0"/>
    <x v="0"/>
    <x v="2"/>
    <n v="28"/>
    <x v="1"/>
    <s v="No"/>
    <x v="0"/>
    <x v="0"/>
    <x v="0"/>
    <s v="No Mutation"/>
    <s v="No"/>
    <s v="Yes"/>
    <s v="No"/>
    <s v="No"/>
    <s v="Yes"/>
    <s v="No"/>
    <s v="Yes"/>
    <s v="No"/>
    <s v="No"/>
    <s v="No"/>
    <x v="1"/>
    <s v="Not Applicable"/>
    <x v="2"/>
    <n v="5.5"/>
    <s v="No"/>
    <s v="Chest X-Ray"/>
    <s v="Chemotherapy"/>
    <n v="18"/>
    <s v="No"/>
  </r>
  <r>
    <s v="LC-0330"/>
    <n v="2025"/>
    <d v="2025-07-15T00:00:00"/>
    <s v="Western Pacific"/>
    <s v="New Zealand"/>
    <n v="57"/>
    <x v="1"/>
    <x v="0"/>
    <n v="34"/>
    <n v="24"/>
    <x v="1"/>
    <x v="0"/>
    <x v="1"/>
    <x v="1"/>
    <x v="1"/>
    <n v="20.399999999999999"/>
    <x v="2"/>
    <s v="Yes"/>
    <x v="0"/>
    <x v="0"/>
    <x v="0"/>
    <s v="TP53"/>
    <s v="Yes"/>
    <s v="No"/>
    <s v="No"/>
    <s v="Yes"/>
    <s v="Yes"/>
    <s v="No"/>
    <s v="Yes"/>
    <s v="Yes"/>
    <s v="No"/>
    <s v="No"/>
    <x v="0"/>
    <s v="Squamous Cell"/>
    <x v="0"/>
    <n v="8.4"/>
    <s v="Yes"/>
    <s v="CT Scan"/>
    <s v="Chemotherapy"/>
    <n v="3"/>
    <s v="No"/>
  </r>
  <r>
    <s v="LC-0331"/>
    <n v="2016"/>
    <d v="2016-05-28T00:00:00"/>
    <s v="Americas"/>
    <s v="Venezuela"/>
    <n v="52"/>
    <x v="0"/>
    <x v="2"/>
    <n v="0"/>
    <n v="0"/>
    <x v="0"/>
    <x v="1"/>
    <x v="0"/>
    <x v="0"/>
    <x v="2"/>
    <n v="28.9"/>
    <x v="2"/>
    <s v="No"/>
    <x v="0"/>
    <x v="1"/>
    <x v="0"/>
    <s v="No Mutation"/>
    <s v="No"/>
    <s v="No"/>
    <s v="No"/>
    <s v="No"/>
    <s v="Yes"/>
    <s v="No"/>
    <s v="No"/>
    <s v="No"/>
    <s v="No"/>
    <s v="No"/>
    <x v="0"/>
    <s v="Adenocarcinoma"/>
    <x v="3"/>
    <n v="4.2"/>
    <s v="No"/>
    <s v="MRI"/>
    <s v="Surgery"/>
    <n v="27"/>
    <s v="No"/>
  </r>
  <r>
    <s v="LC-0332"/>
    <n v="2020"/>
    <d v="2020-07-10T00:00:00"/>
    <s v="Africa"/>
    <s v="Uganda"/>
    <n v="51"/>
    <x v="1"/>
    <x v="0"/>
    <n v="29"/>
    <n v="19"/>
    <x v="0"/>
    <x v="1"/>
    <x v="0"/>
    <x v="1"/>
    <x v="2"/>
    <n v="27.1"/>
    <x v="0"/>
    <s v="Yes"/>
    <x v="0"/>
    <x v="0"/>
    <x v="0"/>
    <s v="KRAS"/>
    <s v="Yes"/>
    <s v="Yes"/>
    <s v="No"/>
    <s v="No"/>
    <s v="Yes"/>
    <s v="No"/>
    <s v="Yes"/>
    <s v="Yes"/>
    <s v="No"/>
    <s v="No"/>
    <x v="0"/>
    <s v="Squamous Cell"/>
    <x v="0"/>
    <n v="7.9"/>
    <s v="Yes"/>
    <s v="Biopsy"/>
    <s v="Palliative Care"/>
    <n v="15"/>
    <s v="No"/>
  </r>
  <r>
    <s v="LC-0333"/>
    <n v="2023"/>
    <d v="2023-10-02T00:00:00"/>
    <s v="Western Pacific"/>
    <s v="Mongolia"/>
    <n v="70"/>
    <x v="1"/>
    <x v="0"/>
    <n v="33"/>
    <n v="23"/>
    <x v="1"/>
    <x v="0"/>
    <x v="1"/>
    <x v="2"/>
    <x v="2"/>
    <n v="27.4"/>
    <x v="0"/>
    <s v="Yes"/>
    <x v="0"/>
    <x v="0"/>
    <x v="0"/>
    <s v="No Mutation"/>
    <s v="No"/>
    <s v="No"/>
    <s v="No"/>
    <s v="Yes"/>
    <s v="Yes"/>
    <s v="Yes"/>
    <s v="No"/>
    <s v="No"/>
    <s v="No"/>
    <s v="No"/>
    <x v="0"/>
    <s v="Adenocarcinoma"/>
    <x v="2"/>
    <n v="8.1999999999999993"/>
    <s v="No"/>
    <s v="CT Scan"/>
    <s v="Chemotherapy"/>
    <n v="13"/>
    <s v="No"/>
  </r>
  <r>
    <s v="LC-0334"/>
    <n v="2018"/>
    <d v="2018-12-04T00:00:00"/>
    <s v="Europe"/>
    <s v="Italy"/>
    <n v="74"/>
    <x v="1"/>
    <x v="1"/>
    <n v="11"/>
    <n v="23"/>
    <x v="1"/>
    <x v="0"/>
    <x v="0"/>
    <x v="2"/>
    <x v="0"/>
    <n v="27.4"/>
    <x v="0"/>
    <s v="No"/>
    <x v="0"/>
    <x v="0"/>
    <x v="0"/>
    <s v="ROS1"/>
    <s v="No"/>
    <s v="No"/>
    <s v="No"/>
    <s v="No"/>
    <s v="Yes"/>
    <s v="Yes"/>
    <s v="Yes"/>
    <s v="No"/>
    <s v="No"/>
    <s v="No"/>
    <x v="0"/>
    <s v="Adenocarcinoma"/>
    <x v="1"/>
    <n v="2.6"/>
    <s v="No"/>
    <s v="LDCT Screening"/>
    <s v="Surgery"/>
    <n v="43"/>
    <s v="No"/>
  </r>
  <r>
    <s v="LC-0335"/>
    <n v="2020"/>
    <d v="2020-11-07T00:00:00"/>
    <s v="Western Pacific"/>
    <s v="Philippines"/>
    <n v="74"/>
    <x v="1"/>
    <x v="2"/>
    <n v="0"/>
    <n v="0"/>
    <x v="0"/>
    <x v="0"/>
    <x v="1"/>
    <x v="0"/>
    <x v="2"/>
    <n v="29.5"/>
    <x v="2"/>
    <s v="No"/>
    <x v="0"/>
    <x v="0"/>
    <x v="0"/>
    <s v="ALK"/>
    <s v="Yes"/>
    <s v="No"/>
    <s v="Yes"/>
    <s v="No"/>
    <s v="No"/>
    <s v="No"/>
    <s v="No"/>
    <s v="No"/>
    <s v="No"/>
    <s v="No"/>
    <x v="0"/>
    <s v="Squamous Cell"/>
    <x v="2"/>
    <n v="5.7"/>
    <s v="No"/>
    <s v="PET Scan"/>
    <s v="Chemotherapy"/>
    <n v="13"/>
    <s v="No"/>
  </r>
  <r>
    <s v="LC-0336"/>
    <n v="2019"/>
    <d v="2019-11-03T00:00:00"/>
    <s v="Western Pacific"/>
    <s v="South Korea"/>
    <n v="66"/>
    <x v="0"/>
    <x v="2"/>
    <n v="0"/>
    <n v="0"/>
    <x v="0"/>
    <x v="1"/>
    <x v="0"/>
    <x v="1"/>
    <x v="2"/>
    <n v="22.8"/>
    <x v="0"/>
    <s v="No"/>
    <x v="0"/>
    <x v="0"/>
    <x v="0"/>
    <s v="KRAS"/>
    <s v="No"/>
    <s v="No"/>
    <s v="No"/>
    <s v="No"/>
    <s v="No"/>
    <s v="No"/>
    <s v="Yes"/>
    <s v="No"/>
    <s v="No"/>
    <s v="No"/>
    <x v="0"/>
    <s v="Adenocarcinoma"/>
    <x v="0"/>
    <n v="6"/>
    <s v="Yes"/>
    <s v="CT Scan"/>
    <s v="Chemo + Radiation"/>
    <n v="1"/>
    <s v="No"/>
  </r>
  <r>
    <s v="LC-0337"/>
    <n v="2017"/>
    <d v="2017-04-06T00:00:00"/>
    <s v="Eastern Mediterranean"/>
    <s v="Qatar"/>
    <n v="64"/>
    <x v="1"/>
    <x v="2"/>
    <n v="0"/>
    <n v="0"/>
    <x v="0"/>
    <x v="0"/>
    <x v="1"/>
    <x v="1"/>
    <x v="1"/>
    <n v="25.6"/>
    <x v="1"/>
    <s v="No"/>
    <x v="0"/>
    <x v="0"/>
    <x v="0"/>
    <s v="ALK"/>
    <s v="Yes"/>
    <s v="No"/>
    <s v="No"/>
    <s v="No"/>
    <s v="Yes"/>
    <s v="No"/>
    <s v="No"/>
    <s v="No"/>
    <s v="No"/>
    <s v="No"/>
    <x v="0"/>
    <s v="Adenocarcinoma"/>
    <x v="3"/>
    <n v="3.7"/>
    <s v="No"/>
    <s v="CT Scan"/>
    <s v="Targeted Therapy"/>
    <n v="31"/>
    <s v="No"/>
  </r>
  <r>
    <s v="LC-0338"/>
    <n v="2020"/>
    <d v="2020-02-06T00:00:00"/>
    <s v="Africa"/>
    <s v="Nigeria"/>
    <n v="72"/>
    <x v="1"/>
    <x v="2"/>
    <n v="0"/>
    <n v="0"/>
    <x v="1"/>
    <x v="1"/>
    <x v="0"/>
    <x v="0"/>
    <x v="2"/>
    <n v="28.3"/>
    <x v="1"/>
    <s v="No"/>
    <x v="0"/>
    <x v="0"/>
    <x v="0"/>
    <s v="No Mutation"/>
    <s v="Yes"/>
    <s v="No"/>
    <s v="No"/>
    <s v="No"/>
    <s v="Yes"/>
    <s v="No"/>
    <s v="No"/>
    <s v="No"/>
    <s v="No"/>
    <s v="No"/>
    <x v="0"/>
    <s v="Adenocarcinoma"/>
    <x v="2"/>
    <n v="3.1"/>
    <s v="Yes"/>
    <s v="Chest X-Ray"/>
    <s v="Chemotherapy"/>
    <n v="20"/>
    <s v="No"/>
  </r>
  <r>
    <s v="LC-0339"/>
    <n v="2025"/>
    <d v="2025-07-15T00:00:00"/>
    <s v="Europe"/>
    <s v="Sweden"/>
    <n v="54"/>
    <x v="1"/>
    <x v="2"/>
    <n v="0"/>
    <n v="0"/>
    <x v="1"/>
    <x v="0"/>
    <x v="0"/>
    <x v="1"/>
    <x v="2"/>
    <n v="24.3"/>
    <x v="1"/>
    <s v="No"/>
    <x v="0"/>
    <x v="1"/>
    <x v="0"/>
    <s v="EGFR"/>
    <s v="No"/>
    <s v="No"/>
    <s v="Yes"/>
    <s v="No"/>
    <s v="Yes"/>
    <s v="No"/>
    <s v="No"/>
    <s v="No"/>
    <s v="No"/>
    <s v="Yes"/>
    <x v="0"/>
    <s v="Adenocarcinoma"/>
    <x v="2"/>
    <n v="5.6"/>
    <s v="Yes"/>
    <s v="MRI"/>
    <s v="Chemo + Radiation"/>
    <n v="8"/>
    <s v="No"/>
  </r>
  <r>
    <s v="LC-0340"/>
    <n v="2022"/>
    <d v="2022-08-10T00:00:00"/>
    <s v="Western Pacific"/>
    <s v="China"/>
    <n v="54"/>
    <x v="1"/>
    <x v="1"/>
    <n v="12"/>
    <n v="10"/>
    <x v="1"/>
    <x v="0"/>
    <x v="0"/>
    <x v="1"/>
    <x v="2"/>
    <n v="22"/>
    <x v="0"/>
    <s v="Yes"/>
    <x v="0"/>
    <x v="0"/>
    <x v="0"/>
    <s v="ROS1"/>
    <s v="Yes"/>
    <s v="Yes"/>
    <s v="No"/>
    <s v="No"/>
    <s v="Yes"/>
    <s v="No"/>
    <s v="Yes"/>
    <s v="No"/>
    <s v="No"/>
    <s v="No"/>
    <x v="0"/>
    <s v="Adenocarcinoma"/>
    <x v="0"/>
    <n v="4.8"/>
    <s v="Yes"/>
    <s v="Biopsy"/>
    <s v="Immunotherapy"/>
    <n v="4"/>
    <s v="No"/>
  </r>
  <r>
    <s v="LC-0341"/>
    <n v="2021"/>
    <d v="2021-04-10T00:00:00"/>
    <s v="Europe"/>
    <s v="Spain"/>
    <n v="56"/>
    <x v="1"/>
    <x v="0"/>
    <n v="36"/>
    <n v="38"/>
    <x v="1"/>
    <x v="0"/>
    <x v="0"/>
    <x v="2"/>
    <x v="1"/>
    <n v="30.1"/>
    <x v="1"/>
    <s v="No"/>
    <x v="0"/>
    <x v="0"/>
    <x v="0"/>
    <s v="No Mutation"/>
    <s v="No"/>
    <s v="Yes"/>
    <s v="Yes"/>
    <s v="Yes"/>
    <s v="Yes"/>
    <s v="Yes"/>
    <s v="Yes"/>
    <s v="No"/>
    <s v="No"/>
    <s v="No"/>
    <x v="0"/>
    <s v="Adenocarcinoma"/>
    <x v="0"/>
    <n v="7"/>
    <s v="Yes"/>
    <s v="PET Scan"/>
    <s v="Chemotherapy"/>
    <n v="13"/>
    <s v="No"/>
  </r>
  <r>
    <s v="LC-0342"/>
    <n v="2015"/>
    <d v="2015-12-28T00:00:00"/>
    <s v="Western Pacific"/>
    <s v="New Zealand"/>
    <n v="65"/>
    <x v="1"/>
    <x v="2"/>
    <n v="0"/>
    <n v="0"/>
    <x v="1"/>
    <x v="0"/>
    <x v="0"/>
    <x v="1"/>
    <x v="1"/>
    <n v="30.6"/>
    <x v="2"/>
    <s v="No"/>
    <x v="0"/>
    <x v="0"/>
    <x v="0"/>
    <s v="HER2"/>
    <s v="Yes"/>
    <s v="No"/>
    <s v="No"/>
    <s v="No"/>
    <s v="Yes"/>
    <s v="No"/>
    <s v="No"/>
    <s v="No"/>
    <s v="No"/>
    <s v="No"/>
    <x v="0"/>
    <s v="Squamous Cell"/>
    <x v="3"/>
    <n v="2.5"/>
    <s v="No"/>
    <s v="Bronchoscopy"/>
    <s v="Surgery"/>
    <n v="53"/>
    <s v="No"/>
  </r>
  <r>
    <s v="LC-0343"/>
    <n v="2015"/>
    <d v="2015-02-22T00:00:00"/>
    <s v="Americas"/>
    <s v="Mexico"/>
    <n v="72"/>
    <x v="1"/>
    <x v="0"/>
    <n v="13"/>
    <n v="25"/>
    <x v="0"/>
    <x v="0"/>
    <x v="1"/>
    <x v="1"/>
    <x v="0"/>
    <n v="30.1"/>
    <x v="1"/>
    <s v="No"/>
    <x v="0"/>
    <x v="0"/>
    <x v="0"/>
    <s v="No Mutation"/>
    <s v="No"/>
    <s v="No"/>
    <s v="Yes"/>
    <s v="No"/>
    <s v="Yes"/>
    <s v="Yes"/>
    <s v="No"/>
    <s v="Yes"/>
    <s v="Yes"/>
    <s v="No"/>
    <x v="0"/>
    <s v="Squamous Cell"/>
    <x v="0"/>
    <n v="7.3"/>
    <s v="Yes"/>
    <s v="CT Scan"/>
    <s v="Immunotherapy"/>
    <n v="6"/>
    <s v="Yes"/>
  </r>
  <r>
    <s v="LC-0344"/>
    <n v="2017"/>
    <d v="2017-05-26T00:00:00"/>
    <s v="Western Pacific"/>
    <s v="Mongolia"/>
    <n v="53"/>
    <x v="1"/>
    <x v="2"/>
    <n v="0"/>
    <n v="0"/>
    <x v="0"/>
    <x v="0"/>
    <x v="0"/>
    <x v="2"/>
    <x v="2"/>
    <n v="26.6"/>
    <x v="0"/>
    <s v="No"/>
    <x v="0"/>
    <x v="1"/>
    <x v="0"/>
    <s v="ROS1"/>
    <s v="No"/>
    <s v="No"/>
    <s v="No"/>
    <s v="No"/>
    <s v="Yes"/>
    <s v="No"/>
    <s v="Yes"/>
    <s v="No"/>
    <s v="No"/>
    <s v="Yes"/>
    <x v="0"/>
    <s v="Large Cell"/>
    <x v="0"/>
    <n v="8.9"/>
    <s v="Yes"/>
    <s v="CT Scan"/>
    <s v="Chemotherapy"/>
    <n v="17"/>
    <s v="No"/>
  </r>
  <r>
    <s v="LC-0345"/>
    <n v="2017"/>
    <d v="2017-11-26T00:00:00"/>
    <s v="Western Pacific"/>
    <s v="Australia"/>
    <n v="59"/>
    <x v="0"/>
    <x v="2"/>
    <n v="0"/>
    <n v="0"/>
    <x v="1"/>
    <x v="0"/>
    <x v="0"/>
    <x v="1"/>
    <x v="2"/>
    <n v="31.3"/>
    <x v="1"/>
    <s v="Yes"/>
    <x v="0"/>
    <x v="0"/>
    <x v="0"/>
    <s v="ALK"/>
    <s v="Yes"/>
    <s v="No"/>
    <s v="No"/>
    <s v="Yes"/>
    <s v="Yes"/>
    <s v="No"/>
    <s v="No"/>
    <s v="No"/>
    <s v="No"/>
    <s v="No"/>
    <x v="0"/>
    <s v="Adenocarcinoma"/>
    <x v="0"/>
    <n v="8"/>
    <s v="Yes"/>
    <s v="Bronchoscopy"/>
    <s v="Immunotherapy"/>
    <n v="2"/>
    <s v="No"/>
  </r>
  <r>
    <s v="LC-0346"/>
    <n v="2025"/>
    <d v="2025-07-04T00:00:00"/>
    <s v="Europe"/>
    <s v="Netherlands"/>
    <n v="52"/>
    <x v="0"/>
    <x v="2"/>
    <n v="0"/>
    <n v="0"/>
    <x v="0"/>
    <x v="1"/>
    <x v="0"/>
    <x v="2"/>
    <x v="2"/>
    <n v="26.9"/>
    <x v="0"/>
    <s v="No"/>
    <x v="0"/>
    <x v="0"/>
    <x v="0"/>
    <s v="HER2"/>
    <s v="No"/>
    <s v="No"/>
    <s v="No"/>
    <s v="No"/>
    <s v="No"/>
    <s v="Yes"/>
    <s v="No"/>
    <s v="No"/>
    <s v="No"/>
    <s v="No"/>
    <x v="0"/>
    <s v="Squamous Cell"/>
    <x v="0"/>
    <n v="6.7"/>
    <s v="Yes"/>
    <s v="CT Scan"/>
    <s v="Chemotherapy"/>
    <n v="17"/>
    <s v="No"/>
  </r>
  <r>
    <s v="LC-0347"/>
    <n v="2015"/>
    <d v="2015-04-21T00:00:00"/>
    <s v="South-East Asia"/>
    <s v="Indonesia"/>
    <n v="49"/>
    <x v="0"/>
    <x v="1"/>
    <n v="27"/>
    <n v="5"/>
    <x v="0"/>
    <x v="0"/>
    <x v="0"/>
    <x v="0"/>
    <x v="0"/>
    <n v="24.7"/>
    <x v="0"/>
    <s v="No"/>
    <x v="0"/>
    <x v="0"/>
    <x v="0"/>
    <s v="No Mutation"/>
    <s v="No"/>
    <s v="No"/>
    <s v="Yes"/>
    <s v="No"/>
    <s v="No"/>
    <s v="Yes"/>
    <s v="Yes"/>
    <s v="No"/>
    <s v="Yes"/>
    <s v="No"/>
    <x v="0"/>
    <s v="Squamous Cell"/>
    <x v="3"/>
    <n v="2.6"/>
    <s v="No"/>
    <s v="Biopsy"/>
    <s v="Immunotherapy"/>
    <n v="44"/>
    <s v="Yes"/>
  </r>
  <r>
    <s v="LC-0348"/>
    <n v="2022"/>
    <d v="2022-05-27T00:00:00"/>
    <s v="Americas"/>
    <s v="Brazil"/>
    <n v="65"/>
    <x v="1"/>
    <x v="2"/>
    <n v="0"/>
    <n v="0"/>
    <x v="0"/>
    <x v="0"/>
    <x v="1"/>
    <x v="0"/>
    <x v="2"/>
    <n v="21.5"/>
    <x v="1"/>
    <s v="No"/>
    <x v="0"/>
    <x v="1"/>
    <x v="0"/>
    <s v="EGFR"/>
    <s v="No"/>
    <s v="Yes"/>
    <s v="No"/>
    <s v="Yes"/>
    <s v="Yes"/>
    <s v="No"/>
    <s v="No"/>
    <s v="No"/>
    <s v="No"/>
    <s v="No"/>
    <x v="0"/>
    <s v="Adenocarcinoma"/>
    <x v="1"/>
    <n v="1.1000000000000001"/>
    <s v="No"/>
    <s v="CT Scan"/>
    <s v="Surgery"/>
    <n v="62"/>
    <s v="Yes"/>
  </r>
  <r>
    <s v="LC-0349"/>
    <n v="2016"/>
    <d v="2016-02-02T00:00:00"/>
    <s v="South-East Asia"/>
    <s v="Indonesia"/>
    <n v="50"/>
    <x v="1"/>
    <x v="2"/>
    <n v="0"/>
    <n v="0"/>
    <x v="1"/>
    <x v="0"/>
    <x v="0"/>
    <x v="0"/>
    <x v="1"/>
    <n v="24.9"/>
    <x v="0"/>
    <s v="No"/>
    <x v="0"/>
    <x v="0"/>
    <x v="0"/>
    <s v="KRAS"/>
    <s v="Yes"/>
    <s v="Yes"/>
    <s v="Yes"/>
    <s v="No"/>
    <s v="Yes"/>
    <s v="No"/>
    <s v="No"/>
    <s v="No"/>
    <s v="No"/>
    <s v="No"/>
    <x v="0"/>
    <s v="Adenocarcinoma"/>
    <x v="1"/>
    <n v="2.1"/>
    <s v="Yes"/>
    <s v="CT Scan"/>
    <s v="Radiotherapy"/>
    <n v="21"/>
    <s v="Yes"/>
  </r>
  <r>
    <s v="LC-0350"/>
    <n v="2021"/>
    <d v="2021-05-20T00:00:00"/>
    <s v="Europe"/>
    <s v="Sweden"/>
    <n v="66"/>
    <x v="0"/>
    <x v="2"/>
    <n v="0"/>
    <n v="0"/>
    <x v="1"/>
    <x v="1"/>
    <x v="0"/>
    <x v="0"/>
    <x v="0"/>
    <n v="26.5"/>
    <x v="0"/>
    <s v="No"/>
    <x v="0"/>
    <x v="0"/>
    <x v="0"/>
    <s v="No Mutation"/>
    <s v="No"/>
    <s v="No"/>
    <s v="No"/>
    <s v="No"/>
    <s v="No"/>
    <s v="No"/>
    <s v="No"/>
    <s v="Yes"/>
    <s v="No"/>
    <s v="No"/>
    <x v="0"/>
    <s v="Adenocarcinoma"/>
    <x v="1"/>
    <n v="2.8"/>
    <s v="No"/>
    <s v="CT Scan"/>
    <s v="Surgery + Chemotherapy"/>
    <n v="78"/>
    <s v="Yes"/>
  </r>
  <r>
    <s v="LC-0351"/>
    <n v="2017"/>
    <d v="2017-05-15T00:00:00"/>
    <s v="Europe"/>
    <s v="Germany"/>
    <n v="58"/>
    <x v="1"/>
    <x v="0"/>
    <n v="41"/>
    <n v="18"/>
    <x v="0"/>
    <x v="1"/>
    <x v="0"/>
    <x v="2"/>
    <x v="0"/>
    <n v="23.8"/>
    <x v="1"/>
    <s v="Yes"/>
    <x v="0"/>
    <x v="0"/>
    <x v="0"/>
    <s v="No Mutation"/>
    <s v="Yes"/>
    <s v="No"/>
    <s v="No"/>
    <s v="No"/>
    <s v="Yes"/>
    <s v="Yes"/>
    <s v="Yes"/>
    <s v="No"/>
    <s v="No"/>
    <s v="No"/>
    <x v="0"/>
    <s v="Squamous Cell"/>
    <x v="2"/>
    <n v="4.5999999999999996"/>
    <s v="No"/>
    <s v="Chest X-Ray"/>
    <s v="Targeted Therapy"/>
    <n v="19"/>
    <s v="No"/>
  </r>
  <r>
    <s v="LC-0352"/>
    <n v="2025"/>
    <d v="2025-08-23T00:00:00"/>
    <s v="Western Pacific"/>
    <s v="Philippines"/>
    <n v="53"/>
    <x v="1"/>
    <x v="2"/>
    <n v="0"/>
    <n v="0"/>
    <x v="0"/>
    <x v="0"/>
    <x v="1"/>
    <x v="0"/>
    <x v="0"/>
    <n v="23.4"/>
    <x v="2"/>
    <s v="No"/>
    <x v="0"/>
    <x v="0"/>
    <x v="0"/>
    <s v="EGFR"/>
    <s v="No"/>
    <s v="No"/>
    <s v="No"/>
    <s v="No"/>
    <s v="Yes"/>
    <s v="No"/>
    <s v="No"/>
    <s v="No"/>
    <s v="No"/>
    <s v="No"/>
    <x v="0"/>
    <s v="Adenocarcinoma"/>
    <x v="3"/>
    <n v="3.9"/>
    <s v="No"/>
    <s v="CT Scan"/>
    <s v="Surgery + Chemotherapy"/>
    <n v="50"/>
    <s v="No"/>
  </r>
  <r>
    <s v="LC-0353"/>
    <n v="2019"/>
    <d v="2019-12-13T00:00:00"/>
    <s v="Europe"/>
    <s v="Spain"/>
    <n v="58"/>
    <x v="1"/>
    <x v="1"/>
    <n v="16"/>
    <n v="8"/>
    <x v="1"/>
    <x v="1"/>
    <x v="0"/>
    <x v="0"/>
    <x v="1"/>
    <n v="21.7"/>
    <x v="1"/>
    <s v="No"/>
    <x v="0"/>
    <x v="0"/>
    <x v="0"/>
    <s v="KRAS"/>
    <s v="No"/>
    <s v="Yes"/>
    <s v="Yes"/>
    <s v="No"/>
    <s v="Yes"/>
    <s v="No"/>
    <s v="No"/>
    <s v="Yes"/>
    <s v="No"/>
    <s v="No"/>
    <x v="0"/>
    <s v="Adenocarcinoma"/>
    <x v="0"/>
    <n v="5.3"/>
    <s v="Yes"/>
    <s v="Biopsy"/>
    <s v="Chemotherapy"/>
    <n v="2"/>
    <s v="No"/>
  </r>
  <r>
    <s v="LC-0354"/>
    <n v="2019"/>
    <d v="2019-09-18T00:00:00"/>
    <s v="Europe"/>
    <s v="Poland"/>
    <n v="52"/>
    <x v="1"/>
    <x v="2"/>
    <n v="0"/>
    <n v="0"/>
    <x v="1"/>
    <x v="0"/>
    <x v="0"/>
    <x v="2"/>
    <x v="0"/>
    <n v="28.1"/>
    <x v="1"/>
    <s v="No"/>
    <x v="0"/>
    <x v="0"/>
    <x v="0"/>
    <s v="RET"/>
    <s v="No"/>
    <s v="Yes"/>
    <s v="Yes"/>
    <s v="No"/>
    <s v="Yes"/>
    <s v="No"/>
    <s v="No"/>
    <s v="No"/>
    <s v="No"/>
    <s v="No"/>
    <x v="0"/>
    <s v="Adenocarcinoma"/>
    <x v="1"/>
    <n v="4"/>
    <s v="Yes"/>
    <s v="LDCT Screening"/>
    <s v="Targeted Therapy"/>
    <n v="40"/>
    <s v="Yes"/>
  </r>
  <r>
    <s v="LC-0355"/>
    <n v="2025"/>
    <d v="2025-08-03T00:00:00"/>
    <s v="Eastern Mediterranean"/>
    <s v="Kuwait"/>
    <n v="45"/>
    <x v="1"/>
    <x v="1"/>
    <n v="13"/>
    <n v="16"/>
    <x v="0"/>
    <x v="0"/>
    <x v="1"/>
    <x v="0"/>
    <x v="0"/>
    <n v="27.8"/>
    <x v="0"/>
    <s v="No"/>
    <x v="0"/>
    <x v="1"/>
    <x v="0"/>
    <s v="No Mutation"/>
    <s v="No"/>
    <s v="No"/>
    <s v="Yes"/>
    <s v="No"/>
    <s v="No"/>
    <s v="No"/>
    <s v="No"/>
    <s v="No"/>
    <s v="No"/>
    <s v="No"/>
    <x v="0"/>
    <s v="Adenocarcinoma"/>
    <x v="0"/>
    <n v="6.8"/>
    <s v="Yes"/>
    <s v="PET Scan"/>
    <s v="Targeted Therapy"/>
    <n v="10"/>
    <s v="No"/>
  </r>
  <r>
    <s v="LC-0356"/>
    <n v="2024"/>
    <d v="2024-01-14T00:00:00"/>
    <s v="Western Pacific"/>
    <s v="Vietnam"/>
    <n v="76"/>
    <x v="1"/>
    <x v="2"/>
    <n v="0"/>
    <n v="0"/>
    <x v="1"/>
    <x v="1"/>
    <x v="0"/>
    <x v="0"/>
    <x v="2"/>
    <n v="23.8"/>
    <x v="2"/>
    <s v="No"/>
    <x v="0"/>
    <x v="0"/>
    <x v="0"/>
    <s v="EGFR"/>
    <s v="No"/>
    <s v="No"/>
    <s v="Yes"/>
    <s v="Yes"/>
    <s v="No"/>
    <s v="No"/>
    <s v="No"/>
    <s v="Yes"/>
    <s v="No"/>
    <s v="No"/>
    <x v="0"/>
    <s v="Adenocarcinoma"/>
    <x v="3"/>
    <n v="3.8"/>
    <s v="No"/>
    <s v="Bronchoscopy"/>
    <s v="Surgery + Chemotherapy"/>
    <n v="19"/>
    <s v="No"/>
  </r>
  <r>
    <s v="LC-0357"/>
    <n v="2019"/>
    <d v="2019-10-09T00:00:00"/>
    <s v="Europe"/>
    <s v="UK"/>
    <n v="65"/>
    <x v="1"/>
    <x v="1"/>
    <n v="10"/>
    <n v="18"/>
    <x v="0"/>
    <x v="0"/>
    <x v="1"/>
    <x v="0"/>
    <x v="1"/>
    <n v="29.6"/>
    <x v="1"/>
    <s v="No"/>
    <x v="0"/>
    <x v="0"/>
    <x v="0"/>
    <s v="BRAF"/>
    <s v="Yes"/>
    <s v="Yes"/>
    <s v="No"/>
    <s v="No"/>
    <s v="No"/>
    <s v="Yes"/>
    <s v="No"/>
    <s v="No"/>
    <s v="No"/>
    <s v="No"/>
    <x v="0"/>
    <s v="Adenocarcinoma"/>
    <x v="1"/>
    <n v="2.9"/>
    <s v="No"/>
    <s v="Bronchoscopy"/>
    <s v="Radiotherapy"/>
    <n v="49"/>
    <s v="Yes"/>
  </r>
  <r>
    <s v="LC-0358"/>
    <n v="2025"/>
    <d v="2025-02-08T00:00:00"/>
    <s v="Western Pacific"/>
    <s v="Mongolia"/>
    <n v="58"/>
    <x v="0"/>
    <x v="2"/>
    <n v="0"/>
    <n v="0"/>
    <x v="1"/>
    <x v="0"/>
    <x v="0"/>
    <x v="0"/>
    <x v="0"/>
    <n v="24.1"/>
    <x v="0"/>
    <s v="No"/>
    <x v="0"/>
    <x v="0"/>
    <x v="0"/>
    <s v="ALK"/>
    <s v="No"/>
    <s v="Yes"/>
    <s v="No"/>
    <s v="No"/>
    <s v="Yes"/>
    <s v="No"/>
    <s v="No"/>
    <s v="Yes"/>
    <s v="No"/>
    <s v="No"/>
    <x v="0"/>
    <s v="Adenocarcinoma"/>
    <x v="3"/>
    <n v="4.4000000000000004"/>
    <s v="No"/>
    <s v="Chest X-Ray"/>
    <s v="Surgery + Chemotherapy"/>
    <n v="32"/>
    <s v="No"/>
  </r>
  <r>
    <s v="LC-0359"/>
    <n v="2022"/>
    <d v="2022-10-01T00:00:00"/>
    <s v="Western Pacific"/>
    <s v="Philippines"/>
    <n v="68"/>
    <x v="1"/>
    <x v="2"/>
    <n v="0"/>
    <n v="0"/>
    <x v="0"/>
    <x v="0"/>
    <x v="0"/>
    <x v="0"/>
    <x v="2"/>
    <n v="18.2"/>
    <x v="0"/>
    <s v="No"/>
    <x v="0"/>
    <x v="0"/>
    <x v="0"/>
    <s v="TP53"/>
    <s v="No"/>
    <s v="No"/>
    <s v="Yes"/>
    <s v="No"/>
    <s v="No"/>
    <s v="No"/>
    <s v="Yes"/>
    <s v="Yes"/>
    <s v="No"/>
    <s v="No"/>
    <x v="0"/>
    <s v="Squamous Cell"/>
    <x v="1"/>
    <n v="2.4"/>
    <s v="No"/>
    <s v="CT Scan"/>
    <s v="Immunotherapy"/>
    <n v="43"/>
    <s v="Yes"/>
  </r>
  <r>
    <s v="LC-0360"/>
    <n v="2024"/>
    <d v="2024-10-02T00:00:00"/>
    <s v="South-East Asia"/>
    <s v="Indonesia"/>
    <n v="58"/>
    <x v="1"/>
    <x v="2"/>
    <n v="0"/>
    <n v="0"/>
    <x v="1"/>
    <x v="0"/>
    <x v="0"/>
    <x v="1"/>
    <x v="0"/>
    <n v="20.6"/>
    <x v="0"/>
    <s v="No"/>
    <x v="0"/>
    <x v="0"/>
    <x v="0"/>
    <s v="KRAS"/>
    <s v="Yes"/>
    <s v="Yes"/>
    <s v="No"/>
    <s v="No"/>
    <s v="Yes"/>
    <s v="No"/>
    <s v="No"/>
    <s v="No"/>
    <s v="No"/>
    <s v="No"/>
    <x v="0"/>
    <s v="Squamous Cell"/>
    <x v="1"/>
    <n v="1.6"/>
    <s v="No"/>
    <s v="CT Scan"/>
    <s v="Surgery"/>
    <n v="59"/>
    <s v="Yes"/>
  </r>
  <r>
    <s v="LC-0361"/>
    <n v="2022"/>
    <d v="2022-08-17T00:00:00"/>
    <s v="Europe"/>
    <s v="Poland"/>
    <n v="57"/>
    <x v="1"/>
    <x v="2"/>
    <n v="0"/>
    <n v="0"/>
    <x v="1"/>
    <x v="1"/>
    <x v="1"/>
    <x v="2"/>
    <x v="2"/>
    <n v="26.5"/>
    <x v="1"/>
    <s v="No"/>
    <x v="0"/>
    <x v="0"/>
    <x v="0"/>
    <s v="No Mutation"/>
    <s v="No"/>
    <s v="No"/>
    <s v="No"/>
    <s v="No"/>
    <s v="Yes"/>
    <s v="No"/>
    <s v="No"/>
    <s v="No"/>
    <s v="No"/>
    <s v="No"/>
    <x v="0"/>
    <s v="Adenocarcinoma"/>
    <x v="1"/>
    <n v="2.2000000000000002"/>
    <s v="No"/>
    <s v="CT Scan"/>
    <s v="Radiotherapy"/>
    <n v="58"/>
    <s v="Yes"/>
  </r>
  <r>
    <s v="LC-0362"/>
    <n v="2016"/>
    <d v="2016-05-06T00:00:00"/>
    <s v="Western Pacific"/>
    <s v="Mongolia"/>
    <n v="78"/>
    <x v="1"/>
    <x v="1"/>
    <n v="22"/>
    <n v="18"/>
    <x v="0"/>
    <x v="0"/>
    <x v="0"/>
    <x v="0"/>
    <x v="0"/>
    <n v="30.6"/>
    <x v="0"/>
    <s v="Yes"/>
    <x v="0"/>
    <x v="0"/>
    <x v="0"/>
    <s v="No Mutation"/>
    <s v="Yes"/>
    <s v="Yes"/>
    <s v="No"/>
    <s v="No"/>
    <s v="No"/>
    <s v="No"/>
    <s v="No"/>
    <s v="Yes"/>
    <s v="No"/>
    <s v="No"/>
    <x v="0"/>
    <s v="Squamous Cell"/>
    <x v="2"/>
    <n v="3.9"/>
    <s v="No"/>
    <s v="CT Scan"/>
    <s v="Targeted Therapy"/>
    <n v="21"/>
    <s v="Yes"/>
  </r>
  <r>
    <s v="LC-0363"/>
    <n v="2019"/>
    <d v="2019-07-21T00:00:00"/>
    <s v="Americas"/>
    <s v="Peru"/>
    <n v="63"/>
    <x v="1"/>
    <x v="2"/>
    <n v="0"/>
    <n v="0"/>
    <x v="0"/>
    <x v="0"/>
    <x v="1"/>
    <x v="0"/>
    <x v="0"/>
    <n v="27.3"/>
    <x v="2"/>
    <s v="No"/>
    <x v="0"/>
    <x v="0"/>
    <x v="0"/>
    <s v="EGFR"/>
    <s v="Yes"/>
    <s v="Yes"/>
    <s v="No"/>
    <s v="No"/>
    <s v="Yes"/>
    <s v="Yes"/>
    <s v="No"/>
    <s v="No"/>
    <s v="No"/>
    <s v="No"/>
    <x v="1"/>
    <s v="Not Applicable"/>
    <x v="0"/>
    <n v="5.8"/>
    <s v="Yes"/>
    <s v="MRI"/>
    <s v="Chemo + Radiation"/>
    <n v="5"/>
    <s v="No"/>
  </r>
  <r>
    <s v="LC-0364"/>
    <n v="2019"/>
    <d v="2019-02-16T00:00:00"/>
    <s v="Western Pacific"/>
    <s v="Vietnam"/>
    <n v="49"/>
    <x v="0"/>
    <x v="2"/>
    <n v="0"/>
    <n v="0"/>
    <x v="1"/>
    <x v="1"/>
    <x v="0"/>
    <x v="0"/>
    <x v="0"/>
    <n v="28.9"/>
    <x v="1"/>
    <s v="No"/>
    <x v="0"/>
    <x v="0"/>
    <x v="0"/>
    <s v="No Mutation"/>
    <s v="No"/>
    <s v="Yes"/>
    <s v="Yes"/>
    <s v="No"/>
    <s v="Yes"/>
    <s v="Yes"/>
    <s v="Yes"/>
    <s v="No"/>
    <s v="No"/>
    <s v="No"/>
    <x v="0"/>
    <s v="Adenocarcinoma"/>
    <x v="1"/>
    <n v="2"/>
    <s v="No"/>
    <s v="CT Scan"/>
    <s v="Surgery"/>
    <n v="44"/>
    <s v="Yes"/>
  </r>
  <r>
    <s v="LC-0365"/>
    <n v="2017"/>
    <d v="2017-07-11T00:00:00"/>
    <s v="Europe"/>
    <s v="Russia"/>
    <n v="64"/>
    <x v="0"/>
    <x v="2"/>
    <n v="0"/>
    <n v="0"/>
    <x v="1"/>
    <x v="0"/>
    <x v="0"/>
    <x v="0"/>
    <x v="2"/>
    <n v="28.9"/>
    <x v="2"/>
    <s v="Yes"/>
    <x v="0"/>
    <x v="0"/>
    <x v="0"/>
    <s v="EGFR"/>
    <s v="No"/>
    <s v="Yes"/>
    <s v="No"/>
    <s v="No"/>
    <s v="Yes"/>
    <s v="No"/>
    <s v="No"/>
    <s v="No"/>
    <s v="No"/>
    <s v="No"/>
    <x v="1"/>
    <s v="Not Applicable"/>
    <x v="3"/>
    <n v="4.5999999999999996"/>
    <s v="No"/>
    <s v="Chest X-Ray"/>
    <s v="Radiotherapy"/>
    <n v="35"/>
    <s v="No"/>
  </r>
  <r>
    <s v="LC-0366"/>
    <n v="2020"/>
    <d v="2020-11-04T00:00:00"/>
    <s v="South-East Asia"/>
    <s v="Indonesia"/>
    <n v="65"/>
    <x v="1"/>
    <x v="0"/>
    <n v="22"/>
    <n v="21"/>
    <x v="1"/>
    <x v="0"/>
    <x v="0"/>
    <x v="1"/>
    <x v="2"/>
    <n v="24.4"/>
    <x v="0"/>
    <s v="Yes"/>
    <x v="0"/>
    <x v="0"/>
    <x v="0"/>
    <s v="RET"/>
    <s v="Yes"/>
    <s v="Yes"/>
    <s v="Yes"/>
    <s v="Yes"/>
    <s v="Yes"/>
    <s v="Yes"/>
    <s v="Yes"/>
    <s v="No"/>
    <s v="No"/>
    <s v="No"/>
    <x v="0"/>
    <s v="Large Cell"/>
    <x v="0"/>
    <n v="4.8"/>
    <s v="Yes"/>
    <s v="PET Scan"/>
    <s v="Chemo + Radiation"/>
    <n v="8"/>
    <s v="No"/>
  </r>
  <r>
    <s v="LC-0367"/>
    <n v="2017"/>
    <d v="2017-06-14T00:00:00"/>
    <s v="Europe"/>
    <s v="Poland"/>
    <n v="58"/>
    <x v="1"/>
    <x v="1"/>
    <n v="29"/>
    <n v="15"/>
    <x v="0"/>
    <x v="0"/>
    <x v="0"/>
    <x v="2"/>
    <x v="1"/>
    <n v="26.7"/>
    <x v="1"/>
    <s v="No"/>
    <x v="0"/>
    <x v="0"/>
    <x v="0"/>
    <s v="No Mutation"/>
    <s v="No"/>
    <s v="No"/>
    <s v="No"/>
    <s v="No"/>
    <s v="Yes"/>
    <s v="No"/>
    <s v="No"/>
    <s v="No"/>
    <s v="No"/>
    <s v="No"/>
    <x v="0"/>
    <s v="Adenocarcinoma"/>
    <x v="2"/>
    <n v="6.5"/>
    <s v="No"/>
    <s v="PET Scan"/>
    <s v="Immunotherapy"/>
    <n v="17"/>
    <s v="No"/>
  </r>
  <r>
    <s v="LC-0368"/>
    <n v="2016"/>
    <d v="2016-05-22T00:00:00"/>
    <s v="South-East Asia"/>
    <s v="Nepal"/>
    <n v="64"/>
    <x v="0"/>
    <x v="2"/>
    <n v="0"/>
    <n v="0"/>
    <x v="1"/>
    <x v="0"/>
    <x v="0"/>
    <x v="1"/>
    <x v="2"/>
    <n v="22.4"/>
    <x v="1"/>
    <s v="No"/>
    <x v="0"/>
    <x v="0"/>
    <x v="0"/>
    <s v="No Mutation"/>
    <s v="No"/>
    <s v="No"/>
    <s v="No"/>
    <s v="No"/>
    <s v="No"/>
    <s v="Yes"/>
    <s v="No"/>
    <s v="Yes"/>
    <s v="No"/>
    <s v="No"/>
    <x v="0"/>
    <s v="Large Cell"/>
    <x v="3"/>
    <n v="4.2"/>
    <s v="No"/>
    <s v="Bronchoscopy"/>
    <s v="Radiotherapy"/>
    <n v="40"/>
    <s v="Yes"/>
  </r>
  <r>
    <s v="LC-0369"/>
    <n v="2015"/>
    <d v="2015-09-02T00:00:00"/>
    <s v="South-East Asia"/>
    <s v="Maldives"/>
    <n v="49"/>
    <x v="1"/>
    <x v="0"/>
    <n v="27"/>
    <n v="8"/>
    <x v="1"/>
    <x v="1"/>
    <x v="0"/>
    <x v="1"/>
    <x v="0"/>
    <n v="31"/>
    <x v="1"/>
    <s v="No"/>
    <x v="0"/>
    <x v="0"/>
    <x v="0"/>
    <s v="KRAS"/>
    <s v="Yes"/>
    <s v="Yes"/>
    <s v="Yes"/>
    <s v="No"/>
    <s v="Yes"/>
    <s v="Yes"/>
    <s v="No"/>
    <s v="No"/>
    <s v="No"/>
    <s v="No"/>
    <x v="1"/>
    <s v="Not Applicable"/>
    <x v="0"/>
    <n v="5.5"/>
    <s v="Yes"/>
    <s v="MRI"/>
    <s v="Chemo + Radiation"/>
    <n v="7"/>
    <s v="No"/>
  </r>
  <r>
    <s v="LC-0370"/>
    <n v="2019"/>
    <d v="2019-02-11T00:00:00"/>
    <s v="South-East Asia"/>
    <s v="Myanmar"/>
    <n v="70"/>
    <x v="1"/>
    <x v="2"/>
    <n v="0"/>
    <n v="0"/>
    <x v="1"/>
    <x v="0"/>
    <x v="0"/>
    <x v="0"/>
    <x v="2"/>
    <n v="30.2"/>
    <x v="2"/>
    <s v="No"/>
    <x v="0"/>
    <x v="0"/>
    <x v="0"/>
    <s v="ALK"/>
    <s v="Yes"/>
    <s v="Yes"/>
    <s v="Yes"/>
    <s v="No"/>
    <s v="Yes"/>
    <s v="No"/>
    <s v="No"/>
    <s v="No"/>
    <s v="Yes"/>
    <s v="No"/>
    <x v="0"/>
    <s v="Adenocarcinoma"/>
    <x v="1"/>
    <n v="1.7"/>
    <s v="No"/>
    <s v="CT Scan"/>
    <s v="Surgery"/>
    <n v="76"/>
    <s v="Yes"/>
  </r>
  <r>
    <s v="LC-0371"/>
    <n v="2021"/>
    <d v="2021-06-04T00:00:00"/>
    <s v="Europe"/>
    <s v="Turkey"/>
    <n v="56"/>
    <x v="0"/>
    <x v="2"/>
    <n v="0"/>
    <n v="0"/>
    <x v="1"/>
    <x v="0"/>
    <x v="0"/>
    <x v="0"/>
    <x v="1"/>
    <n v="35.200000000000003"/>
    <x v="2"/>
    <s v="No"/>
    <x v="0"/>
    <x v="0"/>
    <x v="0"/>
    <s v="EGFR"/>
    <s v="No"/>
    <s v="Yes"/>
    <s v="No"/>
    <s v="No"/>
    <s v="No"/>
    <s v="No"/>
    <s v="No"/>
    <s v="Yes"/>
    <s v="No"/>
    <s v="No"/>
    <x v="0"/>
    <s v="Adenocarcinoma"/>
    <x v="1"/>
    <n v="2"/>
    <s v="No"/>
    <s v="LDCT Screening"/>
    <s v="Surgery"/>
    <n v="60"/>
    <s v="Yes"/>
  </r>
  <r>
    <s v="LC-0372"/>
    <n v="2024"/>
    <d v="2024-09-27T00:00:00"/>
    <s v="South-East Asia"/>
    <s v="India"/>
    <n v="51"/>
    <x v="1"/>
    <x v="0"/>
    <n v="25"/>
    <n v="25"/>
    <x v="0"/>
    <x v="1"/>
    <x v="0"/>
    <x v="2"/>
    <x v="0"/>
    <n v="22.4"/>
    <x v="2"/>
    <s v="Yes"/>
    <x v="0"/>
    <x v="0"/>
    <x v="0"/>
    <s v="HER2"/>
    <s v="Yes"/>
    <s v="No"/>
    <s v="Yes"/>
    <s v="No"/>
    <s v="Yes"/>
    <s v="No"/>
    <s v="No"/>
    <s v="No"/>
    <s v="No"/>
    <s v="No"/>
    <x v="1"/>
    <s v="Not Applicable"/>
    <x v="0"/>
    <n v="8.1999999999999993"/>
    <s v="Yes"/>
    <s v="MRI"/>
    <s v="Immunotherapy"/>
    <n v="5"/>
    <s v="No"/>
  </r>
  <r>
    <s v="LC-0373"/>
    <n v="2017"/>
    <d v="2017-11-28T00:00:00"/>
    <s v="South-East Asia"/>
    <s v="Timor-Leste"/>
    <n v="61"/>
    <x v="0"/>
    <x v="2"/>
    <n v="0"/>
    <n v="0"/>
    <x v="0"/>
    <x v="0"/>
    <x v="0"/>
    <x v="0"/>
    <x v="1"/>
    <n v="22.5"/>
    <x v="2"/>
    <s v="No"/>
    <x v="0"/>
    <x v="0"/>
    <x v="0"/>
    <s v="ALK"/>
    <s v="Yes"/>
    <s v="No"/>
    <s v="No"/>
    <s v="No"/>
    <s v="Yes"/>
    <s v="No"/>
    <s v="No"/>
    <s v="No"/>
    <s v="No"/>
    <s v="No"/>
    <x v="0"/>
    <s v="Large Cell"/>
    <x v="2"/>
    <n v="4.5"/>
    <s v="No"/>
    <s v="Bronchoscopy"/>
    <s v="Chemotherapy"/>
    <n v="26"/>
    <s v="No"/>
  </r>
  <r>
    <s v="LC-0374"/>
    <n v="2018"/>
    <d v="2018-08-14T00:00:00"/>
    <s v="Western Pacific"/>
    <s v="China"/>
    <n v="66"/>
    <x v="1"/>
    <x v="0"/>
    <n v="36"/>
    <n v="15"/>
    <x v="0"/>
    <x v="0"/>
    <x v="1"/>
    <x v="1"/>
    <x v="0"/>
    <n v="27.9"/>
    <x v="1"/>
    <s v="No"/>
    <x v="0"/>
    <x v="0"/>
    <x v="0"/>
    <s v="No Mutation"/>
    <s v="Yes"/>
    <s v="Yes"/>
    <s v="No"/>
    <s v="Yes"/>
    <s v="Yes"/>
    <s v="Yes"/>
    <s v="Yes"/>
    <s v="No"/>
    <s v="No"/>
    <s v="No"/>
    <x v="0"/>
    <s v="Adenocarcinoma"/>
    <x v="0"/>
    <n v="10.7"/>
    <s v="Yes"/>
    <s v="Biopsy"/>
    <s v="Immunotherapy"/>
    <n v="9"/>
    <s v="No"/>
  </r>
  <r>
    <s v="LC-0375"/>
    <n v="2021"/>
    <d v="2021-04-17T00:00:00"/>
    <s v="Eastern Mediterranean"/>
    <s v="Jordan"/>
    <n v="50"/>
    <x v="0"/>
    <x v="1"/>
    <n v="11"/>
    <n v="17"/>
    <x v="1"/>
    <x v="1"/>
    <x v="0"/>
    <x v="1"/>
    <x v="1"/>
    <n v="27.8"/>
    <x v="1"/>
    <s v="No"/>
    <x v="1"/>
    <x v="0"/>
    <x v="0"/>
    <s v="No Mutation"/>
    <s v="Yes"/>
    <s v="No"/>
    <s v="No"/>
    <s v="No"/>
    <s v="No"/>
    <s v="Yes"/>
    <s v="No"/>
    <s v="No"/>
    <s v="Yes"/>
    <s v="No"/>
    <x v="0"/>
    <s v="Large Cell"/>
    <x v="0"/>
    <n v="6.4"/>
    <s v="Yes"/>
    <s v="PET Scan"/>
    <s v="Targeted Therapy"/>
    <n v="7"/>
    <s v="No"/>
  </r>
  <r>
    <s v="LC-0376"/>
    <n v="2019"/>
    <d v="2019-10-25T00:00:00"/>
    <s v="Western Pacific"/>
    <s v="New Zealand"/>
    <n v="43"/>
    <x v="1"/>
    <x v="1"/>
    <n v="29"/>
    <n v="3"/>
    <x v="0"/>
    <x v="0"/>
    <x v="0"/>
    <x v="2"/>
    <x v="0"/>
    <n v="33.9"/>
    <x v="0"/>
    <s v="No"/>
    <x v="0"/>
    <x v="0"/>
    <x v="0"/>
    <s v="No Mutation"/>
    <s v="No"/>
    <s v="No"/>
    <s v="No"/>
    <s v="No"/>
    <s v="Yes"/>
    <s v="No"/>
    <s v="No"/>
    <s v="Yes"/>
    <s v="Yes"/>
    <s v="No"/>
    <x v="0"/>
    <s v="Large Cell"/>
    <x v="3"/>
    <n v="3.2"/>
    <s v="No"/>
    <s v="CT Scan"/>
    <s v="Surgery + Chemotherapy"/>
    <n v="29"/>
    <s v="No"/>
  </r>
  <r>
    <s v="LC-0377"/>
    <n v="2025"/>
    <d v="2025-11-15T00:00:00"/>
    <s v="Europe"/>
    <s v="UK"/>
    <n v="89"/>
    <x v="1"/>
    <x v="1"/>
    <n v="27"/>
    <n v="16"/>
    <x v="1"/>
    <x v="0"/>
    <x v="0"/>
    <x v="1"/>
    <x v="0"/>
    <n v="29.1"/>
    <x v="1"/>
    <s v="Yes"/>
    <x v="0"/>
    <x v="0"/>
    <x v="0"/>
    <s v="TP53"/>
    <s v="No"/>
    <s v="Yes"/>
    <s v="Yes"/>
    <s v="No"/>
    <s v="Yes"/>
    <s v="No"/>
    <s v="Yes"/>
    <s v="No"/>
    <s v="No"/>
    <s v="No"/>
    <x v="0"/>
    <s v="Large Cell"/>
    <x v="3"/>
    <n v="3"/>
    <s v="No"/>
    <s v="LDCT Screening"/>
    <s v="Surgery + Chemotherapy"/>
    <n v="34"/>
    <s v="No"/>
  </r>
  <r>
    <s v="LC-0378"/>
    <n v="2024"/>
    <d v="2024-04-09T00:00:00"/>
    <s v="Western Pacific"/>
    <s v="Singapore"/>
    <n v="59"/>
    <x v="1"/>
    <x v="2"/>
    <n v="0"/>
    <n v="0"/>
    <x v="0"/>
    <x v="1"/>
    <x v="0"/>
    <x v="0"/>
    <x v="0"/>
    <n v="29"/>
    <x v="0"/>
    <s v="No"/>
    <x v="0"/>
    <x v="0"/>
    <x v="0"/>
    <s v="RET"/>
    <s v="No"/>
    <s v="No"/>
    <s v="No"/>
    <s v="No"/>
    <s v="Yes"/>
    <s v="No"/>
    <s v="No"/>
    <s v="Yes"/>
    <s v="No"/>
    <s v="Yes"/>
    <x v="0"/>
    <s v="Adenocarcinoma"/>
    <x v="2"/>
    <n v="5.2"/>
    <s v="No"/>
    <s v="Bronchoscopy"/>
    <s v="Targeted Therapy"/>
    <n v="18"/>
    <s v="No"/>
  </r>
  <r>
    <s v="LC-0379"/>
    <n v="2023"/>
    <d v="2023-03-10T00:00:00"/>
    <s v="Americas"/>
    <s v="Peru"/>
    <n v="84"/>
    <x v="1"/>
    <x v="0"/>
    <n v="21"/>
    <n v="33"/>
    <x v="0"/>
    <x v="1"/>
    <x v="0"/>
    <x v="0"/>
    <x v="2"/>
    <n v="24.3"/>
    <x v="2"/>
    <s v="No"/>
    <x v="0"/>
    <x v="1"/>
    <x v="0"/>
    <s v="EGFR"/>
    <s v="Yes"/>
    <s v="Yes"/>
    <s v="No"/>
    <s v="No"/>
    <s v="No"/>
    <s v="No"/>
    <s v="Yes"/>
    <s v="No"/>
    <s v="No"/>
    <s v="No"/>
    <x v="0"/>
    <s v="Adenocarcinoma"/>
    <x v="1"/>
    <n v="2.4"/>
    <s v="No"/>
    <s v="LDCT Screening"/>
    <s v="Surgery"/>
    <n v="61"/>
    <s v="No"/>
  </r>
  <r>
    <s v="LC-0380"/>
    <n v="2021"/>
    <d v="2021-12-16T00:00:00"/>
    <s v="South-East Asia"/>
    <s v="Bangladesh"/>
    <n v="60"/>
    <x v="1"/>
    <x v="0"/>
    <n v="13"/>
    <n v="19"/>
    <x v="1"/>
    <x v="0"/>
    <x v="0"/>
    <x v="2"/>
    <x v="2"/>
    <n v="25.2"/>
    <x v="2"/>
    <s v="Yes"/>
    <x v="0"/>
    <x v="0"/>
    <x v="0"/>
    <s v="No Mutation"/>
    <s v="Yes"/>
    <s v="No"/>
    <s v="Yes"/>
    <s v="No"/>
    <s v="No"/>
    <s v="No"/>
    <s v="No"/>
    <s v="No"/>
    <s v="No"/>
    <s v="No"/>
    <x v="1"/>
    <s v="Not Applicable"/>
    <x v="2"/>
    <n v="6.9"/>
    <s v="Yes"/>
    <s v="LDCT Screening"/>
    <s v="Targeted Therapy"/>
    <n v="21"/>
    <s v="No"/>
  </r>
  <r>
    <s v="LC-0381"/>
    <n v="2025"/>
    <d v="2025-01-21T00:00:00"/>
    <s v="Europe"/>
    <s v="Sweden"/>
    <n v="65"/>
    <x v="1"/>
    <x v="2"/>
    <n v="0"/>
    <n v="0"/>
    <x v="1"/>
    <x v="0"/>
    <x v="0"/>
    <x v="2"/>
    <x v="0"/>
    <n v="25.4"/>
    <x v="2"/>
    <s v="Yes"/>
    <x v="0"/>
    <x v="0"/>
    <x v="0"/>
    <s v="No Mutation"/>
    <s v="Yes"/>
    <s v="No"/>
    <s v="Yes"/>
    <s v="Yes"/>
    <s v="Yes"/>
    <s v="Yes"/>
    <s v="No"/>
    <s v="No"/>
    <s v="Yes"/>
    <s v="Yes"/>
    <x v="0"/>
    <s v="Squamous Cell"/>
    <x v="3"/>
    <n v="4.5999999999999996"/>
    <s v="No"/>
    <s v="Biopsy"/>
    <s v="Radiotherapy"/>
    <n v="17"/>
    <s v="No"/>
  </r>
  <r>
    <s v="LC-0382"/>
    <n v="2023"/>
    <d v="2023-04-23T00:00:00"/>
    <s v="Eastern Mediterranean"/>
    <s v="Saudi Arabia"/>
    <n v="77"/>
    <x v="0"/>
    <x v="0"/>
    <n v="29"/>
    <n v="45"/>
    <x v="1"/>
    <x v="1"/>
    <x v="0"/>
    <x v="2"/>
    <x v="1"/>
    <n v="24.1"/>
    <x v="2"/>
    <s v="Yes"/>
    <x v="0"/>
    <x v="0"/>
    <x v="0"/>
    <s v="No Mutation"/>
    <s v="Yes"/>
    <s v="Yes"/>
    <s v="Yes"/>
    <s v="Yes"/>
    <s v="Yes"/>
    <s v="Yes"/>
    <s v="No"/>
    <s v="No"/>
    <s v="No"/>
    <s v="No"/>
    <x v="0"/>
    <s v="Squamous Cell"/>
    <x v="0"/>
    <n v="6.9"/>
    <s v="Yes"/>
    <s v="Chest X-Ray"/>
    <s v="Chemotherapy"/>
    <n v="10"/>
    <s v="No"/>
  </r>
  <r>
    <s v="LC-0383"/>
    <n v="2020"/>
    <d v="2020-05-18T00:00:00"/>
    <s v="Americas"/>
    <s v="USA"/>
    <n v="71"/>
    <x v="1"/>
    <x v="2"/>
    <n v="0"/>
    <n v="0"/>
    <x v="1"/>
    <x v="1"/>
    <x v="1"/>
    <x v="1"/>
    <x v="0"/>
    <n v="29.5"/>
    <x v="0"/>
    <s v="No"/>
    <x v="0"/>
    <x v="0"/>
    <x v="0"/>
    <s v="No Mutation"/>
    <s v="Yes"/>
    <s v="No"/>
    <s v="No"/>
    <s v="No"/>
    <s v="No"/>
    <s v="No"/>
    <s v="No"/>
    <s v="Yes"/>
    <s v="Yes"/>
    <s v="No"/>
    <x v="0"/>
    <s v="Adenocarcinoma"/>
    <x v="1"/>
    <n v="2.4"/>
    <s v="No"/>
    <s v="CT Scan"/>
    <s v="Surgery"/>
    <n v="51"/>
    <s v="Yes"/>
  </r>
  <r>
    <s v="LC-0384"/>
    <n v="2024"/>
    <d v="2024-09-14T00:00:00"/>
    <s v="Americas"/>
    <s v="Canada"/>
    <n v="55"/>
    <x v="1"/>
    <x v="2"/>
    <n v="0"/>
    <n v="0"/>
    <x v="0"/>
    <x v="0"/>
    <x v="0"/>
    <x v="0"/>
    <x v="1"/>
    <n v="32.6"/>
    <x v="0"/>
    <s v="No"/>
    <x v="0"/>
    <x v="0"/>
    <x v="0"/>
    <s v="ALK"/>
    <s v="No"/>
    <s v="No"/>
    <s v="No"/>
    <s v="No"/>
    <s v="Yes"/>
    <s v="Yes"/>
    <s v="No"/>
    <s v="Yes"/>
    <s v="No"/>
    <s v="No"/>
    <x v="1"/>
    <s v="Not Applicable"/>
    <x v="3"/>
    <n v="4.4000000000000004"/>
    <s v="No"/>
    <s v="Bronchoscopy"/>
    <s v="Immunotherapy"/>
    <n v="32"/>
    <s v="No"/>
  </r>
  <r>
    <s v="LC-0385"/>
    <n v="2020"/>
    <d v="2020-04-27T00:00:00"/>
    <s v="South-East Asia"/>
    <s v="Bangladesh"/>
    <n v="71"/>
    <x v="0"/>
    <x v="2"/>
    <n v="0"/>
    <n v="0"/>
    <x v="0"/>
    <x v="0"/>
    <x v="0"/>
    <x v="0"/>
    <x v="2"/>
    <n v="16"/>
    <x v="0"/>
    <s v="No"/>
    <x v="0"/>
    <x v="0"/>
    <x v="0"/>
    <s v="EGFR"/>
    <s v="Yes"/>
    <s v="No"/>
    <s v="No"/>
    <s v="No"/>
    <s v="Yes"/>
    <s v="No"/>
    <s v="No"/>
    <s v="No"/>
    <s v="Yes"/>
    <s v="No"/>
    <x v="0"/>
    <s v="Adenocarcinoma"/>
    <x v="3"/>
    <n v="4.0999999999999996"/>
    <s v="No"/>
    <s v="PET Scan"/>
    <s v="Surgery"/>
    <n v="31"/>
    <s v="No"/>
  </r>
  <r>
    <s v="LC-0386"/>
    <n v="2021"/>
    <d v="2021-08-04T00:00:00"/>
    <s v="Western Pacific"/>
    <s v="South Korea"/>
    <n v="65"/>
    <x v="1"/>
    <x v="1"/>
    <n v="18"/>
    <n v="23"/>
    <x v="0"/>
    <x v="0"/>
    <x v="0"/>
    <x v="1"/>
    <x v="0"/>
    <n v="26.9"/>
    <x v="0"/>
    <s v="No"/>
    <x v="0"/>
    <x v="0"/>
    <x v="0"/>
    <s v="No Mutation"/>
    <s v="Yes"/>
    <s v="No"/>
    <s v="Yes"/>
    <s v="No"/>
    <s v="Yes"/>
    <s v="No"/>
    <s v="No"/>
    <s v="No"/>
    <s v="No"/>
    <s v="No"/>
    <x v="0"/>
    <s v="Large Cell"/>
    <x v="0"/>
    <n v="5.7"/>
    <s v="Yes"/>
    <s v="PET Scan"/>
    <s v="Radiotherapy"/>
    <n v="5"/>
    <s v="No"/>
  </r>
  <r>
    <s v="LC-0387"/>
    <n v="2018"/>
    <d v="2018-08-23T00:00:00"/>
    <s v="Western Pacific"/>
    <s v="Philippines"/>
    <n v="63"/>
    <x v="0"/>
    <x v="2"/>
    <n v="0"/>
    <n v="0"/>
    <x v="1"/>
    <x v="0"/>
    <x v="0"/>
    <x v="1"/>
    <x v="2"/>
    <n v="31.5"/>
    <x v="1"/>
    <s v="No"/>
    <x v="0"/>
    <x v="0"/>
    <x v="0"/>
    <s v="KRAS"/>
    <s v="No"/>
    <s v="No"/>
    <s v="No"/>
    <s v="No"/>
    <s v="Yes"/>
    <s v="No"/>
    <s v="No"/>
    <s v="Yes"/>
    <s v="No"/>
    <s v="Yes"/>
    <x v="0"/>
    <s v="Squamous Cell"/>
    <x v="1"/>
    <n v="1.3"/>
    <s v="No"/>
    <s v="Chest X-Ray"/>
    <s v="Radiotherapy"/>
    <n v="49"/>
    <s v="Yes"/>
  </r>
  <r>
    <s v="LC-0388"/>
    <n v="2022"/>
    <d v="2022-09-23T00:00:00"/>
    <s v="Europe"/>
    <s v="Spain"/>
    <n v="64"/>
    <x v="0"/>
    <x v="2"/>
    <n v="0"/>
    <n v="0"/>
    <x v="0"/>
    <x v="0"/>
    <x v="0"/>
    <x v="1"/>
    <x v="2"/>
    <n v="32"/>
    <x v="0"/>
    <s v="No"/>
    <x v="0"/>
    <x v="0"/>
    <x v="0"/>
    <s v="No Mutation"/>
    <s v="No"/>
    <s v="No"/>
    <s v="Yes"/>
    <s v="No"/>
    <s v="No"/>
    <s v="No"/>
    <s v="No"/>
    <s v="No"/>
    <s v="Yes"/>
    <s v="No"/>
    <x v="0"/>
    <s v="Adenocarcinoma"/>
    <x v="2"/>
    <n v="6.2"/>
    <s v="No"/>
    <s v="PET Scan"/>
    <s v="Chemo + Radiation"/>
    <n v="13"/>
    <s v="Yes"/>
  </r>
  <r>
    <s v="LC-0389"/>
    <n v="2024"/>
    <d v="2024-07-27T00:00:00"/>
    <s v="Europe"/>
    <s v="Poland"/>
    <n v="53"/>
    <x v="0"/>
    <x v="2"/>
    <n v="0"/>
    <n v="0"/>
    <x v="0"/>
    <x v="0"/>
    <x v="1"/>
    <x v="2"/>
    <x v="2"/>
    <n v="26.6"/>
    <x v="2"/>
    <s v="No"/>
    <x v="0"/>
    <x v="0"/>
    <x v="0"/>
    <s v="No Mutation"/>
    <s v="Yes"/>
    <s v="Yes"/>
    <s v="Yes"/>
    <s v="No"/>
    <s v="Yes"/>
    <s v="No"/>
    <s v="No"/>
    <s v="Yes"/>
    <s v="No"/>
    <s v="No"/>
    <x v="0"/>
    <s v="Adenocarcinoma"/>
    <x v="3"/>
    <n v="3.3"/>
    <s v="No"/>
    <s v="PET Scan"/>
    <s v="Surgery + Chemotherapy"/>
    <n v="34"/>
    <s v="Yes"/>
  </r>
  <r>
    <s v="LC-0390"/>
    <n v="2019"/>
    <d v="2019-08-08T00:00:00"/>
    <s v="Europe"/>
    <s v="Poland"/>
    <n v="57"/>
    <x v="1"/>
    <x v="2"/>
    <n v="0"/>
    <n v="0"/>
    <x v="0"/>
    <x v="0"/>
    <x v="0"/>
    <x v="1"/>
    <x v="1"/>
    <n v="22.2"/>
    <x v="1"/>
    <s v="No"/>
    <x v="0"/>
    <x v="0"/>
    <x v="0"/>
    <s v="EGFR"/>
    <s v="Yes"/>
    <s v="No"/>
    <s v="No"/>
    <s v="Yes"/>
    <s v="Yes"/>
    <s v="No"/>
    <s v="No"/>
    <s v="No"/>
    <s v="No"/>
    <s v="No"/>
    <x v="0"/>
    <s v="Adenocarcinoma"/>
    <x v="1"/>
    <n v="2.1"/>
    <s v="No"/>
    <s v="CT Scan"/>
    <s v="Surgery"/>
    <n v="42"/>
    <s v="No"/>
  </r>
  <r>
    <s v="LC-0391"/>
    <n v="2017"/>
    <d v="2017-09-05T00:00:00"/>
    <s v="Europe"/>
    <s v="Turkey"/>
    <n v="77"/>
    <x v="1"/>
    <x v="1"/>
    <n v="12"/>
    <n v="28"/>
    <x v="0"/>
    <x v="0"/>
    <x v="0"/>
    <x v="2"/>
    <x v="2"/>
    <n v="29.4"/>
    <x v="2"/>
    <s v="No"/>
    <x v="0"/>
    <x v="0"/>
    <x v="0"/>
    <s v="EGFR"/>
    <s v="No"/>
    <s v="No"/>
    <s v="No"/>
    <s v="No"/>
    <s v="No"/>
    <s v="No"/>
    <s v="Yes"/>
    <s v="Yes"/>
    <s v="No"/>
    <s v="No"/>
    <x v="0"/>
    <s v="Large Cell"/>
    <x v="0"/>
    <n v="8.6999999999999993"/>
    <s v="Yes"/>
    <s v="Biopsy"/>
    <s v="Immunotherapy"/>
    <n v="11"/>
    <s v="No"/>
  </r>
  <r>
    <s v="LC-0392"/>
    <n v="2016"/>
    <d v="2016-04-20T00:00:00"/>
    <s v="Western Pacific"/>
    <s v="Singapore"/>
    <n v="76"/>
    <x v="1"/>
    <x v="2"/>
    <n v="0"/>
    <n v="0"/>
    <x v="0"/>
    <x v="0"/>
    <x v="0"/>
    <x v="0"/>
    <x v="2"/>
    <n v="20.8"/>
    <x v="1"/>
    <s v="No"/>
    <x v="0"/>
    <x v="0"/>
    <x v="0"/>
    <s v="EGFR"/>
    <s v="No"/>
    <s v="Yes"/>
    <s v="No"/>
    <s v="No"/>
    <s v="No"/>
    <s v="No"/>
    <s v="No"/>
    <s v="No"/>
    <s v="No"/>
    <s v="No"/>
    <x v="0"/>
    <s v="Adenocarcinoma"/>
    <x v="3"/>
    <n v="2.9"/>
    <s v="No"/>
    <s v="CT Scan"/>
    <s v="Surgery"/>
    <n v="20"/>
    <s v="Yes"/>
  </r>
  <r>
    <s v="LC-0393"/>
    <n v="2021"/>
    <d v="2021-12-05T00:00:00"/>
    <s v="Western Pacific"/>
    <s v="Japan"/>
    <n v="55"/>
    <x v="0"/>
    <x v="2"/>
    <n v="0"/>
    <n v="0"/>
    <x v="1"/>
    <x v="0"/>
    <x v="0"/>
    <x v="0"/>
    <x v="2"/>
    <n v="32"/>
    <x v="2"/>
    <s v="No"/>
    <x v="0"/>
    <x v="0"/>
    <x v="0"/>
    <s v="EGFR"/>
    <s v="No"/>
    <s v="No"/>
    <s v="No"/>
    <s v="No"/>
    <s v="No"/>
    <s v="No"/>
    <s v="No"/>
    <s v="No"/>
    <s v="No"/>
    <s v="No"/>
    <x v="0"/>
    <s v="Adenocarcinoma"/>
    <x v="0"/>
    <n v="7.6"/>
    <s v="Yes"/>
    <s v="Biopsy"/>
    <s v="Targeted Therapy"/>
    <n v="13"/>
    <s v="No"/>
  </r>
  <r>
    <s v="LC-0394"/>
    <n v="2022"/>
    <d v="2022-05-25T00:00:00"/>
    <s v="Americas"/>
    <s v="Chile"/>
    <n v="49"/>
    <x v="0"/>
    <x v="0"/>
    <n v="42"/>
    <n v="11"/>
    <x v="1"/>
    <x v="0"/>
    <x v="0"/>
    <x v="0"/>
    <x v="2"/>
    <n v="25.1"/>
    <x v="0"/>
    <s v="No"/>
    <x v="0"/>
    <x v="1"/>
    <x v="0"/>
    <s v="KRAS"/>
    <s v="Yes"/>
    <s v="Yes"/>
    <s v="Yes"/>
    <s v="No"/>
    <s v="Yes"/>
    <s v="Yes"/>
    <s v="No"/>
    <s v="No"/>
    <s v="No"/>
    <s v="No"/>
    <x v="0"/>
    <s v="Squamous Cell"/>
    <x v="1"/>
    <n v="1.8"/>
    <s v="No"/>
    <s v="LDCT Screening"/>
    <s v="Surgery"/>
    <n v="40"/>
    <s v="Yes"/>
  </r>
  <r>
    <s v="LC-0395"/>
    <n v="2018"/>
    <d v="2018-06-26T00:00:00"/>
    <s v="Western Pacific"/>
    <s v="Singapore"/>
    <n v="62"/>
    <x v="0"/>
    <x v="0"/>
    <n v="5"/>
    <n v="27"/>
    <x v="1"/>
    <x v="0"/>
    <x v="0"/>
    <x v="0"/>
    <x v="0"/>
    <n v="25.7"/>
    <x v="2"/>
    <s v="No"/>
    <x v="0"/>
    <x v="0"/>
    <x v="0"/>
    <s v="No Mutation"/>
    <s v="No"/>
    <s v="Yes"/>
    <s v="Yes"/>
    <s v="Yes"/>
    <s v="No"/>
    <s v="Yes"/>
    <s v="Yes"/>
    <s v="No"/>
    <s v="Yes"/>
    <s v="No"/>
    <x v="0"/>
    <s v="Adenocarcinoma"/>
    <x v="1"/>
    <n v="2.8"/>
    <s v="No"/>
    <s v="Bronchoscopy"/>
    <s v="Surgery + Chemotherapy"/>
    <n v="52"/>
    <s v="No"/>
  </r>
  <r>
    <s v="LC-0396"/>
    <n v="2018"/>
    <d v="2018-05-27T00:00:00"/>
    <s v="Americas"/>
    <s v="USA"/>
    <n v="62"/>
    <x v="1"/>
    <x v="2"/>
    <n v="0"/>
    <n v="0"/>
    <x v="0"/>
    <x v="0"/>
    <x v="1"/>
    <x v="0"/>
    <x v="0"/>
    <n v="24.1"/>
    <x v="1"/>
    <s v="No"/>
    <x v="0"/>
    <x v="0"/>
    <x v="0"/>
    <s v="ROS1"/>
    <s v="No"/>
    <s v="No"/>
    <s v="No"/>
    <s v="Yes"/>
    <s v="Yes"/>
    <s v="No"/>
    <s v="No"/>
    <s v="No"/>
    <s v="No"/>
    <s v="No"/>
    <x v="1"/>
    <s v="Not Applicable"/>
    <x v="3"/>
    <n v="3.3"/>
    <s v="No"/>
    <s v="CT Scan"/>
    <s v="Surgery + Chemotherapy"/>
    <n v="37"/>
    <s v="No"/>
  </r>
  <r>
    <s v="LC-0397"/>
    <n v="2023"/>
    <d v="2023-05-24T00:00:00"/>
    <s v="Western Pacific"/>
    <s v="Philippines"/>
    <n v="76"/>
    <x v="1"/>
    <x v="1"/>
    <n v="9"/>
    <n v="22"/>
    <x v="1"/>
    <x v="0"/>
    <x v="0"/>
    <x v="1"/>
    <x v="0"/>
    <n v="29.3"/>
    <x v="0"/>
    <s v="No"/>
    <x v="0"/>
    <x v="0"/>
    <x v="1"/>
    <s v="No Mutation"/>
    <s v="Yes"/>
    <s v="No"/>
    <s v="No"/>
    <s v="No"/>
    <s v="Yes"/>
    <s v="Yes"/>
    <s v="Yes"/>
    <s v="Yes"/>
    <s v="No"/>
    <s v="No"/>
    <x v="0"/>
    <s v="Adenocarcinoma"/>
    <x v="1"/>
    <n v="2.1"/>
    <s v="No"/>
    <s v="PET Scan"/>
    <s v="Surgery"/>
    <n v="93"/>
    <s v="Yes"/>
  </r>
  <r>
    <s v="LC-0398"/>
    <n v="2018"/>
    <d v="2018-10-19T00:00:00"/>
    <s v="Western Pacific"/>
    <s v="New Zealand"/>
    <n v="60"/>
    <x v="1"/>
    <x v="2"/>
    <n v="0"/>
    <n v="0"/>
    <x v="0"/>
    <x v="0"/>
    <x v="0"/>
    <x v="0"/>
    <x v="2"/>
    <n v="27.3"/>
    <x v="2"/>
    <s v="Yes"/>
    <x v="0"/>
    <x v="0"/>
    <x v="0"/>
    <s v="ROS1"/>
    <s v="No"/>
    <s v="No"/>
    <s v="No"/>
    <s v="No"/>
    <s v="Yes"/>
    <s v="Yes"/>
    <s v="No"/>
    <s v="No"/>
    <s v="No"/>
    <s v="No"/>
    <x v="0"/>
    <s v="Adenocarcinoma"/>
    <x v="3"/>
    <n v="3.8"/>
    <s v="No"/>
    <s v="Chest X-Ray"/>
    <s v="Radiotherapy"/>
    <n v="59"/>
    <s v="Yes"/>
  </r>
  <r>
    <s v="LC-0399"/>
    <n v="2018"/>
    <d v="2018-03-15T00:00:00"/>
    <s v="Europe"/>
    <s v="Netherlands"/>
    <n v="59"/>
    <x v="1"/>
    <x v="2"/>
    <n v="0"/>
    <n v="0"/>
    <x v="0"/>
    <x v="0"/>
    <x v="1"/>
    <x v="1"/>
    <x v="1"/>
    <n v="25.6"/>
    <x v="0"/>
    <s v="No"/>
    <x v="1"/>
    <x v="0"/>
    <x v="0"/>
    <s v="EGFR"/>
    <s v="Yes"/>
    <s v="Yes"/>
    <s v="No"/>
    <s v="No"/>
    <s v="Yes"/>
    <s v="No"/>
    <s v="Yes"/>
    <s v="Yes"/>
    <s v="Yes"/>
    <s v="No"/>
    <x v="0"/>
    <s v="Adenocarcinoma"/>
    <x v="1"/>
    <n v="1.2"/>
    <s v="No"/>
    <s v="LDCT Screening"/>
    <s v="Radiotherapy"/>
    <n v="19"/>
    <s v="Yes"/>
  </r>
  <r>
    <s v="LC-0400"/>
    <n v="2019"/>
    <d v="2019-08-12T00:00:00"/>
    <s v="Europe"/>
    <s v="Russia"/>
    <n v="57"/>
    <x v="0"/>
    <x v="0"/>
    <n v="20"/>
    <n v="27"/>
    <x v="1"/>
    <x v="0"/>
    <x v="1"/>
    <x v="0"/>
    <x v="2"/>
    <n v="21.2"/>
    <x v="0"/>
    <s v="No"/>
    <x v="0"/>
    <x v="0"/>
    <x v="1"/>
    <s v="KRAS"/>
    <s v="No"/>
    <s v="Yes"/>
    <s v="No"/>
    <s v="Yes"/>
    <s v="Yes"/>
    <s v="No"/>
    <s v="Yes"/>
    <s v="No"/>
    <s v="No"/>
    <s v="No"/>
    <x v="0"/>
    <s v="Squamous Cell"/>
    <x v="2"/>
    <n v="5.9"/>
    <s v="No"/>
    <s v="Chest X-Ray"/>
    <s v="Chemo + Radiation"/>
    <n v="14"/>
    <s v="Yes"/>
  </r>
  <r>
    <s v="LC-0401"/>
    <n v="2018"/>
    <d v="2018-09-25T00:00:00"/>
    <s v="Western Pacific"/>
    <s v="Singapore"/>
    <n v="74"/>
    <x v="0"/>
    <x v="2"/>
    <n v="0"/>
    <n v="0"/>
    <x v="1"/>
    <x v="0"/>
    <x v="0"/>
    <x v="2"/>
    <x v="2"/>
    <n v="23.7"/>
    <x v="2"/>
    <s v="No"/>
    <x v="0"/>
    <x v="0"/>
    <x v="0"/>
    <s v="EGFR"/>
    <s v="No"/>
    <s v="Yes"/>
    <s v="No"/>
    <s v="No"/>
    <s v="Yes"/>
    <s v="No"/>
    <s v="No"/>
    <s v="Yes"/>
    <s v="No"/>
    <s v="Yes"/>
    <x v="0"/>
    <s v="Adenocarcinoma"/>
    <x v="2"/>
    <n v="7.1"/>
    <s v="No"/>
    <s v="CT Scan"/>
    <s v="Chemotherapy"/>
    <n v="11"/>
    <s v="No"/>
  </r>
  <r>
    <s v="LC-0402"/>
    <n v="2019"/>
    <d v="2019-07-15T00:00:00"/>
    <s v="South-East Asia"/>
    <s v="Sri Lanka"/>
    <n v="68"/>
    <x v="1"/>
    <x v="2"/>
    <n v="0"/>
    <n v="0"/>
    <x v="0"/>
    <x v="0"/>
    <x v="0"/>
    <x v="1"/>
    <x v="0"/>
    <n v="24"/>
    <x v="1"/>
    <s v="No"/>
    <x v="0"/>
    <x v="0"/>
    <x v="0"/>
    <s v="EGFR"/>
    <s v="No"/>
    <s v="No"/>
    <s v="No"/>
    <s v="No"/>
    <s v="Yes"/>
    <s v="No"/>
    <s v="No"/>
    <s v="No"/>
    <s v="No"/>
    <s v="No"/>
    <x v="0"/>
    <s v="Squamous Cell"/>
    <x v="2"/>
    <n v="6.8"/>
    <s v="Yes"/>
    <s v="CT Scan"/>
    <s v="Chemotherapy"/>
    <n v="18"/>
    <s v="No"/>
  </r>
  <r>
    <s v="LC-0403"/>
    <n v="2021"/>
    <d v="2021-04-23T00:00:00"/>
    <s v="Europe"/>
    <s v="Italy"/>
    <n v="55"/>
    <x v="0"/>
    <x v="2"/>
    <n v="0"/>
    <n v="0"/>
    <x v="1"/>
    <x v="0"/>
    <x v="0"/>
    <x v="1"/>
    <x v="0"/>
    <n v="25.1"/>
    <x v="0"/>
    <s v="No"/>
    <x v="0"/>
    <x v="0"/>
    <x v="0"/>
    <s v="EGFR"/>
    <s v="No"/>
    <s v="No"/>
    <s v="No"/>
    <s v="Yes"/>
    <s v="Yes"/>
    <s v="No"/>
    <s v="No"/>
    <s v="No"/>
    <s v="Yes"/>
    <s v="No"/>
    <x v="0"/>
    <s v="Adenocarcinoma"/>
    <x v="0"/>
    <n v="8.6"/>
    <s v="Yes"/>
    <s v="CT Scan"/>
    <s v="Chemotherapy"/>
    <n v="4"/>
    <s v="No"/>
  </r>
  <r>
    <s v="LC-0404"/>
    <n v="2018"/>
    <d v="2018-10-13T00:00:00"/>
    <s v="Africa"/>
    <s v="Egypt"/>
    <n v="69"/>
    <x v="1"/>
    <x v="2"/>
    <n v="0"/>
    <n v="0"/>
    <x v="1"/>
    <x v="0"/>
    <x v="1"/>
    <x v="1"/>
    <x v="2"/>
    <n v="23.6"/>
    <x v="1"/>
    <s v="No"/>
    <x v="0"/>
    <x v="0"/>
    <x v="0"/>
    <s v="ALK"/>
    <s v="Yes"/>
    <s v="No"/>
    <s v="Yes"/>
    <s v="Yes"/>
    <s v="Yes"/>
    <s v="No"/>
    <s v="No"/>
    <s v="No"/>
    <s v="No"/>
    <s v="No"/>
    <x v="0"/>
    <s v="Adenocarcinoma"/>
    <x v="3"/>
    <n v="2"/>
    <s v="No"/>
    <s v="MRI"/>
    <s v="Immunotherapy"/>
    <n v="59"/>
    <s v="No"/>
  </r>
  <r>
    <s v="LC-0405"/>
    <n v="2025"/>
    <d v="2025-07-02T00:00:00"/>
    <s v="Western Pacific"/>
    <s v="Vietnam"/>
    <n v="68"/>
    <x v="0"/>
    <x v="2"/>
    <n v="0"/>
    <n v="0"/>
    <x v="1"/>
    <x v="0"/>
    <x v="0"/>
    <x v="1"/>
    <x v="0"/>
    <n v="24.6"/>
    <x v="1"/>
    <s v="No"/>
    <x v="0"/>
    <x v="0"/>
    <x v="0"/>
    <s v="ROS1"/>
    <s v="No"/>
    <s v="Yes"/>
    <s v="No"/>
    <s v="No"/>
    <s v="No"/>
    <s v="Yes"/>
    <s v="No"/>
    <s v="No"/>
    <s v="No"/>
    <s v="Yes"/>
    <x v="0"/>
    <s v="Squamous Cell"/>
    <x v="1"/>
    <n v="2.2999999999999998"/>
    <s v="No"/>
    <s v="LDCT Screening"/>
    <s v="Surgery + Chemotherapy"/>
    <n v="84"/>
    <s v="No"/>
  </r>
  <r>
    <s v="LC-0406"/>
    <n v="2025"/>
    <d v="2025-12-16T00:00:00"/>
    <s v="Americas"/>
    <s v="Chile"/>
    <n v="52"/>
    <x v="1"/>
    <x v="2"/>
    <n v="0"/>
    <n v="0"/>
    <x v="0"/>
    <x v="1"/>
    <x v="0"/>
    <x v="0"/>
    <x v="2"/>
    <n v="28.3"/>
    <x v="1"/>
    <s v="No"/>
    <x v="0"/>
    <x v="0"/>
    <x v="0"/>
    <s v="EGFR"/>
    <s v="No"/>
    <s v="No"/>
    <s v="No"/>
    <s v="Yes"/>
    <s v="No"/>
    <s v="No"/>
    <s v="No"/>
    <s v="No"/>
    <s v="No"/>
    <s v="No"/>
    <x v="0"/>
    <s v="Adenocarcinoma"/>
    <x v="2"/>
    <n v="7.6"/>
    <s v="No"/>
    <s v="Chest X-Ray"/>
    <s v="Chemo + Radiation"/>
    <n v="22"/>
    <s v="No"/>
  </r>
  <r>
    <s v="LC-0407"/>
    <n v="2019"/>
    <d v="2019-07-22T00:00:00"/>
    <s v="Western Pacific"/>
    <s v="South Korea"/>
    <n v="61"/>
    <x v="1"/>
    <x v="0"/>
    <n v="36"/>
    <n v="17"/>
    <x v="1"/>
    <x v="0"/>
    <x v="0"/>
    <x v="2"/>
    <x v="2"/>
    <n v="24.9"/>
    <x v="2"/>
    <s v="No"/>
    <x v="0"/>
    <x v="0"/>
    <x v="0"/>
    <s v="KRAS"/>
    <s v="Yes"/>
    <s v="No"/>
    <s v="No"/>
    <s v="No"/>
    <s v="Yes"/>
    <s v="Yes"/>
    <s v="Yes"/>
    <s v="No"/>
    <s v="Yes"/>
    <s v="No"/>
    <x v="0"/>
    <s v="Squamous Cell"/>
    <x v="0"/>
    <n v="9.8000000000000007"/>
    <s v="Yes"/>
    <s v="PET Scan"/>
    <s v="Immunotherapy"/>
    <n v="8"/>
    <s v="No"/>
  </r>
  <r>
    <s v="LC-0408"/>
    <n v="2022"/>
    <d v="2022-08-02T00:00:00"/>
    <s v="Americas"/>
    <s v="Brazil"/>
    <n v="66"/>
    <x v="0"/>
    <x v="2"/>
    <n v="0"/>
    <n v="0"/>
    <x v="0"/>
    <x v="0"/>
    <x v="0"/>
    <x v="0"/>
    <x v="1"/>
    <n v="22.9"/>
    <x v="0"/>
    <s v="No"/>
    <x v="0"/>
    <x v="0"/>
    <x v="0"/>
    <s v="KRAS"/>
    <s v="Yes"/>
    <s v="No"/>
    <s v="No"/>
    <s v="No"/>
    <s v="No"/>
    <s v="No"/>
    <s v="No"/>
    <s v="No"/>
    <s v="Yes"/>
    <s v="No"/>
    <x v="0"/>
    <s v="Adenocarcinoma"/>
    <x v="0"/>
    <n v="6.8"/>
    <s v="Yes"/>
    <s v="Biopsy"/>
    <s v="Chemo + Radiation"/>
    <n v="4"/>
    <s v="No"/>
  </r>
  <r>
    <s v="LC-0409"/>
    <n v="2015"/>
    <d v="2015-09-19T00:00:00"/>
    <s v="Western Pacific"/>
    <s v="Vietnam"/>
    <n v="62"/>
    <x v="1"/>
    <x v="2"/>
    <n v="0"/>
    <n v="0"/>
    <x v="1"/>
    <x v="0"/>
    <x v="0"/>
    <x v="0"/>
    <x v="0"/>
    <n v="26.8"/>
    <x v="1"/>
    <s v="No"/>
    <x v="0"/>
    <x v="0"/>
    <x v="0"/>
    <s v="KRAS"/>
    <s v="Yes"/>
    <s v="No"/>
    <s v="No"/>
    <s v="Yes"/>
    <s v="No"/>
    <s v="No"/>
    <s v="Yes"/>
    <s v="No"/>
    <s v="No"/>
    <s v="No"/>
    <x v="0"/>
    <s v="Adenocarcinoma"/>
    <x v="0"/>
    <n v="9.6999999999999993"/>
    <s v="Yes"/>
    <s v="Biopsy"/>
    <s v="Chemo + Radiation"/>
    <n v="10"/>
    <s v="No"/>
  </r>
  <r>
    <s v="LC-0410"/>
    <n v="2021"/>
    <d v="2021-02-28T00:00:00"/>
    <s v="Americas"/>
    <s v="Peru"/>
    <n v="64"/>
    <x v="0"/>
    <x v="1"/>
    <n v="15"/>
    <n v="8"/>
    <x v="1"/>
    <x v="0"/>
    <x v="0"/>
    <x v="1"/>
    <x v="1"/>
    <n v="28.4"/>
    <x v="0"/>
    <s v="Yes"/>
    <x v="0"/>
    <x v="0"/>
    <x v="0"/>
    <s v="TP53"/>
    <s v="Yes"/>
    <s v="Yes"/>
    <s v="No"/>
    <s v="No"/>
    <s v="Yes"/>
    <s v="Yes"/>
    <s v="No"/>
    <s v="No"/>
    <s v="No"/>
    <s v="No"/>
    <x v="1"/>
    <s v="Not Applicable"/>
    <x v="2"/>
    <n v="3"/>
    <s v="No"/>
    <s v="Bronchoscopy"/>
    <s v="Targeted Therapy"/>
    <n v="14"/>
    <s v="No"/>
  </r>
  <r>
    <s v="LC-0411"/>
    <n v="2024"/>
    <d v="2024-02-17T00:00:00"/>
    <s v="Western Pacific"/>
    <s v="New Zealand"/>
    <n v="49"/>
    <x v="0"/>
    <x v="0"/>
    <n v="24"/>
    <n v="16"/>
    <x v="1"/>
    <x v="1"/>
    <x v="0"/>
    <x v="0"/>
    <x v="1"/>
    <n v="17.600000000000001"/>
    <x v="1"/>
    <s v="Yes"/>
    <x v="0"/>
    <x v="0"/>
    <x v="0"/>
    <s v="TP53"/>
    <s v="Yes"/>
    <s v="Yes"/>
    <s v="No"/>
    <s v="Yes"/>
    <s v="Yes"/>
    <s v="No"/>
    <s v="Yes"/>
    <s v="No"/>
    <s v="No"/>
    <s v="No"/>
    <x v="0"/>
    <s v="Adenocarcinoma"/>
    <x v="1"/>
    <n v="3.1"/>
    <s v="No"/>
    <s v="Chest X-Ray"/>
    <s v="Surgery + Chemotherapy"/>
    <n v="80"/>
    <s v="Yes"/>
  </r>
  <r>
    <s v="LC-0412"/>
    <n v="2024"/>
    <d v="2024-01-24T00:00:00"/>
    <s v="Europe"/>
    <s v="France"/>
    <n v="74"/>
    <x v="1"/>
    <x v="2"/>
    <n v="0"/>
    <n v="0"/>
    <x v="1"/>
    <x v="0"/>
    <x v="0"/>
    <x v="0"/>
    <x v="0"/>
    <n v="24.3"/>
    <x v="2"/>
    <s v="No"/>
    <x v="0"/>
    <x v="0"/>
    <x v="0"/>
    <s v="ALK"/>
    <s v="Yes"/>
    <s v="No"/>
    <s v="No"/>
    <s v="No"/>
    <s v="No"/>
    <s v="Yes"/>
    <s v="Yes"/>
    <s v="No"/>
    <s v="No"/>
    <s v="No"/>
    <x v="0"/>
    <s v="Squamous Cell"/>
    <x v="0"/>
    <n v="7.3"/>
    <s v="Yes"/>
    <s v="PET Scan"/>
    <s v="Chemotherapy"/>
    <n v="3"/>
    <s v="No"/>
  </r>
  <r>
    <s v="LC-0413"/>
    <n v="2018"/>
    <d v="2018-07-28T00:00:00"/>
    <s v="Europe"/>
    <s v="France"/>
    <n v="63"/>
    <x v="1"/>
    <x v="2"/>
    <n v="0"/>
    <n v="0"/>
    <x v="1"/>
    <x v="0"/>
    <x v="1"/>
    <x v="2"/>
    <x v="0"/>
    <n v="25.6"/>
    <x v="2"/>
    <s v="No"/>
    <x v="0"/>
    <x v="0"/>
    <x v="0"/>
    <s v="MET"/>
    <s v="No"/>
    <s v="Yes"/>
    <s v="Yes"/>
    <s v="No"/>
    <s v="No"/>
    <s v="No"/>
    <s v="No"/>
    <s v="No"/>
    <s v="No"/>
    <s v="No"/>
    <x v="0"/>
    <s v="Large Cell"/>
    <x v="1"/>
    <n v="1.8"/>
    <s v="No"/>
    <s v="CT Scan"/>
    <s v="Surgery + Chemotherapy"/>
    <n v="81"/>
    <s v="No"/>
  </r>
  <r>
    <s v="LC-0414"/>
    <n v="2021"/>
    <d v="2021-02-16T00:00:00"/>
    <s v="South-East Asia"/>
    <s v="Myanmar"/>
    <n v="61"/>
    <x v="1"/>
    <x v="2"/>
    <n v="0"/>
    <n v="0"/>
    <x v="1"/>
    <x v="0"/>
    <x v="0"/>
    <x v="2"/>
    <x v="2"/>
    <n v="22.7"/>
    <x v="0"/>
    <s v="No"/>
    <x v="0"/>
    <x v="0"/>
    <x v="0"/>
    <s v="No Mutation"/>
    <s v="Yes"/>
    <s v="Yes"/>
    <s v="No"/>
    <s v="No"/>
    <s v="No"/>
    <s v="Yes"/>
    <s v="Yes"/>
    <s v="Yes"/>
    <s v="No"/>
    <s v="No"/>
    <x v="0"/>
    <s v="Squamous Cell"/>
    <x v="1"/>
    <n v="0.9"/>
    <s v="No"/>
    <s v="CT Scan"/>
    <s v="Immunotherapy"/>
    <n v="48"/>
    <s v="Yes"/>
  </r>
  <r>
    <s v="LC-0415"/>
    <n v="2021"/>
    <d v="2021-06-20T00:00:00"/>
    <s v="Europe"/>
    <s v="Turkey"/>
    <n v="59"/>
    <x v="0"/>
    <x v="0"/>
    <n v="38"/>
    <n v="22"/>
    <x v="1"/>
    <x v="0"/>
    <x v="1"/>
    <x v="1"/>
    <x v="1"/>
    <n v="27.1"/>
    <x v="2"/>
    <s v="Yes"/>
    <x v="0"/>
    <x v="0"/>
    <x v="0"/>
    <s v="No Mutation"/>
    <s v="Yes"/>
    <s v="Yes"/>
    <s v="No"/>
    <s v="No"/>
    <s v="No"/>
    <s v="No"/>
    <s v="Yes"/>
    <s v="Yes"/>
    <s v="No"/>
    <s v="No"/>
    <x v="0"/>
    <s v="Squamous Cell"/>
    <x v="1"/>
    <n v="2.6"/>
    <s v="No"/>
    <s v="LDCT Screening"/>
    <s v="Surgery"/>
    <n v="68"/>
    <s v="Yes"/>
  </r>
  <r>
    <s v="LC-0416"/>
    <n v="2019"/>
    <d v="2019-11-03T00:00:00"/>
    <s v="Americas"/>
    <s v="Colombia"/>
    <n v="43"/>
    <x v="1"/>
    <x v="0"/>
    <n v="9"/>
    <n v="25"/>
    <x v="0"/>
    <x v="0"/>
    <x v="1"/>
    <x v="1"/>
    <x v="0"/>
    <n v="35.299999999999997"/>
    <x v="2"/>
    <s v="Yes"/>
    <x v="0"/>
    <x v="0"/>
    <x v="0"/>
    <s v="TP53"/>
    <s v="Yes"/>
    <s v="No"/>
    <s v="Yes"/>
    <s v="No"/>
    <s v="Yes"/>
    <s v="Yes"/>
    <s v="No"/>
    <s v="No"/>
    <s v="No"/>
    <s v="No"/>
    <x v="1"/>
    <s v="Not Applicable"/>
    <x v="0"/>
    <n v="5.5"/>
    <s v="Yes"/>
    <s v="PET Scan"/>
    <s v="Immunotherapy"/>
    <n v="1"/>
    <s v="No"/>
  </r>
  <r>
    <s v="LC-0417"/>
    <n v="2019"/>
    <d v="2019-11-28T00:00:00"/>
    <s v="Europe"/>
    <s v="Netherlands"/>
    <n v="67"/>
    <x v="1"/>
    <x v="2"/>
    <n v="0"/>
    <n v="0"/>
    <x v="0"/>
    <x v="0"/>
    <x v="0"/>
    <x v="2"/>
    <x v="0"/>
    <n v="27.4"/>
    <x v="0"/>
    <s v="No"/>
    <x v="0"/>
    <x v="0"/>
    <x v="0"/>
    <s v="No Mutation"/>
    <s v="No"/>
    <s v="No"/>
    <s v="No"/>
    <s v="Yes"/>
    <s v="Yes"/>
    <s v="Yes"/>
    <s v="No"/>
    <s v="No"/>
    <s v="Yes"/>
    <s v="No"/>
    <x v="0"/>
    <s v="Adenocarcinoma"/>
    <x v="2"/>
    <n v="5.0999999999999996"/>
    <s v="No"/>
    <s v="Biopsy"/>
    <s v="Chemotherapy"/>
    <n v="11"/>
    <s v="No"/>
  </r>
  <r>
    <s v="LC-0418"/>
    <n v="2025"/>
    <d v="2025-07-11T00:00:00"/>
    <s v="Eastern Mediterranean"/>
    <s v="Oman"/>
    <n v="55"/>
    <x v="0"/>
    <x v="2"/>
    <n v="0"/>
    <n v="0"/>
    <x v="0"/>
    <x v="0"/>
    <x v="0"/>
    <x v="0"/>
    <x v="2"/>
    <n v="26.9"/>
    <x v="1"/>
    <s v="No"/>
    <x v="0"/>
    <x v="0"/>
    <x v="0"/>
    <s v="No Mutation"/>
    <s v="No"/>
    <s v="Yes"/>
    <s v="No"/>
    <s v="No"/>
    <s v="Yes"/>
    <s v="No"/>
    <s v="No"/>
    <s v="Yes"/>
    <s v="Yes"/>
    <s v="No"/>
    <x v="0"/>
    <s v="Adenocarcinoma"/>
    <x v="3"/>
    <n v="3.7"/>
    <s v="No"/>
    <s v="PET Scan"/>
    <s v="Surgery + Chemotherapy"/>
    <n v="39"/>
    <s v="No"/>
  </r>
  <r>
    <s v="LC-0419"/>
    <n v="2016"/>
    <d v="2016-09-02T00:00:00"/>
    <s v="Africa"/>
    <s v="Uganda"/>
    <n v="54"/>
    <x v="1"/>
    <x v="2"/>
    <n v="0"/>
    <n v="0"/>
    <x v="1"/>
    <x v="0"/>
    <x v="1"/>
    <x v="0"/>
    <x v="0"/>
    <n v="32.200000000000003"/>
    <x v="2"/>
    <s v="No"/>
    <x v="0"/>
    <x v="0"/>
    <x v="0"/>
    <s v="ALK"/>
    <s v="No"/>
    <s v="Yes"/>
    <s v="Yes"/>
    <s v="No"/>
    <s v="Yes"/>
    <s v="No"/>
    <s v="Yes"/>
    <s v="No"/>
    <s v="No"/>
    <s v="No"/>
    <x v="0"/>
    <s v="Large Cell"/>
    <x v="0"/>
    <n v="4.0999999999999996"/>
    <s v="Yes"/>
    <s v="Biopsy"/>
    <s v="Palliative Care"/>
    <n v="2"/>
    <s v="Yes"/>
  </r>
  <r>
    <s v="LC-0420"/>
    <n v="2022"/>
    <d v="2022-02-08T00:00:00"/>
    <s v="Western Pacific"/>
    <s v="Philippines"/>
    <n v="56"/>
    <x v="0"/>
    <x v="1"/>
    <n v="5"/>
    <n v="8"/>
    <x v="1"/>
    <x v="1"/>
    <x v="0"/>
    <x v="1"/>
    <x v="2"/>
    <n v="28.3"/>
    <x v="0"/>
    <s v="No"/>
    <x v="0"/>
    <x v="0"/>
    <x v="0"/>
    <s v="KRAS"/>
    <s v="No"/>
    <s v="Yes"/>
    <s v="No"/>
    <s v="No"/>
    <s v="No"/>
    <s v="Yes"/>
    <s v="No"/>
    <s v="Yes"/>
    <s v="No"/>
    <s v="No"/>
    <x v="0"/>
    <s v="Large Cell"/>
    <x v="1"/>
    <n v="2"/>
    <s v="No"/>
    <s v="LDCT Screening"/>
    <s v="Surgery"/>
    <n v="24"/>
    <s v="Yes"/>
  </r>
  <r>
    <s v="LC-0421"/>
    <n v="2018"/>
    <d v="2018-04-24T00:00:00"/>
    <s v="Eastern Mediterranean"/>
    <s v="Iran"/>
    <n v="70"/>
    <x v="1"/>
    <x v="0"/>
    <n v="25"/>
    <n v="40"/>
    <x v="1"/>
    <x v="0"/>
    <x v="0"/>
    <x v="1"/>
    <x v="1"/>
    <n v="26.5"/>
    <x v="0"/>
    <s v="Yes"/>
    <x v="0"/>
    <x v="0"/>
    <x v="0"/>
    <s v="KRAS"/>
    <s v="Yes"/>
    <s v="Yes"/>
    <s v="No"/>
    <s v="Yes"/>
    <s v="Yes"/>
    <s v="Yes"/>
    <s v="No"/>
    <s v="No"/>
    <s v="No"/>
    <s v="Yes"/>
    <x v="1"/>
    <s v="Not Applicable"/>
    <x v="2"/>
    <n v="6.4"/>
    <s v="No"/>
    <s v="CT Scan"/>
    <s v="Immunotherapy"/>
    <n v="22"/>
    <s v="No"/>
  </r>
  <r>
    <s v="LC-0422"/>
    <n v="2018"/>
    <d v="2018-07-04T00:00:00"/>
    <s v="Europe"/>
    <s v="Germany"/>
    <n v="58"/>
    <x v="1"/>
    <x v="0"/>
    <n v="33"/>
    <n v="25"/>
    <x v="1"/>
    <x v="1"/>
    <x v="0"/>
    <x v="2"/>
    <x v="0"/>
    <n v="25.6"/>
    <x v="0"/>
    <s v="Yes"/>
    <x v="0"/>
    <x v="0"/>
    <x v="0"/>
    <s v="HER2"/>
    <s v="Yes"/>
    <s v="Yes"/>
    <s v="Yes"/>
    <s v="Yes"/>
    <s v="No"/>
    <s v="Yes"/>
    <s v="No"/>
    <s v="No"/>
    <s v="Yes"/>
    <s v="No"/>
    <x v="0"/>
    <s v="Adenocarcinoma"/>
    <x v="0"/>
    <n v="7.1"/>
    <s v="Yes"/>
    <s v="Bronchoscopy"/>
    <s v="Immunotherapy"/>
    <n v="4"/>
    <s v="No"/>
  </r>
  <r>
    <s v="LC-0423"/>
    <n v="2024"/>
    <d v="2024-08-06T00:00:00"/>
    <s v="Europe"/>
    <s v="Spain"/>
    <n v="51"/>
    <x v="1"/>
    <x v="2"/>
    <n v="0"/>
    <n v="0"/>
    <x v="0"/>
    <x v="0"/>
    <x v="0"/>
    <x v="1"/>
    <x v="0"/>
    <n v="32.1"/>
    <x v="2"/>
    <s v="No"/>
    <x v="0"/>
    <x v="0"/>
    <x v="0"/>
    <s v="No Mutation"/>
    <s v="Yes"/>
    <s v="Yes"/>
    <s v="No"/>
    <s v="No"/>
    <s v="No"/>
    <s v="No"/>
    <s v="No"/>
    <s v="No"/>
    <s v="No"/>
    <s v="No"/>
    <x v="0"/>
    <s v="Adenocarcinoma"/>
    <x v="2"/>
    <n v="5.7"/>
    <s v="No"/>
    <s v="PET Scan"/>
    <s v="Radiotherapy"/>
    <n v="23"/>
    <s v="Yes"/>
  </r>
  <r>
    <s v="LC-0424"/>
    <n v="2023"/>
    <d v="2023-01-02T00:00:00"/>
    <s v="Western Pacific"/>
    <s v="Vietnam"/>
    <n v="53"/>
    <x v="0"/>
    <x v="2"/>
    <n v="0"/>
    <n v="0"/>
    <x v="0"/>
    <x v="0"/>
    <x v="1"/>
    <x v="1"/>
    <x v="0"/>
    <n v="26.4"/>
    <x v="0"/>
    <s v="No"/>
    <x v="0"/>
    <x v="0"/>
    <x v="0"/>
    <s v="TP53"/>
    <s v="No"/>
    <s v="No"/>
    <s v="No"/>
    <s v="No"/>
    <s v="Yes"/>
    <s v="No"/>
    <s v="Yes"/>
    <s v="No"/>
    <s v="No"/>
    <s v="No"/>
    <x v="0"/>
    <s v="Squamous Cell"/>
    <x v="1"/>
    <n v="1.7"/>
    <s v="No"/>
    <s v="Bronchoscopy"/>
    <s v="Surgery"/>
    <n v="67"/>
    <s v="Yes"/>
  </r>
  <r>
    <s v="LC-0425"/>
    <n v="2022"/>
    <d v="2022-01-10T00:00:00"/>
    <s v="Europe"/>
    <s v="Russia"/>
    <n v="40"/>
    <x v="0"/>
    <x v="0"/>
    <n v="38"/>
    <n v="15"/>
    <x v="1"/>
    <x v="0"/>
    <x v="1"/>
    <x v="0"/>
    <x v="2"/>
    <n v="30.2"/>
    <x v="2"/>
    <s v="No"/>
    <x v="0"/>
    <x v="0"/>
    <x v="0"/>
    <s v="No Mutation"/>
    <s v="Yes"/>
    <s v="No"/>
    <s v="Yes"/>
    <s v="Yes"/>
    <s v="Yes"/>
    <s v="Yes"/>
    <s v="Yes"/>
    <s v="Yes"/>
    <s v="Yes"/>
    <s v="No"/>
    <x v="0"/>
    <s v="Adenocarcinoma"/>
    <x v="1"/>
    <n v="2.1"/>
    <s v="No"/>
    <s v="LDCT Screening"/>
    <s v="Surgery"/>
    <n v="68"/>
    <s v="No"/>
  </r>
  <r>
    <s v="LC-0426"/>
    <n v="2017"/>
    <d v="2017-06-14T00:00:00"/>
    <s v="South-East Asia"/>
    <s v="Indonesia"/>
    <n v="47"/>
    <x v="1"/>
    <x v="0"/>
    <n v="28"/>
    <n v="23"/>
    <x v="1"/>
    <x v="0"/>
    <x v="0"/>
    <x v="0"/>
    <x v="2"/>
    <n v="31.3"/>
    <x v="1"/>
    <s v="No"/>
    <x v="0"/>
    <x v="0"/>
    <x v="0"/>
    <s v="TP53"/>
    <s v="Yes"/>
    <s v="No"/>
    <s v="No"/>
    <s v="Yes"/>
    <s v="Yes"/>
    <s v="Yes"/>
    <s v="No"/>
    <s v="No"/>
    <s v="No"/>
    <s v="No"/>
    <x v="0"/>
    <s v="Adenocarcinoma"/>
    <x v="2"/>
    <n v="4"/>
    <s v="No"/>
    <s v="CT Scan"/>
    <s v="Chemo + Radiation"/>
    <n v="7"/>
    <s v="No"/>
  </r>
  <r>
    <s v="LC-0427"/>
    <n v="2023"/>
    <d v="2023-04-17T00:00:00"/>
    <s v="South-East Asia"/>
    <s v="Nepal"/>
    <n v="89"/>
    <x v="1"/>
    <x v="2"/>
    <n v="0"/>
    <n v="0"/>
    <x v="0"/>
    <x v="0"/>
    <x v="0"/>
    <x v="1"/>
    <x v="1"/>
    <n v="29.6"/>
    <x v="2"/>
    <s v="Yes"/>
    <x v="0"/>
    <x v="0"/>
    <x v="0"/>
    <s v="No Mutation"/>
    <s v="No"/>
    <s v="Yes"/>
    <s v="No"/>
    <s v="No"/>
    <s v="No"/>
    <s v="No"/>
    <s v="No"/>
    <s v="Yes"/>
    <s v="No"/>
    <s v="No"/>
    <x v="0"/>
    <s v="Large Cell"/>
    <x v="0"/>
    <n v="3.6"/>
    <s v="Yes"/>
    <s v="Biopsy"/>
    <s v="Targeted Therapy"/>
    <n v="11"/>
    <s v="No"/>
  </r>
  <r>
    <s v="LC-0428"/>
    <n v="2019"/>
    <d v="2019-10-22T00:00:00"/>
    <s v="Americas"/>
    <s v="Brazil"/>
    <n v="64"/>
    <x v="1"/>
    <x v="2"/>
    <n v="0"/>
    <n v="0"/>
    <x v="1"/>
    <x v="0"/>
    <x v="0"/>
    <x v="1"/>
    <x v="2"/>
    <n v="20.9"/>
    <x v="2"/>
    <s v="No"/>
    <x v="0"/>
    <x v="1"/>
    <x v="0"/>
    <s v="No Mutation"/>
    <s v="No"/>
    <s v="No"/>
    <s v="No"/>
    <s v="No"/>
    <s v="Yes"/>
    <s v="No"/>
    <s v="Yes"/>
    <s v="No"/>
    <s v="No"/>
    <s v="No"/>
    <x v="0"/>
    <s v="Adenocarcinoma"/>
    <x v="2"/>
    <n v="7.5"/>
    <s v="Yes"/>
    <s v="PET Scan"/>
    <s v="Surgery + Chemotherapy"/>
    <n v="27"/>
    <s v="No"/>
  </r>
  <r>
    <s v="LC-0429"/>
    <n v="2025"/>
    <d v="2025-03-06T00:00:00"/>
    <s v="Eastern Mediterranean"/>
    <s v="Iran"/>
    <n v="76"/>
    <x v="0"/>
    <x v="0"/>
    <n v="28"/>
    <n v="44"/>
    <x v="1"/>
    <x v="0"/>
    <x v="0"/>
    <x v="1"/>
    <x v="1"/>
    <n v="29.1"/>
    <x v="0"/>
    <s v="No"/>
    <x v="0"/>
    <x v="0"/>
    <x v="0"/>
    <s v="No Mutation"/>
    <s v="Yes"/>
    <s v="Yes"/>
    <s v="Yes"/>
    <s v="Yes"/>
    <s v="Yes"/>
    <s v="Yes"/>
    <s v="No"/>
    <s v="No"/>
    <s v="No"/>
    <s v="No"/>
    <x v="0"/>
    <s v="Adenocarcinoma"/>
    <x v="2"/>
    <n v="7"/>
    <s v="No"/>
    <s v="CT Scan"/>
    <s v="Radiotherapy"/>
    <n v="10"/>
    <s v="No"/>
  </r>
  <r>
    <s v="LC-0430"/>
    <n v="2016"/>
    <d v="2016-10-28T00:00:00"/>
    <s v="Western Pacific"/>
    <s v="Malaysia"/>
    <n v="63"/>
    <x v="1"/>
    <x v="2"/>
    <n v="0"/>
    <n v="0"/>
    <x v="0"/>
    <x v="1"/>
    <x v="0"/>
    <x v="0"/>
    <x v="0"/>
    <n v="33.5"/>
    <x v="1"/>
    <s v="No"/>
    <x v="0"/>
    <x v="0"/>
    <x v="0"/>
    <s v="EGFR"/>
    <s v="Yes"/>
    <s v="Yes"/>
    <s v="No"/>
    <s v="No"/>
    <s v="Yes"/>
    <s v="Yes"/>
    <s v="No"/>
    <s v="No"/>
    <s v="No"/>
    <s v="No"/>
    <x v="0"/>
    <s v="Adenocarcinoma"/>
    <x v="2"/>
    <n v="7.4"/>
    <s v="No"/>
    <s v="LDCT Screening"/>
    <s v="Immunotherapy"/>
    <n v="8"/>
    <s v="No"/>
  </r>
  <r>
    <s v="LC-0431"/>
    <n v="2025"/>
    <d v="2025-10-22T00:00:00"/>
    <s v="Eastern Mediterranean"/>
    <s v="UAE"/>
    <n v="53"/>
    <x v="0"/>
    <x v="2"/>
    <n v="0"/>
    <n v="0"/>
    <x v="0"/>
    <x v="0"/>
    <x v="0"/>
    <x v="1"/>
    <x v="1"/>
    <n v="24.3"/>
    <x v="1"/>
    <s v="No"/>
    <x v="0"/>
    <x v="0"/>
    <x v="0"/>
    <s v="EGFR"/>
    <s v="Yes"/>
    <s v="No"/>
    <s v="Yes"/>
    <s v="No"/>
    <s v="No"/>
    <s v="No"/>
    <s v="No"/>
    <s v="Yes"/>
    <s v="No"/>
    <s v="No"/>
    <x v="0"/>
    <s v="Adenocarcinoma"/>
    <x v="2"/>
    <n v="8.1"/>
    <s v="Yes"/>
    <s v="PET Scan"/>
    <s v="Chemo + Radiation"/>
    <n v="27"/>
    <s v="No"/>
  </r>
  <r>
    <s v="LC-0432"/>
    <n v="2020"/>
    <d v="2020-08-19T00:00:00"/>
    <s v="Europe"/>
    <s v="France"/>
    <n v="50"/>
    <x v="0"/>
    <x v="2"/>
    <n v="0"/>
    <n v="0"/>
    <x v="0"/>
    <x v="0"/>
    <x v="0"/>
    <x v="0"/>
    <x v="1"/>
    <n v="24.1"/>
    <x v="2"/>
    <s v="No"/>
    <x v="0"/>
    <x v="0"/>
    <x v="0"/>
    <s v="EGFR"/>
    <s v="Yes"/>
    <s v="No"/>
    <s v="No"/>
    <s v="No"/>
    <s v="Yes"/>
    <s v="No"/>
    <s v="No"/>
    <s v="No"/>
    <s v="No"/>
    <s v="No"/>
    <x v="0"/>
    <s v="Adenocarcinoma"/>
    <x v="3"/>
    <n v="5"/>
    <s v="No"/>
    <s v="CT Scan"/>
    <s v="Radiotherapy"/>
    <n v="47"/>
    <s v="Yes"/>
  </r>
  <r>
    <s v="LC-0433"/>
    <n v="2019"/>
    <d v="2019-04-15T00:00:00"/>
    <s v="Africa"/>
    <s v="Ethiopia"/>
    <n v="63"/>
    <x v="1"/>
    <x v="2"/>
    <n v="0"/>
    <n v="0"/>
    <x v="0"/>
    <x v="0"/>
    <x v="0"/>
    <x v="1"/>
    <x v="0"/>
    <n v="28.8"/>
    <x v="0"/>
    <s v="No"/>
    <x v="0"/>
    <x v="1"/>
    <x v="0"/>
    <s v="No Mutation"/>
    <s v="Yes"/>
    <s v="No"/>
    <s v="Yes"/>
    <s v="No"/>
    <s v="No"/>
    <s v="No"/>
    <s v="No"/>
    <s v="Yes"/>
    <s v="No"/>
    <s v="No"/>
    <x v="0"/>
    <s v="Adenocarcinoma"/>
    <x v="0"/>
    <n v="12.7"/>
    <s v="Yes"/>
    <s v="CT Scan"/>
    <s v="Targeted Therapy"/>
    <n v="16"/>
    <s v="No"/>
  </r>
  <r>
    <s v="LC-0434"/>
    <n v="2018"/>
    <d v="2018-08-09T00:00:00"/>
    <s v="Africa"/>
    <s v="Nigeria"/>
    <n v="49"/>
    <x v="0"/>
    <x v="2"/>
    <n v="0"/>
    <n v="0"/>
    <x v="0"/>
    <x v="0"/>
    <x v="0"/>
    <x v="0"/>
    <x v="1"/>
    <n v="22.2"/>
    <x v="0"/>
    <s v="No"/>
    <x v="0"/>
    <x v="0"/>
    <x v="0"/>
    <s v="KRAS"/>
    <s v="No"/>
    <s v="No"/>
    <s v="Yes"/>
    <s v="No"/>
    <s v="Yes"/>
    <s v="No"/>
    <s v="No"/>
    <s v="No"/>
    <s v="No"/>
    <s v="No"/>
    <x v="0"/>
    <s v="Adenocarcinoma"/>
    <x v="0"/>
    <n v="4.5999999999999996"/>
    <s v="Yes"/>
    <s v="Biopsy"/>
    <s v="Chemo + Radiation"/>
    <n v="14"/>
    <s v="No"/>
  </r>
  <r>
    <s v="LC-0435"/>
    <n v="2018"/>
    <d v="2018-08-10T00:00:00"/>
    <s v="Western Pacific"/>
    <s v="Singapore"/>
    <n v="51"/>
    <x v="1"/>
    <x v="2"/>
    <n v="0"/>
    <n v="0"/>
    <x v="0"/>
    <x v="0"/>
    <x v="0"/>
    <x v="1"/>
    <x v="1"/>
    <n v="30.1"/>
    <x v="0"/>
    <s v="No"/>
    <x v="0"/>
    <x v="0"/>
    <x v="0"/>
    <s v="No Mutation"/>
    <s v="No"/>
    <s v="No"/>
    <s v="Yes"/>
    <s v="No"/>
    <s v="No"/>
    <s v="Yes"/>
    <s v="No"/>
    <s v="No"/>
    <s v="No"/>
    <s v="No"/>
    <x v="0"/>
    <s v="Squamous Cell"/>
    <x v="1"/>
    <n v="2.6"/>
    <s v="No"/>
    <s v="LDCT Screening"/>
    <s v="Surgery + Chemotherapy"/>
    <n v="80"/>
    <s v="Yes"/>
  </r>
  <r>
    <s v="LC-0436"/>
    <n v="2015"/>
    <d v="2015-03-03T00:00:00"/>
    <s v="Western Pacific"/>
    <s v="New Zealand"/>
    <n v="52"/>
    <x v="1"/>
    <x v="0"/>
    <n v="32"/>
    <n v="13"/>
    <x v="1"/>
    <x v="1"/>
    <x v="0"/>
    <x v="1"/>
    <x v="0"/>
    <n v="26.2"/>
    <x v="0"/>
    <s v="No"/>
    <x v="0"/>
    <x v="0"/>
    <x v="0"/>
    <s v="TP53"/>
    <s v="Yes"/>
    <s v="Yes"/>
    <s v="No"/>
    <s v="Yes"/>
    <s v="Yes"/>
    <s v="Yes"/>
    <s v="No"/>
    <s v="No"/>
    <s v="No"/>
    <s v="No"/>
    <x v="0"/>
    <s v="Adenocarcinoma"/>
    <x v="3"/>
    <n v="2.9"/>
    <s v="No"/>
    <s v="PET Scan"/>
    <s v="Surgery + Chemotherapy"/>
    <n v="33"/>
    <s v="Yes"/>
  </r>
  <r>
    <s v="LC-0437"/>
    <n v="2019"/>
    <d v="2019-06-19T00:00:00"/>
    <s v="Western Pacific"/>
    <s v="Philippines"/>
    <n v="70"/>
    <x v="1"/>
    <x v="1"/>
    <n v="27"/>
    <n v="13"/>
    <x v="1"/>
    <x v="0"/>
    <x v="1"/>
    <x v="2"/>
    <x v="1"/>
    <n v="21.3"/>
    <x v="1"/>
    <s v="No"/>
    <x v="0"/>
    <x v="0"/>
    <x v="0"/>
    <s v="TP53"/>
    <s v="No"/>
    <s v="No"/>
    <s v="Yes"/>
    <s v="Yes"/>
    <s v="No"/>
    <s v="No"/>
    <s v="No"/>
    <s v="No"/>
    <s v="No"/>
    <s v="No"/>
    <x v="0"/>
    <s v="Adenocarcinoma"/>
    <x v="0"/>
    <n v="6"/>
    <s v="Yes"/>
    <s v="Bronchoscopy"/>
    <s v="Targeted Therapy"/>
    <n v="3"/>
    <s v="No"/>
  </r>
  <r>
    <s v="LC-0438"/>
    <n v="2023"/>
    <d v="2023-11-14T00:00:00"/>
    <s v="Eastern Mediterranean"/>
    <s v="Iraq"/>
    <n v="74"/>
    <x v="1"/>
    <x v="0"/>
    <n v="29"/>
    <n v="45"/>
    <x v="1"/>
    <x v="0"/>
    <x v="0"/>
    <x v="1"/>
    <x v="0"/>
    <n v="25.3"/>
    <x v="1"/>
    <s v="Yes"/>
    <x v="0"/>
    <x v="0"/>
    <x v="0"/>
    <s v="No Mutation"/>
    <s v="No"/>
    <s v="Yes"/>
    <s v="No"/>
    <s v="No"/>
    <s v="No"/>
    <s v="No"/>
    <s v="Yes"/>
    <s v="No"/>
    <s v="No"/>
    <s v="No"/>
    <x v="1"/>
    <s v="Not Applicable"/>
    <x v="0"/>
    <n v="5.9"/>
    <s v="Yes"/>
    <s v="Biopsy"/>
    <s v="Targeted Therapy"/>
    <n v="3"/>
    <s v="No"/>
  </r>
  <r>
    <s v="LC-0439"/>
    <n v="2024"/>
    <d v="2024-08-28T00:00:00"/>
    <s v="Americas"/>
    <s v="Argentina"/>
    <n v="64"/>
    <x v="0"/>
    <x v="0"/>
    <n v="29"/>
    <n v="44"/>
    <x v="1"/>
    <x v="0"/>
    <x v="0"/>
    <x v="2"/>
    <x v="1"/>
    <n v="26.7"/>
    <x v="0"/>
    <s v="Yes"/>
    <x v="0"/>
    <x v="0"/>
    <x v="0"/>
    <s v="No Mutation"/>
    <s v="Yes"/>
    <s v="Yes"/>
    <s v="No"/>
    <s v="Yes"/>
    <s v="Yes"/>
    <s v="No"/>
    <s v="No"/>
    <s v="No"/>
    <s v="No"/>
    <s v="No"/>
    <x v="0"/>
    <s v="Large Cell"/>
    <x v="3"/>
    <n v="4.4000000000000004"/>
    <s v="No"/>
    <s v="Biopsy"/>
    <s v="Chemotherapy"/>
    <n v="6"/>
    <s v="No"/>
  </r>
  <r>
    <s v="LC-0440"/>
    <n v="2015"/>
    <d v="2015-04-13T00:00:00"/>
    <s v="Europe"/>
    <s v="Poland"/>
    <n v="57"/>
    <x v="1"/>
    <x v="0"/>
    <n v="15"/>
    <n v="26"/>
    <x v="1"/>
    <x v="0"/>
    <x v="0"/>
    <x v="0"/>
    <x v="2"/>
    <n v="28.8"/>
    <x v="1"/>
    <s v="No"/>
    <x v="0"/>
    <x v="0"/>
    <x v="0"/>
    <s v="No Mutation"/>
    <s v="Yes"/>
    <s v="Yes"/>
    <s v="Yes"/>
    <s v="No"/>
    <s v="No"/>
    <s v="Yes"/>
    <s v="Yes"/>
    <s v="No"/>
    <s v="No"/>
    <s v="No"/>
    <x v="1"/>
    <s v="Not Applicable"/>
    <x v="2"/>
    <n v="6.2"/>
    <s v="No"/>
    <s v="PET Scan"/>
    <s v="Radiotherapy"/>
    <n v="16"/>
    <s v="Yes"/>
  </r>
  <r>
    <s v="LC-0441"/>
    <n v="2015"/>
    <d v="2015-02-08T00:00:00"/>
    <s v="Africa"/>
    <s v="Tanzania"/>
    <n v="89"/>
    <x v="1"/>
    <x v="0"/>
    <n v="29"/>
    <n v="35"/>
    <x v="1"/>
    <x v="0"/>
    <x v="0"/>
    <x v="0"/>
    <x v="2"/>
    <n v="28.2"/>
    <x v="2"/>
    <s v="No"/>
    <x v="0"/>
    <x v="0"/>
    <x v="0"/>
    <s v="No Mutation"/>
    <s v="Yes"/>
    <s v="Yes"/>
    <s v="Yes"/>
    <s v="No"/>
    <s v="Yes"/>
    <s v="Yes"/>
    <s v="Yes"/>
    <s v="No"/>
    <s v="No"/>
    <s v="Yes"/>
    <x v="1"/>
    <s v="Not Applicable"/>
    <x v="3"/>
    <n v="6.7"/>
    <s v="No"/>
    <s v="CT Scan"/>
    <s v="Surgery + Chemotherapy"/>
    <n v="54"/>
    <s v="No"/>
  </r>
  <r>
    <s v="LC-0442"/>
    <n v="2019"/>
    <d v="2019-10-12T00:00:00"/>
    <s v="Western Pacific"/>
    <s v="Mongolia"/>
    <n v="69"/>
    <x v="1"/>
    <x v="2"/>
    <n v="0"/>
    <n v="0"/>
    <x v="0"/>
    <x v="0"/>
    <x v="1"/>
    <x v="1"/>
    <x v="0"/>
    <n v="31"/>
    <x v="0"/>
    <s v="No"/>
    <x v="0"/>
    <x v="1"/>
    <x v="0"/>
    <s v="No Mutation"/>
    <s v="No"/>
    <s v="No"/>
    <s v="No"/>
    <s v="No"/>
    <s v="Yes"/>
    <s v="No"/>
    <s v="No"/>
    <s v="No"/>
    <s v="No"/>
    <s v="No"/>
    <x v="0"/>
    <s v="Adenocarcinoma"/>
    <x v="1"/>
    <n v="2.7"/>
    <s v="No"/>
    <s v="CT Scan"/>
    <s v="Radiotherapy"/>
    <n v="74"/>
    <s v="No"/>
  </r>
  <r>
    <s v="LC-0443"/>
    <n v="2015"/>
    <d v="2015-05-23T00:00:00"/>
    <s v="Western Pacific"/>
    <s v="Philippines"/>
    <n v="56"/>
    <x v="1"/>
    <x v="0"/>
    <n v="26"/>
    <n v="32"/>
    <x v="1"/>
    <x v="0"/>
    <x v="0"/>
    <x v="1"/>
    <x v="2"/>
    <n v="28"/>
    <x v="1"/>
    <s v="No"/>
    <x v="0"/>
    <x v="0"/>
    <x v="0"/>
    <s v="TP53"/>
    <s v="No"/>
    <s v="Yes"/>
    <s v="No"/>
    <s v="Yes"/>
    <s v="No"/>
    <s v="No"/>
    <s v="Yes"/>
    <s v="No"/>
    <s v="No"/>
    <s v="No"/>
    <x v="0"/>
    <s v="Large Cell"/>
    <x v="2"/>
    <n v="5.7"/>
    <s v="No"/>
    <s v="Biopsy"/>
    <s v="Chemotherapy"/>
    <n v="29"/>
    <s v="No"/>
  </r>
  <r>
    <s v="LC-0444"/>
    <n v="2018"/>
    <d v="2018-01-27T00:00:00"/>
    <s v="Western Pacific"/>
    <s v="Malaysia"/>
    <n v="76"/>
    <x v="1"/>
    <x v="2"/>
    <n v="0"/>
    <n v="0"/>
    <x v="0"/>
    <x v="0"/>
    <x v="0"/>
    <x v="0"/>
    <x v="0"/>
    <n v="30"/>
    <x v="0"/>
    <s v="No"/>
    <x v="0"/>
    <x v="0"/>
    <x v="0"/>
    <s v="MET"/>
    <s v="Yes"/>
    <s v="No"/>
    <s v="No"/>
    <s v="No"/>
    <s v="Yes"/>
    <s v="Yes"/>
    <s v="No"/>
    <s v="No"/>
    <s v="No"/>
    <s v="No"/>
    <x v="0"/>
    <s v="Adenocarcinoma"/>
    <x v="1"/>
    <n v="2.4"/>
    <s v="No"/>
    <s v="Bronchoscopy"/>
    <s v="Surgery"/>
    <n v="75"/>
    <s v="No"/>
  </r>
  <r>
    <s v="LC-0445"/>
    <n v="2025"/>
    <d v="2025-05-01T00:00:00"/>
    <s v="Europe"/>
    <s v="Sweden"/>
    <n v="54"/>
    <x v="0"/>
    <x v="2"/>
    <n v="0"/>
    <n v="0"/>
    <x v="1"/>
    <x v="0"/>
    <x v="0"/>
    <x v="0"/>
    <x v="0"/>
    <n v="27.2"/>
    <x v="0"/>
    <s v="Yes"/>
    <x v="0"/>
    <x v="0"/>
    <x v="0"/>
    <s v="TP53"/>
    <s v="Yes"/>
    <s v="Yes"/>
    <s v="No"/>
    <s v="Yes"/>
    <s v="Yes"/>
    <s v="Yes"/>
    <s v="Yes"/>
    <s v="No"/>
    <s v="No"/>
    <s v="Yes"/>
    <x v="0"/>
    <s v="Squamous Cell"/>
    <x v="2"/>
    <n v="5.6"/>
    <s v="No"/>
    <s v="CT Scan"/>
    <s v="Immunotherapy"/>
    <n v="16"/>
    <s v="No"/>
  </r>
  <r>
    <s v="LC-0446"/>
    <n v="2024"/>
    <d v="2024-11-25T00:00:00"/>
    <s v="Western Pacific"/>
    <s v="China"/>
    <n v="72"/>
    <x v="0"/>
    <x v="2"/>
    <n v="0"/>
    <n v="0"/>
    <x v="1"/>
    <x v="0"/>
    <x v="0"/>
    <x v="1"/>
    <x v="0"/>
    <n v="30.8"/>
    <x v="1"/>
    <s v="No"/>
    <x v="0"/>
    <x v="0"/>
    <x v="0"/>
    <s v="EGFR"/>
    <s v="No"/>
    <s v="Yes"/>
    <s v="No"/>
    <s v="No"/>
    <s v="Yes"/>
    <s v="No"/>
    <s v="No"/>
    <s v="No"/>
    <s v="No"/>
    <s v="No"/>
    <x v="0"/>
    <s v="Adenocarcinoma"/>
    <x v="2"/>
    <n v="7.3"/>
    <s v="Yes"/>
    <s v="Chest X-Ray"/>
    <s v="Chemotherapy"/>
    <n v="18"/>
    <s v="No"/>
  </r>
  <r>
    <s v="LC-0447"/>
    <n v="2020"/>
    <d v="2020-10-24T00:00:00"/>
    <s v="Americas"/>
    <s v="Peru"/>
    <n v="76"/>
    <x v="1"/>
    <x v="2"/>
    <n v="0"/>
    <n v="0"/>
    <x v="1"/>
    <x v="0"/>
    <x v="0"/>
    <x v="1"/>
    <x v="2"/>
    <n v="26.6"/>
    <x v="0"/>
    <s v="No"/>
    <x v="0"/>
    <x v="0"/>
    <x v="1"/>
    <s v="No Mutation"/>
    <s v="No"/>
    <s v="No"/>
    <s v="Yes"/>
    <s v="No"/>
    <s v="No"/>
    <s v="No"/>
    <s v="No"/>
    <s v="Yes"/>
    <s v="No"/>
    <s v="No"/>
    <x v="0"/>
    <s v="Large Cell"/>
    <x v="3"/>
    <n v="4.2"/>
    <s v="No"/>
    <s v="CT Scan"/>
    <s v="Targeted Therapy"/>
    <n v="42"/>
    <s v="Yes"/>
  </r>
  <r>
    <s v="LC-0448"/>
    <n v="2021"/>
    <d v="2021-05-25T00:00:00"/>
    <s v="Europe"/>
    <s v="Italy"/>
    <n v="53"/>
    <x v="1"/>
    <x v="2"/>
    <n v="0"/>
    <n v="0"/>
    <x v="1"/>
    <x v="0"/>
    <x v="0"/>
    <x v="2"/>
    <x v="0"/>
    <n v="28.4"/>
    <x v="0"/>
    <s v="No"/>
    <x v="0"/>
    <x v="0"/>
    <x v="0"/>
    <s v="EGFR"/>
    <s v="Yes"/>
    <s v="No"/>
    <s v="Yes"/>
    <s v="No"/>
    <s v="No"/>
    <s v="No"/>
    <s v="No"/>
    <s v="Yes"/>
    <s v="No"/>
    <s v="No"/>
    <x v="0"/>
    <s v="Adenocarcinoma"/>
    <x v="0"/>
    <n v="6.8"/>
    <s v="Yes"/>
    <s v="LDCT Screening"/>
    <s v="Chemotherapy"/>
    <n v="9"/>
    <s v="No"/>
  </r>
  <r>
    <s v="LC-0449"/>
    <n v="2023"/>
    <d v="2023-10-26T00:00:00"/>
    <s v="Western Pacific"/>
    <s v="Vietnam"/>
    <n v="45"/>
    <x v="0"/>
    <x v="1"/>
    <n v="14"/>
    <n v="19"/>
    <x v="1"/>
    <x v="0"/>
    <x v="0"/>
    <x v="1"/>
    <x v="2"/>
    <n v="28.7"/>
    <x v="0"/>
    <s v="No"/>
    <x v="0"/>
    <x v="0"/>
    <x v="0"/>
    <s v="No Mutation"/>
    <s v="No"/>
    <s v="Yes"/>
    <s v="No"/>
    <s v="Yes"/>
    <s v="No"/>
    <s v="Yes"/>
    <s v="No"/>
    <s v="No"/>
    <s v="No"/>
    <s v="No"/>
    <x v="0"/>
    <s v="Adenocarcinoma"/>
    <x v="1"/>
    <n v="1.4"/>
    <s v="No"/>
    <s v="LDCT Screening"/>
    <s v="Surgery"/>
    <n v="59"/>
    <s v="Yes"/>
  </r>
  <r>
    <s v="LC-0450"/>
    <n v="2020"/>
    <d v="2020-04-21T00:00:00"/>
    <s v="South-East Asia"/>
    <s v="Thailand"/>
    <n v="75"/>
    <x v="1"/>
    <x v="0"/>
    <n v="35"/>
    <n v="38"/>
    <x v="1"/>
    <x v="0"/>
    <x v="0"/>
    <x v="1"/>
    <x v="2"/>
    <n v="30.5"/>
    <x v="0"/>
    <s v="No"/>
    <x v="0"/>
    <x v="0"/>
    <x v="0"/>
    <s v="No Mutation"/>
    <s v="Yes"/>
    <s v="Yes"/>
    <s v="No"/>
    <s v="Yes"/>
    <s v="Yes"/>
    <s v="No"/>
    <s v="No"/>
    <s v="Yes"/>
    <s v="No"/>
    <s v="No"/>
    <x v="0"/>
    <s v="Squamous Cell"/>
    <x v="2"/>
    <n v="7.3"/>
    <s v="No"/>
    <s v="Chest X-Ray"/>
    <s v="Targeted Therapy"/>
    <n v="7"/>
    <s v="No"/>
  </r>
  <r>
    <s v="LC-0451"/>
    <n v="2019"/>
    <d v="2019-10-09T00:00:00"/>
    <s v="Western Pacific"/>
    <s v="South Korea"/>
    <n v="65"/>
    <x v="1"/>
    <x v="2"/>
    <n v="0"/>
    <n v="0"/>
    <x v="0"/>
    <x v="0"/>
    <x v="1"/>
    <x v="1"/>
    <x v="2"/>
    <n v="37"/>
    <x v="2"/>
    <s v="No"/>
    <x v="1"/>
    <x v="0"/>
    <x v="0"/>
    <s v="EGFR"/>
    <s v="Yes"/>
    <s v="No"/>
    <s v="Yes"/>
    <s v="No"/>
    <s v="No"/>
    <s v="No"/>
    <s v="Yes"/>
    <s v="Yes"/>
    <s v="No"/>
    <s v="No"/>
    <x v="0"/>
    <s v="Squamous Cell"/>
    <x v="3"/>
    <n v="4.5"/>
    <s v="No"/>
    <s v="Biopsy"/>
    <s v="Immunotherapy"/>
    <n v="44"/>
    <s v="Yes"/>
  </r>
  <r>
    <s v="LC-0452"/>
    <n v="2022"/>
    <d v="2022-11-04T00:00:00"/>
    <s v="South-East Asia"/>
    <s v="India"/>
    <n v="57"/>
    <x v="1"/>
    <x v="1"/>
    <n v="11"/>
    <n v="16"/>
    <x v="1"/>
    <x v="0"/>
    <x v="1"/>
    <x v="1"/>
    <x v="2"/>
    <n v="27.3"/>
    <x v="2"/>
    <s v="No"/>
    <x v="0"/>
    <x v="0"/>
    <x v="0"/>
    <s v="EGFR"/>
    <s v="No"/>
    <s v="No"/>
    <s v="Yes"/>
    <s v="No"/>
    <s v="No"/>
    <s v="No"/>
    <s v="Yes"/>
    <s v="No"/>
    <s v="Yes"/>
    <s v="No"/>
    <x v="0"/>
    <s v="Squamous Cell"/>
    <x v="3"/>
    <n v="4.3"/>
    <s v="No"/>
    <s v="CT Scan"/>
    <s v="Radiotherapy"/>
    <n v="42"/>
    <s v="No"/>
  </r>
  <r>
    <s v="LC-0453"/>
    <n v="2024"/>
    <d v="2024-05-26T00:00:00"/>
    <s v="Eastern Mediterranean"/>
    <s v="Oman"/>
    <n v="65"/>
    <x v="1"/>
    <x v="2"/>
    <n v="0"/>
    <n v="0"/>
    <x v="0"/>
    <x v="0"/>
    <x v="0"/>
    <x v="0"/>
    <x v="0"/>
    <n v="29.4"/>
    <x v="1"/>
    <s v="No"/>
    <x v="0"/>
    <x v="0"/>
    <x v="0"/>
    <s v="EGFR"/>
    <s v="Yes"/>
    <s v="No"/>
    <s v="No"/>
    <s v="No"/>
    <s v="Yes"/>
    <s v="No"/>
    <s v="No"/>
    <s v="No"/>
    <s v="No"/>
    <s v="No"/>
    <x v="0"/>
    <s v="Squamous Cell"/>
    <x v="2"/>
    <n v="7.3"/>
    <s v="No"/>
    <s v="Biopsy"/>
    <s v="Radiotherapy"/>
    <n v="31"/>
    <s v="No"/>
  </r>
  <r>
    <s v="LC-0454"/>
    <n v="2023"/>
    <d v="2023-01-19T00:00:00"/>
    <s v="South-East Asia"/>
    <s v="Sri Lanka"/>
    <n v="63"/>
    <x v="1"/>
    <x v="2"/>
    <n v="0"/>
    <n v="0"/>
    <x v="1"/>
    <x v="0"/>
    <x v="0"/>
    <x v="0"/>
    <x v="1"/>
    <n v="21.8"/>
    <x v="1"/>
    <s v="No"/>
    <x v="0"/>
    <x v="0"/>
    <x v="0"/>
    <s v="MET"/>
    <s v="No"/>
    <s v="No"/>
    <s v="No"/>
    <s v="No"/>
    <s v="No"/>
    <s v="No"/>
    <s v="No"/>
    <s v="No"/>
    <s v="No"/>
    <s v="Yes"/>
    <x v="0"/>
    <s v="Adenocarcinoma"/>
    <x v="2"/>
    <n v="6.3"/>
    <s v="No"/>
    <s v="PET Scan"/>
    <s v="Chemo + Radiation"/>
    <n v="23"/>
    <s v="No"/>
  </r>
  <r>
    <s v="LC-0455"/>
    <n v="2021"/>
    <d v="2021-12-05T00:00:00"/>
    <s v="South-East Asia"/>
    <s v="Bangladesh"/>
    <n v="58"/>
    <x v="1"/>
    <x v="2"/>
    <n v="0"/>
    <n v="0"/>
    <x v="0"/>
    <x v="1"/>
    <x v="1"/>
    <x v="1"/>
    <x v="0"/>
    <n v="21.1"/>
    <x v="1"/>
    <s v="No"/>
    <x v="0"/>
    <x v="0"/>
    <x v="0"/>
    <s v="EGFR"/>
    <s v="No"/>
    <s v="No"/>
    <s v="No"/>
    <s v="No"/>
    <s v="Yes"/>
    <s v="Yes"/>
    <s v="No"/>
    <s v="No"/>
    <s v="No"/>
    <s v="No"/>
    <x v="0"/>
    <s v="Squamous Cell"/>
    <x v="1"/>
    <n v="3.2"/>
    <s v="No"/>
    <s v="Chest X-Ray"/>
    <s v="Surgery"/>
    <n v="43"/>
    <s v="Yes"/>
  </r>
  <r>
    <s v="LC-0456"/>
    <n v="2022"/>
    <d v="2022-05-11T00:00:00"/>
    <s v="South-East Asia"/>
    <s v="Nepal"/>
    <n v="71"/>
    <x v="1"/>
    <x v="2"/>
    <n v="0"/>
    <n v="0"/>
    <x v="1"/>
    <x v="1"/>
    <x v="0"/>
    <x v="1"/>
    <x v="2"/>
    <n v="26.8"/>
    <x v="0"/>
    <s v="No"/>
    <x v="0"/>
    <x v="0"/>
    <x v="0"/>
    <s v="No Mutation"/>
    <s v="No"/>
    <s v="Yes"/>
    <s v="No"/>
    <s v="No"/>
    <s v="No"/>
    <s v="Yes"/>
    <s v="No"/>
    <s v="No"/>
    <s v="No"/>
    <s v="No"/>
    <x v="0"/>
    <s v="Adenocarcinoma"/>
    <x v="2"/>
    <n v="3.7"/>
    <s v="No"/>
    <s v="Bronchoscopy"/>
    <s v="Radiotherapy"/>
    <n v="20"/>
    <s v="No"/>
  </r>
  <r>
    <s v="LC-0457"/>
    <n v="2022"/>
    <d v="2022-03-07T00:00:00"/>
    <s v="Western Pacific"/>
    <s v="South Korea"/>
    <n v="71"/>
    <x v="1"/>
    <x v="1"/>
    <n v="21"/>
    <n v="13"/>
    <x v="1"/>
    <x v="1"/>
    <x v="0"/>
    <x v="1"/>
    <x v="0"/>
    <n v="32.1"/>
    <x v="1"/>
    <s v="No"/>
    <x v="0"/>
    <x v="0"/>
    <x v="0"/>
    <s v="KRAS"/>
    <s v="Yes"/>
    <s v="No"/>
    <s v="No"/>
    <s v="Yes"/>
    <s v="Yes"/>
    <s v="No"/>
    <s v="No"/>
    <s v="No"/>
    <s v="No"/>
    <s v="No"/>
    <x v="0"/>
    <s v="Squamous Cell"/>
    <x v="3"/>
    <n v="3.7"/>
    <s v="No"/>
    <s v="Bronchoscopy"/>
    <s v="Surgery"/>
    <n v="54"/>
    <s v="Yes"/>
  </r>
  <r>
    <s v="LC-0458"/>
    <n v="2022"/>
    <d v="2022-09-12T00:00:00"/>
    <s v="Eastern Mediterranean"/>
    <s v="Qatar"/>
    <n v="61"/>
    <x v="0"/>
    <x v="2"/>
    <n v="0"/>
    <n v="0"/>
    <x v="0"/>
    <x v="0"/>
    <x v="1"/>
    <x v="2"/>
    <x v="1"/>
    <n v="31.4"/>
    <x v="0"/>
    <s v="No"/>
    <x v="0"/>
    <x v="1"/>
    <x v="0"/>
    <s v="MET"/>
    <s v="No"/>
    <s v="No"/>
    <s v="No"/>
    <s v="No"/>
    <s v="No"/>
    <s v="No"/>
    <s v="No"/>
    <s v="No"/>
    <s v="No"/>
    <s v="No"/>
    <x v="0"/>
    <s v="Adenocarcinoma"/>
    <x v="1"/>
    <n v="2.2999999999999998"/>
    <s v="No"/>
    <s v="CT Scan"/>
    <s v="Surgery + Chemotherapy"/>
    <n v="29"/>
    <s v="No"/>
  </r>
  <r>
    <s v="LC-0459"/>
    <n v="2023"/>
    <d v="2023-09-09T00:00:00"/>
    <s v="Eastern Mediterranean"/>
    <s v="Saudi Arabia"/>
    <n v="54"/>
    <x v="1"/>
    <x v="0"/>
    <n v="18"/>
    <n v="31"/>
    <x v="1"/>
    <x v="0"/>
    <x v="0"/>
    <x v="1"/>
    <x v="2"/>
    <n v="30.9"/>
    <x v="1"/>
    <s v="No"/>
    <x v="0"/>
    <x v="0"/>
    <x v="0"/>
    <s v="No Mutation"/>
    <s v="Yes"/>
    <s v="Yes"/>
    <s v="Yes"/>
    <s v="Yes"/>
    <s v="Yes"/>
    <s v="No"/>
    <s v="No"/>
    <s v="No"/>
    <s v="No"/>
    <s v="No"/>
    <x v="0"/>
    <s v="Squamous Cell"/>
    <x v="0"/>
    <n v="8.3000000000000007"/>
    <s v="Yes"/>
    <s v="Bronchoscopy"/>
    <s v="Radiotherapy"/>
    <n v="2"/>
    <s v="No"/>
  </r>
  <r>
    <s v="LC-0460"/>
    <n v="2019"/>
    <d v="2019-05-27T00:00:00"/>
    <s v="Africa"/>
    <s v="Morocco"/>
    <n v="65"/>
    <x v="0"/>
    <x v="2"/>
    <n v="0"/>
    <n v="0"/>
    <x v="0"/>
    <x v="0"/>
    <x v="0"/>
    <x v="1"/>
    <x v="2"/>
    <n v="24.2"/>
    <x v="0"/>
    <s v="No"/>
    <x v="0"/>
    <x v="0"/>
    <x v="0"/>
    <s v="KRAS"/>
    <s v="No"/>
    <s v="Yes"/>
    <s v="No"/>
    <s v="No"/>
    <s v="No"/>
    <s v="No"/>
    <s v="No"/>
    <s v="No"/>
    <s v="No"/>
    <s v="No"/>
    <x v="0"/>
    <s v="Large Cell"/>
    <x v="2"/>
    <n v="6.6"/>
    <s v="No"/>
    <s v="Bronchoscopy"/>
    <s v="Chemotherapy"/>
    <n v="24"/>
    <s v="No"/>
  </r>
  <r>
    <s v="LC-0461"/>
    <n v="2021"/>
    <d v="2021-05-24T00:00:00"/>
    <s v="Americas"/>
    <s v="Colombia"/>
    <n v="55"/>
    <x v="1"/>
    <x v="0"/>
    <n v="12"/>
    <n v="25"/>
    <x v="0"/>
    <x v="0"/>
    <x v="0"/>
    <x v="1"/>
    <x v="0"/>
    <n v="29.8"/>
    <x v="0"/>
    <s v="No"/>
    <x v="0"/>
    <x v="1"/>
    <x v="0"/>
    <s v="EGFR"/>
    <s v="No"/>
    <s v="Yes"/>
    <s v="No"/>
    <s v="No"/>
    <s v="Yes"/>
    <s v="Yes"/>
    <s v="Yes"/>
    <s v="No"/>
    <s v="No"/>
    <s v="No"/>
    <x v="0"/>
    <s v="Large Cell"/>
    <x v="2"/>
    <n v="4.7"/>
    <s v="Yes"/>
    <s v="Biopsy"/>
    <s v="Surgery + Chemotherapy"/>
    <n v="14"/>
    <s v="Yes"/>
  </r>
  <r>
    <s v="LC-0462"/>
    <n v="2021"/>
    <d v="2021-02-15T00:00:00"/>
    <s v="South-East Asia"/>
    <s v="Bangladesh"/>
    <n v="53"/>
    <x v="1"/>
    <x v="1"/>
    <n v="15"/>
    <n v="17"/>
    <x v="0"/>
    <x v="1"/>
    <x v="0"/>
    <x v="0"/>
    <x v="0"/>
    <n v="26.7"/>
    <x v="1"/>
    <s v="Yes"/>
    <x v="0"/>
    <x v="0"/>
    <x v="0"/>
    <s v="EGFR"/>
    <s v="No"/>
    <s v="Yes"/>
    <s v="No"/>
    <s v="No"/>
    <s v="Yes"/>
    <s v="No"/>
    <s v="No"/>
    <s v="Yes"/>
    <s v="No"/>
    <s v="No"/>
    <x v="0"/>
    <s v="Adenocarcinoma"/>
    <x v="2"/>
    <n v="3"/>
    <s v="No"/>
    <s v="Chest X-Ray"/>
    <s v="Immunotherapy"/>
    <n v="14"/>
    <s v="No"/>
  </r>
  <r>
    <s v="LC-0463"/>
    <n v="2025"/>
    <d v="2025-03-25T00:00:00"/>
    <s v="Western Pacific"/>
    <s v="Australia"/>
    <n v="64"/>
    <x v="1"/>
    <x v="1"/>
    <n v="3"/>
    <n v="13"/>
    <x v="1"/>
    <x v="1"/>
    <x v="0"/>
    <x v="1"/>
    <x v="0"/>
    <n v="36.299999999999997"/>
    <x v="1"/>
    <s v="No"/>
    <x v="0"/>
    <x v="0"/>
    <x v="0"/>
    <s v="No Mutation"/>
    <s v="Yes"/>
    <s v="Yes"/>
    <s v="Yes"/>
    <s v="No"/>
    <s v="No"/>
    <s v="No"/>
    <s v="No"/>
    <s v="No"/>
    <s v="No"/>
    <s v="No"/>
    <x v="0"/>
    <s v="Squamous Cell"/>
    <x v="3"/>
    <n v="4.5"/>
    <s v="No"/>
    <s v="Bronchoscopy"/>
    <s v="Surgery + Chemotherapy"/>
    <n v="60"/>
    <s v="No"/>
  </r>
  <r>
    <s v="LC-0464"/>
    <n v="2021"/>
    <d v="2021-11-24T00:00:00"/>
    <s v="Eastern Mediterranean"/>
    <s v="Lebanon"/>
    <n v="72"/>
    <x v="1"/>
    <x v="2"/>
    <n v="0"/>
    <n v="0"/>
    <x v="1"/>
    <x v="1"/>
    <x v="0"/>
    <x v="1"/>
    <x v="0"/>
    <n v="26.2"/>
    <x v="1"/>
    <s v="No"/>
    <x v="0"/>
    <x v="0"/>
    <x v="0"/>
    <s v="No Mutation"/>
    <s v="No"/>
    <s v="No"/>
    <s v="No"/>
    <s v="No"/>
    <s v="Yes"/>
    <s v="Yes"/>
    <s v="No"/>
    <s v="No"/>
    <s v="No"/>
    <s v="No"/>
    <x v="0"/>
    <s v="Adenocarcinoma"/>
    <x v="2"/>
    <n v="8.6999999999999993"/>
    <s v="No"/>
    <s v="MRI"/>
    <s v="Immunotherapy"/>
    <n v="25"/>
    <s v="Yes"/>
  </r>
  <r>
    <s v="LC-0465"/>
    <n v="2022"/>
    <d v="2022-09-12T00:00:00"/>
    <s v="Eastern Mediterranean"/>
    <s v="Iran"/>
    <n v="64"/>
    <x v="0"/>
    <x v="2"/>
    <n v="0"/>
    <n v="0"/>
    <x v="1"/>
    <x v="0"/>
    <x v="1"/>
    <x v="0"/>
    <x v="2"/>
    <n v="29.2"/>
    <x v="0"/>
    <s v="Yes"/>
    <x v="1"/>
    <x v="0"/>
    <x v="0"/>
    <s v="ALK"/>
    <s v="Yes"/>
    <s v="No"/>
    <s v="No"/>
    <s v="No"/>
    <s v="No"/>
    <s v="No"/>
    <s v="No"/>
    <s v="No"/>
    <s v="No"/>
    <s v="No"/>
    <x v="0"/>
    <s v="Adenocarcinoma"/>
    <x v="2"/>
    <n v="7.2"/>
    <s v="Yes"/>
    <s v="Bronchoscopy"/>
    <s v="Chemotherapy"/>
    <n v="12"/>
    <s v="No"/>
  </r>
  <r>
    <s v="LC-0466"/>
    <n v="2021"/>
    <d v="2021-07-01T00:00:00"/>
    <s v="Africa"/>
    <s v="Ethiopia"/>
    <n v="62"/>
    <x v="1"/>
    <x v="2"/>
    <n v="0"/>
    <n v="0"/>
    <x v="0"/>
    <x v="1"/>
    <x v="0"/>
    <x v="1"/>
    <x v="0"/>
    <n v="23.3"/>
    <x v="1"/>
    <s v="No"/>
    <x v="0"/>
    <x v="0"/>
    <x v="0"/>
    <s v="EGFR"/>
    <s v="Yes"/>
    <s v="No"/>
    <s v="No"/>
    <s v="No"/>
    <s v="Yes"/>
    <s v="No"/>
    <s v="No"/>
    <s v="No"/>
    <s v="No"/>
    <s v="No"/>
    <x v="0"/>
    <s v="Adenocarcinoma"/>
    <x v="3"/>
    <n v="4"/>
    <s v="No"/>
    <s v="Biopsy"/>
    <s v="Surgery"/>
    <n v="31"/>
    <s v="Yes"/>
  </r>
  <r>
    <s v="LC-0467"/>
    <n v="2024"/>
    <d v="2024-09-04T00:00:00"/>
    <s v="South-East Asia"/>
    <s v="Maldives"/>
    <n v="55"/>
    <x v="1"/>
    <x v="2"/>
    <n v="0"/>
    <n v="0"/>
    <x v="1"/>
    <x v="1"/>
    <x v="0"/>
    <x v="0"/>
    <x v="1"/>
    <n v="25.3"/>
    <x v="0"/>
    <s v="No"/>
    <x v="0"/>
    <x v="0"/>
    <x v="0"/>
    <s v="No Mutation"/>
    <s v="Yes"/>
    <s v="No"/>
    <s v="Yes"/>
    <s v="No"/>
    <s v="Yes"/>
    <s v="No"/>
    <s v="No"/>
    <s v="No"/>
    <s v="No"/>
    <s v="No"/>
    <x v="0"/>
    <s v="Adenocarcinoma"/>
    <x v="3"/>
    <n v="5.2"/>
    <s v="No"/>
    <s v="Biopsy"/>
    <s v="Surgery + Chemotherapy"/>
    <n v="50"/>
    <s v="Yes"/>
  </r>
  <r>
    <s v="LC-0468"/>
    <n v="2022"/>
    <d v="2022-06-22T00:00:00"/>
    <s v="Eastern Mediterranean"/>
    <s v="Iraq"/>
    <n v="48"/>
    <x v="1"/>
    <x v="2"/>
    <n v="0"/>
    <n v="0"/>
    <x v="1"/>
    <x v="0"/>
    <x v="1"/>
    <x v="1"/>
    <x v="1"/>
    <n v="29.8"/>
    <x v="0"/>
    <s v="No"/>
    <x v="0"/>
    <x v="0"/>
    <x v="0"/>
    <s v="ALK"/>
    <s v="No"/>
    <s v="No"/>
    <s v="Yes"/>
    <s v="No"/>
    <s v="Yes"/>
    <s v="No"/>
    <s v="No"/>
    <s v="No"/>
    <s v="No"/>
    <s v="Yes"/>
    <x v="0"/>
    <s v="Squamous Cell"/>
    <x v="3"/>
    <n v="4.5"/>
    <s v="No"/>
    <s v="MRI"/>
    <s v="Radiotherapy"/>
    <n v="44"/>
    <s v="No"/>
  </r>
  <r>
    <s v="LC-0469"/>
    <n v="2019"/>
    <d v="2019-10-13T00:00:00"/>
    <s v="South-East Asia"/>
    <s v="Sri Lanka"/>
    <n v="68"/>
    <x v="1"/>
    <x v="2"/>
    <n v="0"/>
    <n v="0"/>
    <x v="0"/>
    <x v="1"/>
    <x v="0"/>
    <x v="1"/>
    <x v="1"/>
    <n v="20.9"/>
    <x v="0"/>
    <s v="No"/>
    <x v="0"/>
    <x v="0"/>
    <x v="0"/>
    <s v="MET"/>
    <s v="Yes"/>
    <s v="No"/>
    <s v="No"/>
    <s v="No"/>
    <s v="No"/>
    <s v="No"/>
    <s v="No"/>
    <s v="No"/>
    <s v="No"/>
    <s v="Yes"/>
    <x v="0"/>
    <s v="Squamous Cell"/>
    <x v="3"/>
    <n v="3.5"/>
    <s v="No"/>
    <s v="CT Scan"/>
    <s v="Immunotherapy"/>
    <n v="27"/>
    <s v="Yes"/>
  </r>
  <r>
    <s v="LC-0470"/>
    <n v="2019"/>
    <d v="2019-02-22T00:00:00"/>
    <s v="Europe"/>
    <s v="Italy"/>
    <n v="59"/>
    <x v="1"/>
    <x v="2"/>
    <n v="0"/>
    <n v="0"/>
    <x v="1"/>
    <x v="1"/>
    <x v="1"/>
    <x v="0"/>
    <x v="1"/>
    <n v="23.4"/>
    <x v="0"/>
    <s v="No"/>
    <x v="0"/>
    <x v="0"/>
    <x v="1"/>
    <s v="No Mutation"/>
    <s v="No"/>
    <s v="No"/>
    <s v="No"/>
    <s v="No"/>
    <s v="Yes"/>
    <s v="Yes"/>
    <s v="No"/>
    <s v="No"/>
    <s v="No"/>
    <s v="Yes"/>
    <x v="0"/>
    <s v="Squamous Cell"/>
    <x v="1"/>
    <n v="1.7"/>
    <s v="No"/>
    <s v="CT Scan"/>
    <s v="Surgery"/>
    <n v="49"/>
    <s v="Yes"/>
  </r>
  <r>
    <s v="LC-0471"/>
    <n v="2018"/>
    <d v="2018-08-01T00:00:00"/>
    <s v="Western Pacific"/>
    <s v="Mongolia"/>
    <n v="78"/>
    <x v="1"/>
    <x v="2"/>
    <n v="0"/>
    <n v="0"/>
    <x v="0"/>
    <x v="0"/>
    <x v="0"/>
    <x v="0"/>
    <x v="2"/>
    <n v="23.6"/>
    <x v="2"/>
    <s v="No"/>
    <x v="0"/>
    <x v="0"/>
    <x v="0"/>
    <s v="KRAS"/>
    <s v="Yes"/>
    <s v="No"/>
    <s v="No"/>
    <s v="No"/>
    <s v="No"/>
    <s v="Yes"/>
    <s v="Yes"/>
    <s v="Yes"/>
    <s v="No"/>
    <s v="No"/>
    <x v="0"/>
    <s v="Adenocarcinoma"/>
    <x v="0"/>
    <n v="4.8"/>
    <s v="Yes"/>
    <s v="CT Scan"/>
    <s v="Chemo + Radiation"/>
    <n v="11"/>
    <s v="No"/>
  </r>
  <r>
    <s v="LC-0472"/>
    <n v="2016"/>
    <d v="2016-09-11T00:00:00"/>
    <s v="Western Pacific"/>
    <s v="Mongolia"/>
    <n v="58"/>
    <x v="1"/>
    <x v="2"/>
    <n v="0"/>
    <n v="0"/>
    <x v="0"/>
    <x v="1"/>
    <x v="1"/>
    <x v="0"/>
    <x v="2"/>
    <n v="22.2"/>
    <x v="0"/>
    <s v="Yes"/>
    <x v="0"/>
    <x v="0"/>
    <x v="0"/>
    <s v="No Mutation"/>
    <s v="Yes"/>
    <s v="No"/>
    <s v="No"/>
    <s v="No"/>
    <s v="Yes"/>
    <s v="No"/>
    <s v="No"/>
    <s v="No"/>
    <s v="No"/>
    <s v="No"/>
    <x v="1"/>
    <s v="Not Applicable"/>
    <x v="2"/>
    <n v="5.6"/>
    <s v="No"/>
    <s v="PET Scan"/>
    <s v="Chemotherapy"/>
    <n v="18"/>
    <s v="No"/>
  </r>
  <r>
    <s v="LC-0473"/>
    <n v="2022"/>
    <d v="2022-04-21T00:00:00"/>
    <s v="Western Pacific"/>
    <s v="Japan"/>
    <n v="55"/>
    <x v="1"/>
    <x v="2"/>
    <n v="0"/>
    <n v="0"/>
    <x v="0"/>
    <x v="1"/>
    <x v="0"/>
    <x v="1"/>
    <x v="2"/>
    <n v="24.6"/>
    <x v="0"/>
    <s v="No"/>
    <x v="0"/>
    <x v="0"/>
    <x v="0"/>
    <s v="MET"/>
    <s v="Yes"/>
    <s v="Yes"/>
    <s v="No"/>
    <s v="No"/>
    <s v="Yes"/>
    <s v="No"/>
    <s v="No"/>
    <s v="No"/>
    <s v="No"/>
    <s v="No"/>
    <x v="0"/>
    <s v="Adenocarcinoma"/>
    <x v="2"/>
    <n v="5.7"/>
    <s v="Yes"/>
    <s v="Bronchoscopy"/>
    <s v="Chemo + Radiation"/>
    <n v="20"/>
    <s v="No"/>
  </r>
  <r>
    <s v="LC-0474"/>
    <n v="2023"/>
    <d v="2023-11-27T00:00:00"/>
    <s v="Americas"/>
    <s v="Peru"/>
    <n v="34"/>
    <x v="0"/>
    <x v="0"/>
    <n v="28"/>
    <n v="16"/>
    <x v="0"/>
    <x v="0"/>
    <x v="0"/>
    <x v="2"/>
    <x v="2"/>
    <n v="25.6"/>
    <x v="1"/>
    <s v="No"/>
    <x v="0"/>
    <x v="1"/>
    <x v="0"/>
    <s v="No Mutation"/>
    <s v="Yes"/>
    <s v="Yes"/>
    <s v="Yes"/>
    <s v="No"/>
    <s v="Yes"/>
    <s v="No"/>
    <s v="Yes"/>
    <s v="No"/>
    <s v="No"/>
    <s v="No"/>
    <x v="0"/>
    <s v="Squamous Cell"/>
    <x v="3"/>
    <n v="4.7"/>
    <s v="No"/>
    <s v="CT Scan"/>
    <s v="Surgery"/>
    <n v="42"/>
    <s v="No"/>
  </r>
  <r>
    <s v="LC-0475"/>
    <n v="2016"/>
    <d v="2016-12-10T00:00:00"/>
    <s v="Western Pacific"/>
    <s v="Malaysia"/>
    <n v="53"/>
    <x v="0"/>
    <x v="2"/>
    <n v="0"/>
    <n v="0"/>
    <x v="1"/>
    <x v="0"/>
    <x v="0"/>
    <x v="1"/>
    <x v="2"/>
    <n v="34.799999999999997"/>
    <x v="0"/>
    <s v="No"/>
    <x v="0"/>
    <x v="0"/>
    <x v="0"/>
    <s v="ALK"/>
    <s v="No"/>
    <s v="No"/>
    <s v="Yes"/>
    <s v="No"/>
    <s v="No"/>
    <s v="No"/>
    <s v="No"/>
    <s v="No"/>
    <s v="Yes"/>
    <s v="No"/>
    <x v="0"/>
    <s v="Adenocarcinoma"/>
    <x v="3"/>
    <n v="4.5"/>
    <s v="No"/>
    <s v="PET Scan"/>
    <s v="Surgery"/>
    <n v="42"/>
    <s v="Yes"/>
  </r>
  <r>
    <s v="LC-0476"/>
    <n v="2017"/>
    <d v="2017-02-05T00:00:00"/>
    <s v="Africa"/>
    <s v="Nigeria"/>
    <n v="59"/>
    <x v="0"/>
    <x v="2"/>
    <n v="0"/>
    <n v="0"/>
    <x v="0"/>
    <x v="0"/>
    <x v="1"/>
    <x v="0"/>
    <x v="2"/>
    <n v="25.7"/>
    <x v="1"/>
    <s v="No"/>
    <x v="0"/>
    <x v="0"/>
    <x v="0"/>
    <s v="KRAS"/>
    <s v="No"/>
    <s v="No"/>
    <s v="No"/>
    <s v="Yes"/>
    <s v="Yes"/>
    <s v="No"/>
    <s v="Yes"/>
    <s v="No"/>
    <s v="No"/>
    <s v="No"/>
    <x v="0"/>
    <s v="Squamous Cell"/>
    <x v="2"/>
    <n v="3"/>
    <s v="No"/>
    <s v="Bronchoscopy"/>
    <s v="Immunotherapy"/>
    <n v="12"/>
    <s v="No"/>
  </r>
  <r>
    <s v="LC-0477"/>
    <n v="2018"/>
    <d v="2018-01-10T00:00:00"/>
    <s v="South-East Asia"/>
    <s v="Maldives"/>
    <n v="45"/>
    <x v="0"/>
    <x v="2"/>
    <n v="0"/>
    <n v="0"/>
    <x v="1"/>
    <x v="0"/>
    <x v="0"/>
    <x v="0"/>
    <x v="1"/>
    <n v="27.7"/>
    <x v="1"/>
    <s v="No"/>
    <x v="0"/>
    <x v="1"/>
    <x v="0"/>
    <s v="ALK"/>
    <s v="No"/>
    <s v="No"/>
    <s v="No"/>
    <s v="No"/>
    <s v="Yes"/>
    <s v="No"/>
    <s v="No"/>
    <s v="No"/>
    <s v="No"/>
    <s v="No"/>
    <x v="0"/>
    <s v="Adenocarcinoma"/>
    <x v="2"/>
    <n v="6.8"/>
    <s v="No"/>
    <s v="LDCT Screening"/>
    <s v="Chemo + Radiation"/>
    <n v="26"/>
    <s v="No"/>
  </r>
  <r>
    <s v="LC-0478"/>
    <n v="2025"/>
    <d v="2025-02-04T00:00:00"/>
    <s v="Europe"/>
    <s v="Italy"/>
    <n v="67"/>
    <x v="1"/>
    <x v="2"/>
    <n v="0"/>
    <n v="0"/>
    <x v="0"/>
    <x v="1"/>
    <x v="0"/>
    <x v="2"/>
    <x v="1"/>
    <n v="30.1"/>
    <x v="2"/>
    <s v="No"/>
    <x v="0"/>
    <x v="0"/>
    <x v="0"/>
    <s v="BRAF"/>
    <s v="No"/>
    <s v="No"/>
    <s v="Yes"/>
    <s v="No"/>
    <s v="No"/>
    <s v="No"/>
    <s v="No"/>
    <s v="No"/>
    <s v="No"/>
    <s v="No"/>
    <x v="0"/>
    <s v="Large Cell"/>
    <x v="0"/>
    <n v="9.1999999999999993"/>
    <s v="Yes"/>
    <s v="LDCT Screening"/>
    <s v="Palliative Care"/>
    <n v="9"/>
    <s v="No"/>
  </r>
  <r>
    <s v="LC-0479"/>
    <n v="2015"/>
    <d v="2015-09-05T00:00:00"/>
    <s v="Eastern Mediterranean"/>
    <s v="Lebanon"/>
    <n v="82"/>
    <x v="1"/>
    <x v="2"/>
    <n v="0"/>
    <n v="0"/>
    <x v="1"/>
    <x v="0"/>
    <x v="0"/>
    <x v="0"/>
    <x v="0"/>
    <n v="25.1"/>
    <x v="0"/>
    <s v="No"/>
    <x v="0"/>
    <x v="0"/>
    <x v="0"/>
    <s v="TP53"/>
    <s v="No"/>
    <s v="Yes"/>
    <s v="No"/>
    <s v="No"/>
    <s v="Yes"/>
    <s v="Yes"/>
    <s v="No"/>
    <s v="Yes"/>
    <s v="Yes"/>
    <s v="No"/>
    <x v="0"/>
    <s v="Adenocarcinoma"/>
    <x v="1"/>
    <n v="2"/>
    <s v="No"/>
    <s v="CT Scan"/>
    <s v="Surgery"/>
    <n v="44"/>
    <s v="Yes"/>
  </r>
  <r>
    <s v="LC-0480"/>
    <n v="2018"/>
    <d v="2018-08-12T00:00:00"/>
    <s v="Americas"/>
    <s v="Cuba"/>
    <n v="65"/>
    <x v="1"/>
    <x v="2"/>
    <n v="0"/>
    <n v="0"/>
    <x v="1"/>
    <x v="0"/>
    <x v="0"/>
    <x v="0"/>
    <x v="0"/>
    <n v="28.2"/>
    <x v="0"/>
    <s v="No"/>
    <x v="0"/>
    <x v="0"/>
    <x v="0"/>
    <s v="KRAS"/>
    <s v="No"/>
    <s v="No"/>
    <s v="No"/>
    <s v="No"/>
    <s v="No"/>
    <s v="No"/>
    <s v="No"/>
    <s v="Yes"/>
    <s v="No"/>
    <s v="No"/>
    <x v="0"/>
    <s v="Squamous Cell"/>
    <x v="1"/>
    <n v="3"/>
    <s v="No"/>
    <s v="LDCT Screening"/>
    <s v="Surgery"/>
    <n v="43"/>
    <s v="Yes"/>
  </r>
  <r>
    <s v="LC-0481"/>
    <n v="2023"/>
    <d v="2023-07-19T00:00:00"/>
    <s v="Western Pacific"/>
    <s v="South Korea"/>
    <n v="57"/>
    <x v="1"/>
    <x v="1"/>
    <n v="7"/>
    <n v="20"/>
    <x v="1"/>
    <x v="0"/>
    <x v="0"/>
    <x v="1"/>
    <x v="2"/>
    <n v="23.7"/>
    <x v="1"/>
    <s v="No"/>
    <x v="0"/>
    <x v="0"/>
    <x v="0"/>
    <s v="No Mutation"/>
    <s v="No"/>
    <s v="Yes"/>
    <s v="Yes"/>
    <s v="No"/>
    <s v="No"/>
    <s v="Yes"/>
    <s v="No"/>
    <s v="No"/>
    <s v="No"/>
    <s v="No"/>
    <x v="0"/>
    <s v="Adenocarcinoma"/>
    <x v="3"/>
    <n v="2.7"/>
    <s v="No"/>
    <s v="PET Scan"/>
    <s v="Surgery + Chemotherapy"/>
    <n v="56"/>
    <s v="Yes"/>
  </r>
  <r>
    <s v="LC-0482"/>
    <n v="2022"/>
    <d v="2022-07-21T00:00:00"/>
    <s v="Europe"/>
    <s v="Germany"/>
    <n v="65"/>
    <x v="0"/>
    <x v="2"/>
    <n v="0"/>
    <n v="0"/>
    <x v="1"/>
    <x v="0"/>
    <x v="0"/>
    <x v="1"/>
    <x v="0"/>
    <n v="31.1"/>
    <x v="0"/>
    <s v="No"/>
    <x v="0"/>
    <x v="0"/>
    <x v="0"/>
    <s v="ALK"/>
    <s v="Yes"/>
    <s v="Yes"/>
    <s v="No"/>
    <s v="No"/>
    <s v="Yes"/>
    <s v="No"/>
    <s v="Yes"/>
    <s v="Yes"/>
    <s v="No"/>
    <s v="No"/>
    <x v="0"/>
    <s v="Squamous Cell"/>
    <x v="0"/>
    <n v="8.5"/>
    <s v="Yes"/>
    <s v="CT Scan"/>
    <s v="Immunotherapy"/>
    <n v="12"/>
    <s v="No"/>
  </r>
  <r>
    <s v="LC-0483"/>
    <n v="2018"/>
    <d v="2018-08-20T00:00:00"/>
    <s v="Americas"/>
    <s v="Chile"/>
    <n v="54"/>
    <x v="1"/>
    <x v="0"/>
    <n v="36"/>
    <n v="16"/>
    <x v="0"/>
    <x v="1"/>
    <x v="0"/>
    <x v="0"/>
    <x v="0"/>
    <n v="30.8"/>
    <x v="0"/>
    <s v="Yes"/>
    <x v="0"/>
    <x v="0"/>
    <x v="0"/>
    <s v="MET"/>
    <s v="Yes"/>
    <s v="Yes"/>
    <s v="Yes"/>
    <s v="Yes"/>
    <s v="No"/>
    <s v="Yes"/>
    <s v="No"/>
    <s v="Yes"/>
    <s v="Yes"/>
    <s v="No"/>
    <x v="1"/>
    <s v="Not Applicable"/>
    <x v="2"/>
    <n v="5.9"/>
    <s v="No"/>
    <s v="PET Scan"/>
    <s v="Chemo + Radiation"/>
    <n v="29"/>
    <s v="No"/>
  </r>
  <r>
    <s v="LC-0484"/>
    <n v="2016"/>
    <d v="2016-05-02T00:00:00"/>
    <s v="Eastern Mediterranean"/>
    <s v="Jordan"/>
    <n v="81"/>
    <x v="1"/>
    <x v="2"/>
    <n v="0"/>
    <n v="0"/>
    <x v="1"/>
    <x v="0"/>
    <x v="1"/>
    <x v="0"/>
    <x v="0"/>
    <n v="21.7"/>
    <x v="1"/>
    <s v="No"/>
    <x v="0"/>
    <x v="0"/>
    <x v="0"/>
    <s v="No Mutation"/>
    <s v="No"/>
    <s v="Yes"/>
    <s v="No"/>
    <s v="No"/>
    <s v="Yes"/>
    <s v="No"/>
    <s v="No"/>
    <s v="No"/>
    <s v="No"/>
    <s v="No"/>
    <x v="0"/>
    <s v="Adenocarcinoma"/>
    <x v="0"/>
    <n v="8"/>
    <s v="Yes"/>
    <s v="CT Scan"/>
    <s v="Chemo + Radiation"/>
    <n v="2"/>
    <s v="No"/>
  </r>
  <r>
    <s v="LC-0485"/>
    <n v="2025"/>
    <d v="2025-04-15T00:00:00"/>
    <s v="Europe"/>
    <s v="Poland"/>
    <n v="75"/>
    <x v="0"/>
    <x v="2"/>
    <n v="0"/>
    <n v="0"/>
    <x v="0"/>
    <x v="0"/>
    <x v="0"/>
    <x v="0"/>
    <x v="0"/>
    <n v="26.6"/>
    <x v="2"/>
    <s v="No"/>
    <x v="0"/>
    <x v="0"/>
    <x v="0"/>
    <s v="EGFR"/>
    <s v="Yes"/>
    <s v="No"/>
    <s v="No"/>
    <s v="No"/>
    <s v="Yes"/>
    <s v="No"/>
    <s v="No"/>
    <s v="Yes"/>
    <s v="Yes"/>
    <s v="No"/>
    <x v="0"/>
    <s v="Adenocarcinoma"/>
    <x v="3"/>
    <n v="2.5"/>
    <s v="No"/>
    <s v="PET Scan"/>
    <s v="Surgery"/>
    <n v="28"/>
    <s v="No"/>
  </r>
  <r>
    <s v="LC-0486"/>
    <n v="2021"/>
    <d v="2021-04-28T00:00:00"/>
    <s v="Western Pacific"/>
    <s v="Vietnam"/>
    <n v="69"/>
    <x v="0"/>
    <x v="2"/>
    <n v="0"/>
    <n v="0"/>
    <x v="1"/>
    <x v="0"/>
    <x v="0"/>
    <x v="0"/>
    <x v="1"/>
    <n v="26.6"/>
    <x v="2"/>
    <s v="No"/>
    <x v="0"/>
    <x v="0"/>
    <x v="0"/>
    <s v="KRAS"/>
    <s v="Yes"/>
    <s v="Yes"/>
    <s v="Yes"/>
    <s v="No"/>
    <s v="Yes"/>
    <s v="Yes"/>
    <s v="No"/>
    <s v="Yes"/>
    <s v="No"/>
    <s v="No"/>
    <x v="0"/>
    <s v="Squamous Cell"/>
    <x v="2"/>
    <n v="6.9"/>
    <s v="Yes"/>
    <s v="Bronchoscopy"/>
    <s v="Immunotherapy"/>
    <n v="31"/>
    <s v="No"/>
  </r>
  <r>
    <s v="LC-0487"/>
    <n v="2018"/>
    <d v="2018-02-22T00:00:00"/>
    <s v="Western Pacific"/>
    <s v="Vietnam"/>
    <n v="76"/>
    <x v="1"/>
    <x v="2"/>
    <n v="0"/>
    <n v="0"/>
    <x v="0"/>
    <x v="0"/>
    <x v="0"/>
    <x v="0"/>
    <x v="1"/>
    <n v="24"/>
    <x v="0"/>
    <s v="No"/>
    <x v="0"/>
    <x v="0"/>
    <x v="0"/>
    <s v="ALK"/>
    <s v="No"/>
    <s v="Yes"/>
    <s v="No"/>
    <s v="No"/>
    <s v="No"/>
    <s v="No"/>
    <s v="Yes"/>
    <s v="Yes"/>
    <s v="No"/>
    <s v="No"/>
    <x v="0"/>
    <s v="Adenocarcinoma"/>
    <x v="3"/>
    <n v="4.0999999999999996"/>
    <s v="No"/>
    <s v="MRI"/>
    <s v="Immunotherapy"/>
    <n v="34"/>
    <s v="No"/>
  </r>
  <r>
    <s v="LC-0488"/>
    <n v="2025"/>
    <d v="2025-09-21T00:00:00"/>
    <s v="Europe"/>
    <s v="Russia"/>
    <n v="79"/>
    <x v="1"/>
    <x v="0"/>
    <n v="33"/>
    <n v="47"/>
    <x v="0"/>
    <x v="0"/>
    <x v="1"/>
    <x v="1"/>
    <x v="2"/>
    <n v="20"/>
    <x v="0"/>
    <s v="No"/>
    <x v="0"/>
    <x v="1"/>
    <x v="0"/>
    <s v="No Mutation"/>
    <s v="Yes"/>
    <s v="No"/>
    <s v="Yes"/>
    <s v="Yes"/>
    <s v="No"/>
    <s v="Yes"/>
    <s v="No"/>
    <s v="Yes"/>
    <s v="No"/>
    <s v="No"/>
    <x v="0"/>
    <s v="Adenocarcinoma"/>
    <x v="3"/>
    <n v="3.2"/>
    <s v="No"/>
    <s v="Biopsy"/>
    <s v="Chemotherapy"/>
    <n v="28"/>
    <s v="No"/>
  </r>
  <r>
    <s v="LC-0489"/>
    <n v="2021"/>
    <d v="2021-01-13T00:00:00"/>
    <s v="Americas"/>
    <s v="Argentina"/>
    <n v="48"/>
    <x v="0"/>
    <x v="2"/>
    <n v="0"/>
    <n v="0"/>
    <x v="1"/>
    <x v="0"/>
    <x v="1"/>
    <x v="2"/>
    <x v="0"/>
    <n v="27.8"/>
    <x v="1"/>
    <s v="No"/>
    <x v="0"/>
    <x v="0"/>
    <x v="0"/>
    <s v="MET"/>
    <s v="No"/>
    <s v="Yes"/>
    <s v="No"/>
    <s v="No"/>
    <s v="Yes"/>
    <s v="No"/>
    <s v="No"/>
    <s v="No"/>
    <s v="No"/>
    <s v="No"/>
    <x v="0"/>
    <s v="Adenocarcinoma"/>
    <x v="2"/>
    <n v="3.7"/>
    <s v="No"/>
    <s v="PET Scan"/>
    <s v="Surgery + Chemotherapy"/>
    <n v="18"/>
    <s v="No"/>
  </r>
  <r>
    <s v="LC-0490"/>
    <n v="2025"/>
    <d v="2025-04-04T00:00:00"/>
    <s v="Western Pacific"/>
    <s v="New Zealand"/>
    <n v="52"/>
    <x v="1"/>
    <x v="2"/>
    <n v="0"/>
    <n v="0"/>
    <x v="0"/>
    <x v="0"/>
    <x v="0"/>
    <x v="1"/>
    <x v="2"/>
    <n v="32.4"/>
    <x v="0"/>
    <s v="No"/>
    <x v="0"/>
    <x v="0"/>
    <x v="0"/>
    <s v="No Mutation"/>
    <s v="No"/>
    <s v="No"/>
    <s v="No"/>
    <s v="No"/>
    <s v="Yes"/>
    <s v="No"/>
    <s v="Yes"/>
    <s v="No"/>
    <s v="No"/>
    <s v="No"/>
    <x v="0"/>
    <s v="Large Cell"/>
    <x v="1"/>
    <n v="2.1"/>
    <s v="No"/>
    <s v="LDCT Screening"/>
    <s v="Surgery"/>
    <n v="54"/>
    <s v="Yes"/>
  </r>
  <r>
    <s v="LC-0491"/>
    <n v="2019"/>
    <d v="2019-02-22T00:00:00"/>
    <s v="Western Pacific"/>
    <s v="Australia"/>
    <n v="73"/>
    <x v="1"/>
    <x v="2"/>
    <n v="0"/>
    <n v="0"/>
    <x v="1"/>
    <x v="0"/>
    <x v="0"/>
    <x v="0"/>
    <x v="2"/>
    <n v="22.8"/>
    <x v="1"/>
    <s v="No"/>
    <x v="0"/>
    <x v="1"/>
    <x v="0"/>
    <s v="No Mutation"/>
    <s v="No"/>
    <s v="No"/>
    <s v="No"/>
    <s v="No"/>
    <s v="Yes"/>
    <s v="No"/>
    <s v="No"/>
    <s v="No"/>
    <s v="No"/>
    <s v="No"/>
    <x v="0"/>
    <s v="Adenocarcinoma"/>
    <x v="1"/>
    <n v="3"/>
    <s v="No"/>
    <s v="Bronchoscopy"/>
    <s v="Surgery + Chemotherapy"/>
    <n v="73"/>
    <s v="Yes"/>
  </r>
  <r>
    <s v="LC-0492"/>
    <n v="2019"/>
    <d v="2019-11-21T00:00:00"/>
    <s v="Americas"/>
    <s v="Venezuela"/>
    <n v="62"/>
    <x v="0"/>
    <x v="2"/>
    <n v="0"/>
    <n v="0"/>
    <x v="0"/>
    <x v="1"/>
    <x v="0"/>
    <x v="2"/>
    <x v="2"/>
    <n v="23.2"/>
    <x v="0"/>
    <s v="No"/>
    <x v="0"/>
    <x v="0"/>
    <x v="0"/>
    <s v="No Mutation"/>
    <s v="No"/>
    <s v="Yes"/>
    <s v="Yes"/>
    <s v="No"/>
    <s v="Yes"/>
    <s v="No"/>
    <s v="No"/>
    <s v="No"/>
    <s v="Yes"/>
    <s v="Yes"/>
    <x v="0"/>
    <s v="Adenocarcinoma"/>
    <x v="1"/>
    <n v="2.9"/>
    <s v="No"/>
    <s v="CT Scan"/>
    <s v="Surgery"/>
    <n v="35"/>
    <s v="Yes"/>
  </r>
  <r>
    <s v="LC-0493"/>
    <n v="2017"/>
    <d v="2017-01-02T00:00:00"/>
    <s v="Western Pacific"/>
    <s v="Vietnam"/>
    <n v="47"/>
    <x v="1"/>
    <x v="2"/>
    <n v="0"/>
    <n v="0"/>
    <x v="1"/>
    <x v="0"/>
    <x v="0"/>
    <x v="0"/>
    <x v="0"/>
    <n v="33.1"/>
    <x v="1"/>
    <s v="No"/>
    <x v="0"/>
    <x v="0"/>
    <x v="0"/>
    <s v="No Mutation"/>
    <s v="Yes"/>
    <s v="Yes"/>
    <s v="No"/>
    <s v="No"/>
    <s v="No"/>
    <s v="No"/>
    <s v="No"/>
    <s v="No"/>
    <s v="No"/>
    <s v="No"/>
    <x v="0"/>
    <s v="Adenocarcinoma"/>
    <x v="0"/>
    <n v="9.8000000000000007"/>
    <s v="Yes"/>
    <s v="Bronchoscopy"/>
    <s v="Palliative Care"/>
    <n v="7"/>
    <s v="No"/>
  </r>
  <r>
    <s v="LC-0494"/>
    <n v="2024"/>
    <d v="2024-04-05T00:00:00"/>
    <s v="Europe"/>
    <s v="Sweden"/>
    <n v="51"/>
    <x v="1"/>
    <x v="2"/>
    <n v="0"/>
    <n v="0"/>
    <x v="0"/>
    <x v="0"/>
    <x v="0"/>
    <x v="0"/>
    <x v="2"/>
    <n v="26.6"/>
    <x v="1"/>
    <s v="No"/>
    <x v="0"/>
    <x v="0"/>
    <x v="0"/>
    <s v="EGFR"/>
    <s v="No"/>
    <s v="No"/>
    <s v="No"/>
    <s v="Yes"/>
    <s v="Yes"/>
    <s v="No"/>
    <s v="No"/>
    <s v="No"/>
    <s v="No"/>
    <s v="No"/>
    <x v="1"/>
    <s v="Not Applicable"/>
    <x v="3"/>
    <n v="4"/>
    <s v="No"/>
    <s v="Chest X-Ray"/>
    <s v="Surgery + Chemotherapy"/>
    <n v="43"/>
    <s v="No"/>
  </r>
  <r>
    <s v="LC-0495"/>
    <n v="2024"/>
    <d v="2024-04-03T00:00:00"/>
    <s v="Americas"/>
    <s v="Cuba"/>
    <n v="50"/>
    <x v="0"/>
    <x v="0"/>
    <n v="27"/>
    <n v="25"/>
    <x v="0"/>
    <x v="0"/>
    <x v="0"/>
    <x v="0"/>
    <x v="2"/>
    <n v="24.3"/>
    <x v="1"/>
    <s v="No"/>
    <x v="0"/>
    <x v="0"/>
    <x v="0"/>
    <s v="KRAS"/>
    <s v="Yes"/>
    <s v="No"/>
    <s v="Yes"/>
    <s v="No"/>
    <s v="Yes"/>
    <s v="No"/>
    <s v="Yes"/>
    <s v="No"/>
    <s v="No"/>
    <s v="No"/>
    <x v="1"/>
    <s v="Not Applicable"/>
    <x v="2"/>
    <n v="4.9000000000000004"/>
    <s v="Yes"/>
    <s v="Bronchoscopy"/>
    <s v="Immunotherapy"/>
    <n v="19"/>
    <s v="No"/>
  </r>
  <r>
    <s v="LC-0496"/>
    <n v="2018"/>
    <d v="2018-04-19T00:00:00"/>
    <s v="Western Pacific"/>
    <s v="Australia"/>
    <n v="56"/>
    <x v="0"/>
    <x v="2"/>
    <n v="0"/>
    <n v="0"/>
    <x v="1"/>
    <x v="0"/>
    <x v="0"/>
    <x v="1"/>
    <x v="2"/>
    <n v="25.8"/>
    <x v="2"/>
    <s v="No"/>
    <x v="0"/>
    <x v="0"/>
    <x v="0"/>
    <s v="KRAS"/>
    <s v="Yes"/>
    <s v="No"/>
    <s v="No"/>
    <s v="Yes"/>
    <s v="No"/>
    <s v="Yes"/>
    <s v="No"/>
    <s v="Yes"/>
    <s v="No"/>
    <s v="Yes"/>
    <x v="0"/>
    <s v="Adenocarcinoma"/>
    <x v="1"/>
    <n v="1.3"/>
    <s v="No"/>
    <s v="Biopsy"/>
    <s v="Surgery"/>
    <n v="46"/>
    <s v="Yes"/>
  </r>
  <r>
    <s v="LC-0497"/>
    <n v="2015"/>
    <d v="2015-04-11T00:00:00"/>
    <s v="South-East Asia"/>
    <s v="Indonesia"/>
    <n v="70"/>
    <x v="1"/>
    <x v="2"/>
    <n v="0"/>
    <n v="0"/>
    <x v="1"/>
    <x v="0"/>
    <x v="0"/>
    <x v="1"/>
    <x v="2"/>
    <n v="25.2"/>
    <x v="2"/>
    <s v="No"/>
    <x v="0"/>
    <x v="0"/>
    <x v="0"/>
    <s v="EGFR"/>
    <s v="No"/>
    <s v="No"/>
    <s v="No"/>
    <s v="No"/>
    <s v="Yes"/>
    <s v="Yes"/>
    <s v="No"/>
    <s v="No"/>
    <s v="No"/>
    <s v="No"/>
    <x v="1"/>
    <s v="Not Applicable"/>
    <x v="0"/>
    <n v="8.6999999999999993"/>
    <s v="Yes"/>
    <s v="PET Scan"/>
    <s v="Targeted Therapy"/>
    <n v="11"/>
    <s v="No"/>
  </r>
  <r>
    <s v="LC-0498"/>
    <n v="2016"/>
    <d v="2016-10-01T00:00:00"/>
    <s v="Europe"/>
    <s v="Spain"/>
    <n v="58"/>
    <x v="0"/>
    <x v="2"/>
    <n v="0"/>
    <n v="0"/>
    <x v="0"/>
    <x v="0"/>
    <x v="0"/>
    <x v="1"/>
    <x v="1"/>
    <n v="28.2"/>
    <x v="0"/>
    <s v="Yes"/>
    <x v="0"/>
    <x v="0"/>
    <x v="0"/>
    <s v="ALK"/>
    <s v="Yes"/>
    <s v="No"/>
    <s v="Yes"/>
    <s v="No"/>
    <s v="Yes"/>
    <s v="Yes"/>
    <s v="Yes"/>
    <s v="No"/>
    <s v="No"/>
    <s v="No"/>
    <x v="0"/>
    <s v="Adenocarcinoma"/>
    <x v="2"/>
    <n v="6.8"/>
    <s v="No"/>
    <s v="Bronchoscopy"/>
    <s v="Targeted Therapy"/>
    <n v="20"/>
    <s v="No"/>
  </r>
  <r>
    <s v="LC-0499"/>
    <n v="2018"/>
    <d v="2018-03-05T00:00:00"/>
    <s v="Western Pacific"/>
    <s v="Singapore"/>
    <n v="68"/>
    <x v="1"/>
    <x v="0"/>
    <n v="23"/>
    <n v="31"/>
    <x v="1"/>
    <x v="0"/>
    <x v="0"/>
    <x v="1"/>
    <x v="1"/>
    <n v="30.5"/>
    <x v="1"/>
    <s v="No"/>
    <x v="0"/>
    <x v="0"/>
    <x v="0"/>
    <s v="TP53"/>
    <s v="Yes"/>
    <s v="Yes"/>
    <s v="No"/>
    <s v="Yes"/>
    <s v="Yes"/>
    <s v="Yes"/>
    <s v="No"/>
    <s v="Yes"/>
    <s v="Yes"/>
    <s v="No"/>
    <x v="0"/>
    <s v="Adenocarcinoma"/>
    <x v="0"/>
    <n v="7.5"/>
    <s v="Yes"/>
    <s v="CT Scan"/>
    <s v="Immunotherapy"/>
    <n v="5"/>
    <s v="No"/>
  </r>
  <r>
    <s v="LC-0500"/>
    <n v="2025"/>
    <d v="2025-05-26T00:00:00"/>
    <s v="Americas"/>
    <s v="Brazil"/>
    <n v="52"/>
    <x v="0"/>
    <x v="0"/>
    <n v="22"/>
    <n v="34"/>
    <x v="0"/>
    <x v="0"/>
    <x v="0"/>
    <x v="2"/>
    <x v="2"/>
    <n v="21.6"/>
    <x v="2"/>
    <s v="Yes"/>
    <x v="0"/>
    <x v="0"/>
    <x v="0"/>
    <s v="TP53"/>
    <s v="Yes"/>
    <s v="Yes"/>
    <s v="No"/>
    <s v="No"/>
    <s v="Yes"/>
    <s v="Yes"/>
    <s v="Yes"/>
    <s v="No"/>
    <s v="No"/>
    <s v="No"/>
    <x v="0"/>
    <s v="Adenocarcinoma"/>
    <x v="0"/>
    <n v="3.7"/>
    <s v="Yes"/>
    <s v="Bronchoscopy"/>
    <s v="Immunotherapy"/>
    <n v="6"/>
    <s v="No"/>
  </r>
  <r>
    <s v="LC-0501"/>
    <n v="2025"/>
    <d v="2025-02-22T00:00:00"/>
    <s v="Eastern Mediterranean"/>
    <s v="Pakistan"/>
    <n v="35"/>
    <x v="0"/>
    <x v="2"/>
    <n v="0"/>
    <n v="0"/>
    <x v="0"/>
    <x v="0"/>
    <x v="0"/>
    <x v="2"/>
    <x v="2"/>
    <n v="26"/>
    <x v="0"/>
    <s v="No"/>
    <x v="0"/>
    <x v="0"/>
    <x v="0"/>
    <s v="EGFR"/>
    <s v="No"/>
    <s v="No"/>
    <s v="No"/>
    <s v="No"/>
    <s v="No"/>
    <s v="Yes"/>
    <s v="No"/>
    <s v="No"/>
    <s v="No"/>
    <s v="Yes"/>
    <x v="0"/>
    <s v="Adenocarcinoma"/>
    <x v="1"/>
    <n v="2"/>
    <s v="No"/>
    <s v="CT Scan"/>
    <s v="Immunotherapy"/>
    <n v="65"/>
    <s v="Yes"/>
  </r>
  <r>
    <s v="LC-0502"/>
    <n v="2022"/>
    <d v="2022-03-01T00:00:00"/>
    <s v="Europe"/>
    <s v="Russia"/>
    <n v="47"/>
    <x v="0"/>
    <x v="2"/>
    <n v="0"/>
    <n v="0"/>
    <x v="0"/>
    <x v="0"/>
    <x v="0"/>
    <x v="1"/>
    <x v="2"/>
    <n v="30"/>
    <x v="0"/>
    <s v="No"/>
    <x v="0"/>
    <x v="0"/>
    <x v="0"/>
    <s v="EGFR"/>
    <s v="Yes"/>
    <s v="No"/>
    <s v="No"/>
    <s v="No"/>
    <s v="Yes"/>
    <s v="No"/>
    <s v="No"/>
    <s v="No"/>
    <s v="No"/>
    <s v="No"/>
    <x v="0"/>
    <s v="Adenocarcinoma"/>
    <x v="1"/>
    <n v="1.3"/>
    <s v="No"/>
    <s v="Biopsy"/>
    <s v="Surgery + Chemotherapy"/>
    <n v="54"/>
    <s v="Yes"/>
  </r>
  <r>
    <s v="LC-0503"/>
    <n v="2025"/>
    <d v="2025-04-19T00:00:00"/>
    <s v="Americas"/>
    <s v="Colombia"/>
    <n v="60"/>
    <x v="1"/>
    <x v="0"/>
    <n v="16"/>
    <n v="27"/>
    <x v="1"/>
    <x v="1"/>
    <x v="0"/>
    <x v="2"/>
    <x v="0"/>
    <n v="30.3"/>
    <x v="2"/>
    <s v="No"/>
    <x v="0"/>
    <x v="1"/>
    <x v="0"/>
    <s v="No Mutation"/>
    <s v="Yes"/>
    <s v="No"/>
    <s v="No"/>
    <s v="Yes"/>
    <s v="Yes"/>
    <s v="No"/>
    <s v="No"/>
    <s v="No"/>
    <s v="Yes"/>
    <s v="Yes"/>
    <x v="0"/>
    <s v="Adenocarcinoma"/>
    <x v="3"/>
    <n v="4.2"/>
    <s v="No"/>
    <s v="PET Scan"/>
    <s v="Surgery + Chemotherapy"/>
    <n v="45"/>
    <s v="Yes"/>
  </r>
  <r>
    <s v="LC-0504"/>
    <n v="2018"/>
    <d v="2018-01-06T00:00:00"/>
    <s v="Eastern Mediterranean"/>
    <s v="Iraq"/>
    <n v="70"/>
    <x v="1"/>
    <x v="1"/>
    <n v="15"/>
    <n v="11"/>
    <x v="1"/>
    <x v="0"/>
    <x v="0"/>
    <x v="2"/>
    <x v="2"/>
    <n v="19.8"/>
    <x v="0"/>
    <s v="Yes"/>
    <x v="0"/>
    <x v="0"/>
    <x v="0"/>
    <s v="KRAS"/>
    <s v="Yes"/>
    <s v="Yes"/>
    <s v="Yes"/>
    <s v="Yes"/>
    <s v="Yes"/>
    <s v="No"/>
    <s v="No"/>
    <s v="No"/>
    <s v="No"/>
    <s v="No"/>
    <x v="0"/>
    <s v="Adenocarcinoma"/>
    <x v="0"/>
    <n v="8.9"/>
    <s v="Yes"/>
    <s v="Biopsy"/>
    <s v="Chemo + Radiation"/>
    <n v="7"/>
    <s v="Yes"/>
  </r>
  <r>
    <s v="LC-0505"/>
    <n v="2017"/>
    <d v="2017-01-05T00:00:00"/>
    <s v="Americas"/>
    <s v="Chile"/>
    <n v="53"/>
    <x v="1"/>
    <x v="0"/>
    <n v="22"/>
    <n v="8"/>
    <x v="1"/>
    <x v="0"/>
    <x v="0"/>
    <x v="1"/>
    <x v="0"/>
    <n v="23.8"/>
    <x v="0"/>
    <s v="No"/>
    <x v="0"/>
    <x v="0"/>
    <x v="0"/>
    <s v="No Mutation"/>
    <s v="No"/>
    <s v="Yes"/>
    <s v="Yes"/>
    <s v="No"/>
    <s v="No"/>
    <s v="No"/>
    <s v="Yes"/>
    <s v="No"/>
    <s v="Yes"/>
    <s v="No"/>
    <x v="0"/>
    <s v="Adenocarcinoma"/>
    <x v="0"/>
    <n v="7.4"/>
    <s v="Yes"/>
    <s v="Biopsy"/>
    <s v="Chemotherapy"/>
    <n v="10"/>
    <s v="No"/>
  </r>
  <r>
    <s v="LC-0506"/>
    <n v="2022"/>
    <d v="2022-09-04T00:00:00"/>
    <s v="South-East Asia"/>
    <s v="Bangladesh"/>
    <n v="53"/>
    <x v="1"/>
    <x v="0"/>
    <n v="11"/>
    <n v="24"/>
    <x v="1"/>
    <x v="0"/>
    <x v="0"/>
    <x v="0"/>
    <x v="0"/>
    <n v="27.1"/>
    <x v="1"/>
    <s v="Yes"/>
    <x v="0"/>
    <x v="0"/>
    <x v="0"/>
    <s v="ROS1"/>
    <s v="Yes"/>
    <s v="Yes"/>
    <s v="No"/>
    <s v="No"/>
    <s v="Yes"/>
    <s v="No"/>
    <s v="Yes"/>
    <s v="No"/>
    <s v="No"/>
    <s v="No"/>
    <x v="0"/>
    <s v="Adenocarcinoma"/>
    <x v="0"/>
    <n v="10.7"/>
    <s v="Yes"/>
    <s v="PET Scan"/>
    <s v="Targeted Therapy"/>
    <n v="11"/>
    <s v="No"/>
  </r>
  <r>
    <s v="LC-0507"/>
    <n v="2017"/>
    <d v="2017-08-15T00:00:00"/>
    <s v="South-East Asia"/>
    <s v="Sri Lanka"/>
    <n v="76"/>
    <x v="0"/>
    <x v="0"/>
    <n v="26"/>
    <n v="26"/>
    <x v="0"/>
    <x v="1"/>
    <x v="0"/>
    <x v="1"/>
    <x v="2"/>
    <n v="22.3"/>
    <x v="1"/>
    <s v="Yes"/>
    <x v="0"/>
    <x v="0"/>
    <x v="1"/>
    <s v="TP53"/>
    <s v="Yes"/>
    <s v="No"/>
    <s v="No"/>
    <s v="No"/>
    <s v="Yes"/>
    <s v="Yes"/>
    <s v="Yes"/>
    <s v="No"/>
    <s v="No"/>
    <s v="Yes"/>
    <x v="0"/>
    <s v="Squamous Cell"/>
    <x v="0"/>
    <n v="8.1"/>
    <s v="Yes"/>
    <s v="CT Scan"/>
    <s v="Palliative Care"/>
    <n v="11"/>
    <s v="No"/>
  </r>
  <r>
    <s v="LC-0508"/>
    <n v="2017"/>
    <d v="2017-09-19T00:00:00"/>
    <s v="Eastern Mediterranean"/>
    <s v="Iran"/>
    <n v="58"/>
    <x v="0"/>
    <x v="2"/>
    <n v="0"/>
    <n v="0"/>
    <x v="1"/>
    <x v="0"/>
    <x v="1"/>
    <x v="0"/>
    <x v="2"/>
    <n v="27.8"/>
    <x v="0"/>
    <s v="Yes"/>
    <x v="0"/>
    <x v="0"/>
    <x v="1"/>
    <s v="BRAF"/>
    <s v="No"/>
    <s v="No"/>
    <s v="No"/>
    <s v="No"/>
    <s v="No"/>
    <s v="Yes"/>
    <s v="No"/>
    <s v="No"/>
    <s v="No"/>
    <s v="No"/>
    <x v="0"/>
    <s v="Large Cell"/>
    <x v="3"/>
    <n v="3.4"/>
    <s v="No"/>
    <s v="Biopsy"/>
    <s v="Surgery + Chemotherapy"/>
    <n v="24"/>
    <s v="No"/>
  </r>
  <r>
    <s v="LC-0509"/>
    <n v="2017"/>
    <d v="2017-08-17T00:00:00"/>
    <s v="Western Pacific"/>
    <s v="Australia"/>
    <n v="57"/>
    <x v="1"/>
    <x v="2"/>
    <n v="0"/>
    <n v="0"/>
    <x v="1"/>
    <x v="0"/>
    <x v="0"/>
    <x v="2"/>
    <x v="1"/>
    <n v="22.4"/>
    <x v="2"/>
    <s v="No"/>
    <x v="1"/>
    <x v="0"/>
    <x v="0"/>
    <s v="No Mutation"/>
    <s v="No"/>
    <s v="No"/>
    <s v="Yes"/>
    <s v="No"/>
    <s v="Yes"/>
    <s v="No"/>
    <s v="No"/>
    <s v="No"/>
    <s v="No"/>
    <s v="No"/>
    <x v="0"/>
    <s v="Large Cell"/>
    <x v="1"/>
    <n v="1.8"/>
    <s v="No"/>
    <s v="LDCT Screening"/>
    <s v="Surgery"/>
    <n v="54"/>
    <s v="No"/>
  </r>
  <r>
    <s v="LC-0510"/>
    <n v="2015"/>
    <d v="2015-10-02T00:00:00"/>
    <s v="Western Pacific"/>
    <s v="Singapore"/>
    <n v="57"/>
    <x v="0"/>
    <x v="2"/>
    <n v="0"/>
    <n v="0"/>
    <x v="0"/>
    <x v="1"/>
    <x v="0"/>
    <x v="0"/>
    <x v="1"/>
    <n v="32.799999999999997"/>
    <x v="1"/>
    <s v="Yes"/>
    <x v="0"/>
    <x v="0"/>
    <x v="0"/>
    <s v="MET"/>
    <s v="No"/>
    <s v="No"/>
    <s v="No"/>
    <s v="No"/>
    <s v="Yes"/>
    <s v="No"/>
    <s v="No"/>
    <s v="No"/>
    <s v="No"/>
    <s v="No"/>
    <x v="0"/>
    <s v="Large Cell"/>
    <x v="1"/>
    <n v="1.6"/>
    <s v="No"/>
    <s v="CT Scan"/>
    <s v="Radiotherapy"/>
    <n v="76"/>
    <s v="No"/>
  </r>
  <r>
    <s v="LC-0511"/>
    <n v="2025"/>
    <d v="2025-05-15T00:00:00"/>
    <s v="South-East Asia"/>
    <s v="India"/>
    <n v="39"/>
    <x v="0"/>
    <x v="1"/>
    <n v="19"/>
    <n v="11"/>
    <x v="1"/>
    <x v="0"/>
    <x v="1"/>
    <x v="0"/>
    <x v="0"/>
    <n v="30"/>
    <x v="2"/>
    <s v="Yes"/>
    <x v="0"/>
    <x v="0"/>
    <x v="0"/>
    <s v="TP53"/>
    <s v="No"/>
    <s v="Yes"/>
    <s v="Yes"/>
    <s v="Yes"/>
    <s v="No"/>
    <s v="Yes"/>
    <s v="No"/>
    <s v="Yes"/>
    <s v="No"/>
    <s v="Yes"/>
    <x v="0"/>
    <s v="Squamous Cell"/>
    <x v="0"/>
    <n v="7.3"/>
    <s v="Yes"/>
    <s v="Biopsy"/>
    <s v="Radiotherapy"/>
    <n v="19"/>
    <s v="No"/>
  </r>
  <r>
    <s v="LC-0512"/>
    <n v="2021"/>
    <d v="2021-01-16T00:00:00"/>
    <s v="Western Pacific"/>
    <s v="Malaysia"/>
    <n v="63"/>
    <x v="0"/>
    <x v="1"/>
    <n v="19"/>
    <n v="8"/>
    <x v="1"/>
    <x v="0"/>
    <x v="0"/>
    <x v="2"/>
    <x v="0"/>
    <n v="28.8"/>
    <x v="0"/>
    <s v="No"/>
    <x v="0"/>
    <x v="0"/>
    <x v="0"/>
    <s v="No Mutation"/>
    <s v="Yes"/>
    <s v="Yes"/>
    <s v="Yes"/>
    <s v="No"/>
    <s v="No"/>
    <s v="No"/>
    <s v="No"/>
    <s v="No"/>
    <s v="No"/>
    <s v="Yes"/>
    <x v="0"/>
    <s v="Adenocarcinoma"/>
    <x v="1"/>
    <n v="2.8"/>
    <s v="No"/>
    <s v="Chest X-Ray"/>
    <s v="Surgery"/>
    <n v="77"/>
    <s v="Yes"/>
  </r>
  <r>
    <s v="LC-0513"/>
    <n v="2022"/>
    <d v="2022-07-22T00:00:00"/>
    <s v="South-East Asia"/>
    <s v="Bangladesh"/>
    <n v="56"/>
    <x v="0"/>
    <x v="2"/>
    <n v="0"/>
    <n v="0"/>
    <x v="0"/>
    <x v="0"/>
    <x v="0"/>
    <x v="1"/>
    <x v="2"/>
    <n v="26.6"/>
    <x v="1"/>
    <s v="No"/>
    <x v="0"/>
    <x v="0"/>
    <x v="0"/>
    <s v="HER2"/>
    <s v="No"/>
    <s v="No"/>
    <s v="No"/>
    <s v="No"/>
    <s v="Yes"/>
    <s v="No"/>
    <s v="No"/>
    <s v="No"/>
    <s v="No"/>
    <s v="No"/>
    <x v="0"/>
    <s v="Adenocarcinoma"/>
    <x v="1"/>
    <n v="0.5"/>
    <s v="No"/>
    <s v="LDCT Screening"/>
    <s v="Surgery"/>
    <n v="74"/>
    <s v="Yes"/>
  </r>
  <r>
    <s v="LC-0514"/>
    <n v="2020"/>
    <d v="2020-08-23T00:00:00"/>
    <s v="Europe"/>
    <s v="Poland"/>
    <n v="68"/>
    <x v="1"/>
    <x v="0"/>
    <n v="22"/>
    <n v="34"/>
    <x v="1"/>
    <x v="0"/>
    <x v="1"/>
    <x v="0"/>
    <x v="2"/>
    <n v="27.4"/>
    <x v="0"/>
    <s v="No"/>
    <x v="0"/>
    <x v="0"/>
    <x v="0"/>
    <s v="EGFR"/>
    <s v="Yes"/>
    <s v="Yes"/>
    <s v="Yes"/>
    <s v="No"/>
    <s v="Yes"/>
    <s v="Yes"/>
    <s v="No"/>
    <s v="No"/>
    <s v="No"/>
    <s v="No"/>
    <x v="0"/>
    <s v="Adenocarcinoma"/>
    <x v="3"/>
    <n v="4.0999999999999996"/>
    <s v="No"/>
    <s v="PET Scan"/>
    <s v="Targeted Therapy"/>
    <n v="16"/>
    <s v="Yes"/>
  </r>
  <r>
    <s v="LC-0515"/>
    <n v="2022"/>
    <d v="2022-02-03T00:00:00"/>
    <s v="Europe"/>
    <s v="Russia"/>
    <n v="47"/>
    <x v="1"/>
    <x v="0"/>
    <n v="28"/>
    <n v="19"/>
    <x v="1"/>
    <x v="0"/>
    <x v="0"/>
    <x v="1"/>
    <x v="0"/>
    <n v="23.8"/>
    <x v="2"/>
    <s v="No"/>
    <x v="0"/>
    <x v="0"/>
    <x v="0"/>
    <s v="No Mutation"/>
    <s v="Yes"/>
    <s v="Yes"/>
    <s v="Yes"/>
    <s v="Yes"/>
    <s v="Yes"/>
    <s v="Yes"/>
    <s v="Yes"/>
    <s v="No"/>
    <s v="No"/>
    <s v="No"/>
    <x v="0"/>
    <s v="Large Cell"/>
    <x v="3"/>
    <n v="2.4"/>
    <s v="No"/>
    <s v="CT Scan"/>
    <s v="Immunotherapy"/>
    <n v="36"/>
    <s v="Yes"/>
  </r>
  <r>
    <s v="LC-0516"/>
    <n v="2025"/>
    <d v="2025-10-05T00:00:00"/>
    <s v="Western Pacific"/>
    <s v="Japan"/>
    <n v="48"/>
    <x v="1"/>
    <x v="2"/>
    <n v="0"/>
    <n v="0"/>
    <x v="1"/>
    <x v="0"/>
    <x v="0"/>
    <x v="0"/>
    <x v="2"/>
    <n v="24.3"/>
    <x v="1"/>
    <s v="No"/>
    <x v="0"/>
    <x v="1"/>
    <x v="0"/>
    <s v="No Mutation"/>
    <s v="No"/>
    <s v="No"/>
    <s v="No"/>
    <s v="No"/>
    <s v="No"/>
    <s v="No"/>
    <s v="No"/>
    <s v="No"/>
    <s v="No"/>
    <s v="Yes"/>
    <x v="0"/>
    <s v="Adenocarcinoma"/>
    <x v="0"/>
    <n v="5.4"/>
    <s v="Yes"/>
    <s v="Biopsy"/>
    <s v="Immunotherapy"/>
    <n v="14"/>
    <s v="No"/>
  </r>
  <r>
    <s v="LC-0517"/>
    <n v="2022"/>
    <d v="2022-03-09T00:00:00"/>
    <s v="South-East Asia"/>
    <s v="Bhutan"/>
    <n v="72"/>
    <x v="0"/>
    <x v="2"/>
    <n v="0"/>
    <n v="0"/>
    <x v="0"/>
    <x v="0"/>
    <x v="1"/>
    <x v="1"/>
    <x v="2"/>
    <n v="27.5"/>
    <x v="2"/>
    <s v="No"/>
    <x v="0"/>
    <x v="0"/>
    <x v="0"/>
    <s v="EGFR"/>
    <s v="Yes"/>
    <s v="No"/>
    <s v="Yes"/>
    <s v="No"/>
    <s v="Yes"/>
    <s v="No"/>
    <s v="No"/>
    <s v="No"/>
    <s v="Yes"/>
    <s v="No"/>
    <x v="0"/>
    <s v="Large Cell"/>
    <x v="3"/>
    <n v="5.5"/>
    <s v="No"/>
    <s v="Biopsy"/>
    <s v="Surgery + Chemotherapy"/>
    <n v="24"/>
    <s v="Yes"/>
  </r>
  <r>
    <s v="LC-0518"/>
    <n v="2017"/>
    <d v="2017-11-19T00:00:00"/>
    <s v="Americas"/>
    <s v="Cuba"/>
    <n v="60"/>
    <x v="1"/>
    <x v="2"/>
    <n v="0"/>
    <n v="0"/>
    <x v="0"/>
    <x v="0"/>
    <x v="0"/>
    <x v="1"/>
    <x v="1"/>
    <n v="29.8"/>
    <x v="1"/>
    <s v="No"/>
    <x v="0"/>
    <x v="0"/>
    <x v="0"/>
    <s v="ALK"/>
    <s v="Yes"/>
    <s v="No"/>
    <s v="No"/>
    <s v="No"/>
    <s v="Yes"/>
    <s v="Yes"/>
    <s v="No"/>
    <s v="No"/>
    <s v="No"/>
    <s v="No"/>
    <x v="0"/>
    <s v="Squamous Cell"/>
    <x v="1"/>
    <n v="0.5"/>
    <s v="No"/>
    <s v="LDCT Screening"/>
    <s v="Surgery"/>
    <n v="54"/>
    <s v="No"/>
  </r>
  <r>
    <s v="LC-0519"/>
    <n v="2023"/>
    <d v="2023-12-11T00:00:00"/>
    <s v="Western Pacific"/>
    <s v="Malaysia"/>
    <n v="63"/>
    <x v="1"/>
    <x v="2"/>
    <n v="0"/>
    <n v="0"/>
    <x v="1"/>
    <x v="0"/>
    <x v="0"/>
    <x v="0"/>
    <x v="2"/>
    <n v="23.8"/>
    <x v="1"/>
    <s v="Yes"/>
    <x v="0"/>
    <x v="1"/>
    <x v="0"/>
    <s v="No Mutation"/>
    <s v="Yes"/>
    <s v="No"/>
    <s v="No"/>
    <s v="No"/>
    <s v="No"/>
    <s v="No"/>
    <s v="No"/>
    <s v="Yes"/>
    <s v="No"/>
    <s v="No"/>
    <x v="0"/>
    <s v="Adenocarcinoma"/>
    <x v="2"/>
    <n v="5.2"/>
    <s v="No"/>
    <s v="Biopsy"/>
    <s v="Immunotherapy"/>
    <n v="10"/>
    <s v="No"/>
  </r>
  <r>
    <s v="LC-0520"/>
    <n v="2020"/>
    <d v="2020-10-17T00:00:00"/>
    <s v="Europe"/>
    <s v="Spain"/>
    <n v="60"/>
    <x v="1"/>
    <x v="0"/>
    <n v="14"/>
    <n v="30"/>
    <x v="1"/>
    <x v="0"/>
    <x v="0"/>
    <x v="1"/>
    <x v="0"/>
    <n v="25.4"/>
    <x v="2"/>
    <s v="No"/>
    <x v="0"/>
    <x v="0"/>
    <x v="0"/>
    <s v="No Mutation"/>
    <s v="Yes"/>
    <s v="Yes"/>
    <s v="No"/>
    <s v="No"/>
    <s v="No"/>
    <s v="No"/>
    <s v="Yes"/>
    <s v="No"/>
    <s v="Yes"/>
    <s v="Yes"/>
    <x v="0"/>
    <s v="Squamous Cell"/>
    <x v="0"/>
    <n v="6.5"/>
    <s v="Yes"/>
    <s v="PET Scan"/>
    <s v="Chemotherapy"/>
    <n v="9"/>
    <s v="No"/>
  </r>
  <r>
    <s v="LC-0521"/>
    <n v="2023"/>
    <d v="2023-08-17T00:00:00"/>
    <s v="Eastern Mediterranean"/>
    <s v="Kuwait"/>
    <n v="59"/>
    <x v="1"/>
    <x v="2"/>
    <n v="0"/>
    <n v="0"/>
    <x v="0"/>
    <x v="1"/>
    <x v="0"/>
    <x v="1"/>
    <x v="0"/>
    <n v="21"/>
    <x v="1"/>
    <s v="No"/>
    <x v="0"/>
    <x v="0"/>
    <x v="0"/>
    <s v="BRAF"/>
    <s v="No"/>
    <s v="No"/>
    <s v="Yes"/>
    <s v="Yes"/>
    <s v="Yes"/>
    <s v="No"/>
    <s v="No"/>
    <s v="Yes"/>
    <s v="No"/>
    <s v="No"/>
    <x v="0"/>
    <s v="Adenocarcinoma"/>
    <x v="2"/>
    <n v="5.6"/>
    <s v="No"/>
    <s v="PET Scan"/>
    <s v="Chemo + Radiation"/>
    <n v="19"/>
    <s v="No"/>
  </r>
  <r>
    <s v="LC-0522"/>
    <n v="2021"/>
    <d v="2021-07-04T00:00:00"/>
    <s v="Americas"/>
    <s v="Canada"/>
    <n v="55"/>
    <x v="1"/>
    <x v="2"/>
    <n v="0"/>
    <n v="0"/>
    <x v="0"/>
    <x v="0"/>
    <x v="1"/>
    <x v="2"/>
    <x v="1"/>
    <n v="25.1"/>
    <x v="2"/>
    <s v="No"/>
    <x v="0"/>
    <x v="0"/>
    <x v="0"/>
    <s v="BRAF"/>
    <s v="Yes"/>
    <s v="No"/>
    <s v="Yes"/>
    <s v="Yes"/>
    <s v="No"/>
    <s v="No"/>
    <s v="No"/>
    <s v="No"/>
    <s v="No"/>
    <s v="No"/>
    <x v="0"/>
    <s v="Adenocarcinoma"/>
    <x v="3"/>
    <n v="2"/>
    <s v="No"/>
    <s v="Biopsy"/>
    <s v="Chemotherapy"/>
    <n v="18"/>
    <s v="Yes"/>
  </r>
  <r>
    <s v="LC-0523"/>
    <n v="2021"/>
    <d v="2021-11-21T00:00:00"/>
    <s v="Western Pacific"/>
    <s v="Singapore"/>
    <n v="61"/>
    <x v="0"/>
    <x v="2"/>
    <n v="0"/>
    <n v="0"/>
    <x v="1"/>
    <x v="0"/>
    <x v="1"/>
    <x v="2"/>
    <x v="2"/>
    <n v="28.8"/>
    <x v="2"/>
    <s v="No"/>
    <x v="0"/>
    <x v="0"/>
    <x v="0"/>
    <s v="ALK"/>
    <s v="No"/>
    <s v="No"/>
    <s v="No"/>
    <s v="No"/>
    <s v="Yes"/>
    <s v="No"/>
    <s v="No"/>
    <s v="Yes"/>
    <s v="No"/>
    <s v="No"/>
    <x v="0"/>
    <s v="Large Cell"/>
    <x v="1"/>
    <n v="2.4"/>
    <s v="No"/>
    <s v="PET Scan"/>
    <s v="Surgery + Chemotherapy"/>
    <n v="16"/>
    <s v="Yes"/>
  </r>
  <r>
    <s v="LC-0524"/>
    <n v="2022"/>
    <d v="2022-12-28T00:00:00"/>
    <s v="Americas"/>
    <s v="Mexico"/>
    <n v="79"/>
    <x v="0"/>
    <x v="2"/>
    <n v="0"/>
    <n v="0"/>
    <x v="0"/>
    <x v="0"/>
    <x v="0"/>
    <x v="2"/>
    <x v="2"/>
    <n v="32.299999999999997"/>
    <x v="1"/>
    <s v="Yes"/>
    <x v="0"/>
    <x v="0"/>
    <x v="0"/>
    <s v="EGFR"/>
    <s v="No"/>
    <s v="No"/>
    <s v="No"/>
    <s v="Yes"/>
    <s v="Yes"/>
    <s v="No"/>
    <s v="No"/>
    <s v="No"/>
    <s v="No"/>
    <s v="Yes"/>
    <x v="0"/>
    <s v="Adenocarcinoma"/>
    <x v="1"/>
    <n v="0.5"/>
    <s v="No"/>
    <s v="PET Scan"/>
    <s v="Targeted Therapy"/>
    <n v="66"/>
    <s v="Yes"/>
  </r>
  <r>
    <s v="LC-0525"/>
    <n v="2025"/>
    <d v="2025-07-15T00:00:00"/>
    <s v="South-East Asia"/>
    <s v="Thailand"/>
    <n v="32"/>
    <x v="0"/>
    <x v="2"/>
    <n v="0"/>
    <n v="0"/>
    <x v="0"/>
    <x v="0"/>
    <x v="0"/>
    <x v="0"/>
    <x v="0"/>
    <n v="26.3"/>
    <x v="2"/>
    <s v="No"/>
    <x v="0"/>
    <x v="0"/>
    <x v="0"/>
    <s v="No Mutation"/>
    <s v="Yes"/>
    <s v="Yes"/>
    <s v="No"/>
    <s v="No"/>
    <s v="Yes"/>
    <s v="No"/>
    <s v="No"/>
    <s v="No"/>
    <s v="No"/>
    <s v="No"/>
    <x v="0"/>
    <s v="Adenocarcinoma"/>
    <x v="1"/>
    <n v="0.7"/>
    <s v="No"/>
    <s v="LDCT Screening"/>
    <s v="Surgery"/>
    <n v="44"/>
    <s v="Yes"/>
  </r>
  <r>
    <s v="LC-0526"/>
    <n v="2021"/>
    <d v="2021-07-11T00:00:00"/>
    <s v="South-East Asia"/>
    <s v="Maldives"/>
    <n v="60"/>
    <x v="0"/>
    <x v="1"/>
    <n v="15"/>
    <n v="10"/>
    <x v="1"/>
    <x v="0"/>
    <x v="0"/>
    <x v="1"/>
    <x v="0"/>
    <n v="31.9"/>
    <x v="0"/>
    <s v="No"/>
    <x v="0"/>
    <x v="0"/>
    <x v="0"/>
    <s v="KRAS"/>
    <s v="Yes"/>
    <s v="Yes"/>
    <s v="No"/>
    <s v="No"/>
    <s v="No"/>
    <s v="Yes"/>
    <s v="No"/>
    <s v="No"/>
    <s v="No"/>
    <s v="No"/>
    <x v="0"/>
    <s v="Large Cell"/>
    <x v="1"/>
    <n v="2.7"/>
    <s v="No"/>
    <s v="LDCT Screening"/>
    <s v="Radiotherapy"/>
    <n v="44"/>
    <s v="Yes"/>
  </r>
  <r>
    <s v="LC-0527"/>
    <n v="2019"/>
    <d v="2019-07-14T00:00:00"/>
    <s v="Americas"/>
    <s v="Canada"/>
    <n v="61"/>
    <x v="1"/>
    <x v="1"/>
    <n v="8"/>
    <n v="19"/>
    <x v="1"/>
    <x v="0"/>
    <x v="1"/>
    <x v="0"/>
    <x v="0"/>
    <n v="28.1"/>
    <x v="0"/>
    <s v="No"/>
    <x v="0"/>
    <x v="0"/>
    <x v="0"/>
    <s v="No Mutation"/>
    <s v="Yes"/>
    <s v="Yes"/>
    <s v="No"/>
    <s v="No"/>
    <s v="Yes"/>
    <s v="No"/>
    <s v="No"/>
    <s v="Yes"/>
    <s v="No"/>
    <s v="No"/>
    <x v="0"/>
    <s v="Squamous Cell"/>
    <x v="3"/>
    <n v="2.8"/>
    <s v="No"/>
    <s v="Bronchoscopy"/>
    <s v="Radiotherapy"/>
    <n v="47"/>
    <s v="No"/>
  </r>
  <r>
    <s v="LC-0528"/>
    <n v="2017"/>
    <d v="2017-06-14T00:00:00"/>
    <s v="Americas"/>
    <s v="Colombia"/>
    <n v="76"/>
    <x v="1"/>
    <x v="0"/>
    <n v="5"/>
    <n v="33"/>
    <x v="1"/>
    <x v="0"/>
    <x v="0"/>
    <x v="0"/>
    <x v="2"/>
    <n v="21.5"/>
    <x v="0"/>
    <s v="No"/>
    <x v="0"/>
    <x v="0"/>
    <x v="0"/>
    <s v="TP53"/>
    <s v="Yes"/>
    <s v="Yes"/>
    <s v="No"/>
    <s v="No"/>
    <s v="Yes"/>
    <s v="Yes"/>
    <s v="No"/>
    <s v="Yes"/>
    <s v="No"/>
    <s v="No"/>
    <x v="0"/>
    <s v="Squamous Cell"/>
    <x v="2"/>
    <n v="5.2"/>
    <s v="No"/>
    <s v="Chest X-Ray"/>
    <s v="Targeted Therapy"/>
    <n v="15"/>
    <s v="No"/>
  </r>
  <r>
    <s v="LC-0529"/>
    <n v="2021"/>
    <d v="2021-11-09T00:00:00"/>
    <s v="Western Pacific"/>
    <s v="Vietnam"/>
    <n v="70"/>
    <x v="1"/>
    <x v="1"/>
    <n v="12"/>
    <n v="13"/>
    <x v="1"/>
    <x v="0"/>
    <x v="0"/>
    <x v="2"/>
    <x v="2"/>
    <n v="29.4"/>
    <x v="2"/>
    <s v="No"/>
    <x v="0"/>
    <x v="0"/>
    <x v="0"/>
    <s v="BRAF"/>
    <s v="No"/>
    <s v="Yes"/>
    <s v="Yes"/>
    <s v="No"/>
    <s v="Yes"/>
    <s v="No"/>
    <s v="No"/>
    <s v="Yes"/>
    <s v="No"/>
    <s v="No"/>
    <x v="0"/>
    <s v="Adenocarcinoma"/>
    <x v="1"/>
    <n v="2.4"/>
    <s v="No"/>
    <s v="CT Scan"/>
    <s v="Surgery"/>
    <n v="64"/>
    <s v="No"/>
  </r>
  <r>
    <s v="LC-0530"/>
    <n v="2018"/>
    <d v="2018-03-22T00:00:00"/>
    <s v="South-East Asia"/>
    <s v="Maldives"/>
    <n v="74"/>
    <x v="1"/>
    <x v="2"/>
    <n v="0"/>
    <n v="0"/>
    <x v="0"/>
    <x v="1"/>
    <x v="1"/>
    <x v="0"/>
    <x v="0"/>
    <n v="21.7"/>
    <x v="2"/>
    <s v="No"/>
    <x v="0"/>
    <x v="0"/>
    <x v="0"/>
    <s v="No Mutation"/>
    <s v="No"/>
    <s v="Yes"/>
    <s v="No"/>
    <s v="Yes"/>
    <s v="Yes"/>
    <s v="No"/>
    <s v="No"/>
    <s v="Yes"/>
    <s v="Yes"/>
    <s v="No"/>
    <x v="0"/>
    <s v="Adenocarcinoma"/>
    <x v="3"/>
    <n v="5.8"/>
    <s v="No"/>
    <s v="Chest X-Ray"/>
    <s v="Surgery + Chemotherapy"/>
    <n v="41"/>
    <s v="Yes"/>
  </r>
  <r>
    <s v="LC-0531"/>
    <n v="2025"/>
    <d v="2025-02-03T00:00:00"/>
    <s v="Americas"/>
    <s v="Canada"/>
    <n v="65"/>
    <x v="1"/>
    <x v="2"/>
    <n v="0"/>
    <n v="0"/>
    <x v="1"/>
    <x v="0"/>
    <x v="0"/>
    <x v="1"/>
    <x v="2"/>
    <n v="29"/>
    <x v="0"/>
    <s v="No"/>
    <x v="0"/>
    <x v="0"/>
    <x v="0"/>
    <s v="EGFR"/>
    <s v="No"/>
    <s v="No"/>
    <s v="No"/>
    <s v="No"/>
    <s v="Yes"/>
    <s v="No"/>
    <s v="No"/>
    <s v="No"/>
    <s v="No"/>
    <s v="No"/>
    <x v="0"/>
    <s v="Squamous Cell"/>
    <x v="1"/>
    <n v="1.4"/>
    <s v="No"/>
    <s v="CT Scan"/>
    <s v="Surgery"/>
    <n v="60"/>
    <s v="Yes"/>
  </r>
  <r>
    <s v="LC-0532"/>
    <n v="2024"/>
    <d v="2024-02-14T00:00:00"/>
    <s v="Western Pacific"/>
    <s v="Japan"/>
    <n v="73"/>
    <x v="1"/>
    <x v="1"/>
    <n v="30"/>
    <n v="21"/>
    <x v="0"/>
    <x v="0"/>
    <x v="1"/>
    <x v="0"/>
    <x v="0"/>
    <n v="27"/>
    <x v="1"/>
    <s v="Yes"/>
    <x v="0"/>
    <x v="0"/>
    <x v="0"/>
    <s v="TP53"/>
    <s v="No"/>
    <s v="No"/>
    <s v="No"/>
    <s v="No"/>
    <s v="Yes"/>
    <s v="No"/>
    <s v="No"/>
    <s v="No"/>
    <s v="Yes"/>
    <s v="No"/>
    <x v="0"/>
    <s v="Large Cell"/>
    <x v="0"/>
    <n v="5.0999999999999996"/>
    <s v="Yes"/>
    <s v="Biopsy"/>
    <s v="Targeted Therapy"/>
    <n v="10"/>
    <s v="No"/>
  </r>
  <r>
    <s v="LC-0533"/>
    <n v="2019"/>
    <d v="2019-12-24T00:00:00"/>
    <s v="Eastern Mediterranean"/>
    <s v="Jordan"/>
    <n v="58"/>
    <x v="1"/>
    <x v="0"/>
    <n v="23"/>
    <n v="20"/>
    <x v="1"/>
    <x v="0"/>
    <x v="0"/>
    <x v="0"/>
    <x v="2"/>
    <n v="24.3"/>
    <x v="1"/>
    <s v="No"/>
    <x v="0"/>
    <x v="0"/>
    <x v="0"/>
    <s v="TP53"/>
    <s v="No"/>
    <s v="Yes"/>
    <s v="Yes"/>
    <s v="Yes"/>
    <s v="Yes"/>
    <s v="Yes"/>
    <s v="Yes"/>
    <s v="No"/>
    <s v="No"/>
    <s v="No"/>
    <x v="0"/>
    <s v="Squamous Cell"/>
    <x v="0"/>
    <n v="5.4"/>
    <s v="Yes"/>
    <s v="Biopsy"/>
    <s v="Chemo + Radiation"/>
    <n v="1"/>
    <s v="No"/>
  </r>
  <r>
    <s v="LC-0534"/>
    <n v="2024"/>
    <d v="2024-03-18T00:00:00"/>
    <s v="Europe"/>
    <s v="UK"/>
    <n v="48"/>
    <x v="0"/>
    <x v="2"/>
    <n v="0"/>
    <n v="0"/>
    <x v="0"/>
    <x v="0"/>
    <x v="1"/>
    <x v="1"/>
    <x v="2"/>
    <n v="25.3"/>
    <x v="2"/>
    <s v="No"/>
    <x v="0"/>
    <x v="0"/>
    <x v="0"/>
    <s v="EGFR"/>
    <s v="No"/>
    <s v="Yes"/>
    <s v="Yes"/>
    <s v="No"/>
    <s v="Yes"/>
    <s v="No"/>
    <s v="No"/>
    <s v="No"/>
    <s v="No"/>
    <s v="Yes"/>
    <x v="0"/>
    <s v="Large Cell"/>
    <x v="1"/>
    <n v="1.4"/>
    <s v="No"/>
    <s v="CT Scan"/>
    <s v="Surgery"/>
    <n v="76"/>
    <s v="Yes"/>
  </r>
  <r>
    <s v="LC-0535"/>
    <n v="2017"/>
    <d v="2017-10-18T00:00:00"/>
    <s v="Americas"/>
    <s v="Cuba"/>
    <n v="55"/>
    <x v="1"/>
    <x v="2"/>
    <n v="0"/>
    <n v="0"/>
    <x v="0"/>
    <x v="0"/>
    <x v="0"/>
    <x v="0"/>
    <x v="1"/>
    <n v="21.6"/>
    <x v="0"/>
    <s v="No"/>
    <x v="0"/>
    <x v="0"/>
    <x v="0"/>
    <s v="BRAF"/>
    <s v="Yes"/>
    <s v="Yes"/>
    <s v="No"/>
    <s v="No"/>
    <s v="No"/>
    <s v="No"/>
    <s v="No"/>
    <s v="No"/>
    <s v="No"/>
    <s v="Yes"/>
    <x v="0"/>
    <s v="Large Cell"/>
    <x v="0"/>
    <n v="9.6999999999999993"/>
    <s v="Yes"/>
    <s v="PET Scan"/>
    <s v="Chemotherapy"/>
    <n v="10"/>
    <s v="No"/>
  </r>
  <r>
    <s v="LC-0536"/>
    <n v="2021"/>
    <d v="2021-06-22T00:00:00"/>
    <s v="South-East Asia"/>
    <s v="Bangladesh"/>
    <n v="69"/>
    <x v="0"/>
    <x v="2"/>
    <n v="0"/>
    <n v="0"/>
    <x v="1"/>
    <x v="0"/>
    <x v="0"/>
    <x v="1"/>
    <x v="0"/>
    <n v="25"/>
    <x v="2"/>
    <s v="No"/>
    <x v="0"/>
    <x v="0"/>
    <x v="0"/>
    <s v="TP53"/>
    <s v="No"/>
    <s v="Yes"/>
    <s v="Yes"/>
    <s v="No"/>
    <s v="Yes"/>
    <s v="No"/>
    <s v="No"/>
    <s v="No"/>
    <s v="No"/>
    <s v="No"/>
    <x v="1"/>
    <s v="Not Applicable"/>
    <x v="2"/>
    <n v="4.8"/>
    <s v="No"/>
    <s v="CT Scan"/>
    <s v="Chemotherapy"/>
    <n v="25"/>
    <s v="Yes"/>
  </r>
  <r>
    <s v="LC-0537"/>
    <n v="2025"/>
    <d v="2025-07-12T00:00:00"/>
    <s v="Eastern Mediterranean"/>
    <s v="Lebanon"/>
    <n v="67"/>
    <x v="1"/>
    <x v="2"/>
    <n v="0"/>
    <n v="0"/>
    <x v="0"/>
    <x v="0"/>
    <x v="0"/>
    <x v="1"/>
    <x v="1"/>
    <n v="25.1"/>
    <x v="1"/>
    <s v="No"/>
    <x v="0"/>
    <x v="0"/>
    <x v="0"/>
    <s v="TP53"/>
    <s v="No"/>
    <s v="Yes"/>
    <s v="No"/>
    <s v="No"/>
    <s v="No"/>
    <s v="Yes"/>
    <s v="No"/>
    <s v="No"/>
    <s v="No"/>
    <s v="No"/>
    <x v="0"/>
    <s v="Squamous Cell"/>
    <x v="1"/>
    <n v="2.4"/>
    <s v="No"/>
    <s v="LDCT Screening"/>
    <s v="Surgery"/>
    <n v="57"/>
    <s v="Yes"/>
  </r>
  <r>
    <s v="LC-0538"/>
    <n v="2023"/>
    <d v="2023-12-02T00:00:00"/>
    <s v="Americas"/>
    <s v="Argentina"/>
    <n v="58"/>
    <x v="0"/>
    <x v="2"/>
    <n v="0"/>
    <n v="0"/>
    <x v="1"/>
    <x v="1"/>
    <x v="0"/>
    <x v="2"/>
    <x v="2"/>
    <n v="36.4"/>
    <x v="1"/>
    <s v="No"/>
    <x v="0"/>
    <x v="0"/>
    <x v="0"/>
    <s v="ALK"/>
    <s v="No"/>
    <s v="No"/>
    <s v="No"/>
    <s v="Yes"/>
    <s v="Yes"/>
    <s v="No"/>
    <s v="No"/>
    <s v="Yes"/>
    <s v="No"/>
    <s v="Yes"/>
    <x v="0"/>
    <s v="Adenocarcinoma"/>
    <x v="3"/>
    <n v="4.3"/>
    <s v="No"/>
    <s v="CT Scan"/>
    <s v="Immunotherapy"/>
    <n v="10"/>
    <s v="Yes"/>
  </r>
  <r>
    <s v="LC-0539"/>
    <n v="2022"/>
    <d v="2022-10-10T00:00:00"/>
    <s v="Western Pacific"/>
    <s v="Vietnam"/>
    <n v="70"/>
    <x v="0"/>
    <x v="2"/>
    <n v="0"/>
    <n v="0"/>
    <x v="0"/>
    <x v="0"/>
    <x v="0"/>
    <x v="0"/>
    <x v="1"/>
    <n v="25.9"/>
    <x v="0"/>
    <s v="No"/>
    <x v="0"/>
    <x v="0"/>
    <x v="1"/>
    <s v="ROS1"/>
    <s v="Yes"/>
    <s v="No"/>
    <s v="No"/>
    <s v="No"/>
    <s v="Yes"/>
    <s v="No"/>
    <s v="No"/>
    <s v="No"/>
    <s v="No"/>
    <s v="No"/>
    <x v="0"/>
    <s v="Adenocarcinoma"/>
    <x v="1"/>
    <n v="2"/>
    <s v="No"/>
    <s v="CT Scan"/>
    <s v="Radiotherapy"/>
    <n v="61"/>
    <s v="Yes"/>
  </r>
  <r>
    <s v="LC-0540"/>
    <n v="2015"/>
    <d v="2015-02-19T00:00:00"/>
    <s v="South-East Asia"/>
    <s v="Timor-Leste"/>
    <n v="69"/>
    <x v="1"/>
    <x v="0"/>
    <n v="20"/>
    <n v="23"/>
    <x v="1"/>
    <x v="0"/>
    <x v="0"/>
    <x v="1"/>
    <x v="0"/>
    <n v="25.8"/>
    <x v="2"/>
    <s v="No"/>
    <x v="0"/>
    <x v="0"/>
    <x v="0"/>
    <s v="MET"/>
    <s v="Yes"/>
    <s v="Yes"/>
    <s v="Yes"/>
    <s v="No"/>
    <s v="Yes"/>
    <s v="Yes"/>
    <s v="No"/>
    <s v="Yes"/>
    <s v="No"/>
    <s v="No"/>
    <x v="1"/>
    <s v="Not Applicable"/>
    <x v="2"/>
    <n v="8.8000000000000007"/>
    <s v="No"/>
    <s v="PET Scan"/>
    <s v="Targeted Therapy"/>
    <n v="26"/>
    <s v="No"/>
  </r>
  <r>
    <s v="LC-0541"/>
    <n v="2021"/>
    <d v="2021-04-05T00:00:00"/>
    <s v="Africa"/>
    <s v="Morocco"/>
    <n v="54"/>
    <x v="1"/>
    <x v="2"/>
    <n v="0"/>
    <n v="0"/>
    <x v="1"/>
    <x v="0"/>
    <x v="0"/>
    <x v="1"/>
    <x v="0"/>
    <n v="16.8"/>
    <x v="0"/>
    <s v="No"/>
    <x v="0"/>
    <x v="0"/>
    <x v="0"/>
    <s v="EGFR"/>
    <s v="No"/>
    <s v="Yes"/>
    <s v="Yes"/>
    <s v="No"/>
    <s v="No"/>
    <s v="No"/>
    <s v="No"/>
    <s v="No"/>
    <s v="No"/>
    <s v="No"/>
    <x v="0"/>
    <s v="Adenocarcinoma"/>
    <x v="3"/>
    <n v="4.0999999999999996"/>
    <s v="No"/>
    <s v="PET Scan"/>
    <s v="Surgery"/>
    <n v="20"/>
    <s v="Yes"/>
  </r>
  <r>
    <s v="LC-0542"/>
    <n v="2025"/>
    <d v="2025-04-28T00:00:00"/>
    <s v="Americas"/>
    <s v="Canada"/>
    <n v="62"/>
    <x v="1"/>
    <x v="0"/>
    <n v="34"/>
    <n v="20"/>
    <x v="0"/>
    <x v="1"/>
    <x v="0"/>
    <x v="1"/>
    <x v="2"/>
    <n v="25.4"/>
    <x v="1"/>
    <s v="Yes"/>
    <x v="0"/>
    <x v="0"/>
    <x v="0"/>
    <s v="No Mutation"/>
    <s v="Yes"/>
    <s v="No"/>
    <s v="Yes"/>
    <s v="Yes"/>
    <s v="No"/>
    <s v="No"/>
    <s v="Yes"/>
    <s v="No"/>
    <s v="Yes"/>
    <s v="Yes"/>
    <x v="0"/>
    <s v="Squamous Cell"/>
    <x v="0"/>
    <n v="8.5"/>
    <s v="Yes"/>
    <s v="PET Scan"/>
    <s v="Chemotherapy"/>
    <n v="1"/>
    <s v="No"/>
  </r>
  <r>
    <s v="LC-0543"/>
    <n v="2021"/>
    <d v="2021-06-28T00:00:00"/>
    <s v="Americas"/>
    <s v="Cuba"/>
    <n v="79"/>
    <x v="1"/>
    <x v="2"/>
    <n v="0"/>
    <n v="0"/>
    <x v="0"/>
    <x v="1"/>
    <x v="0"/>
    <x v="2"/>
    <x v="2"/>
    <n v="24.2"/>
    <x v="2"/>
    <s v="No"/>
    <x v="0"/>
    <x v="0"/>
    <x v="0"/>
    <s v="No Mutation"/>
    <s v="No"/>
    <s v="No"/>
    <s v="No"/>
    <s v="No"/>
    <s v="Yes"/>
    <s v="No"/>
    <s v="No"/>
    <s v="Yes"/>
    <s v="No"/>
    <s v="No"/>
    <x v="1"/>
    <s v="Not Applicable"/>
    <x v="3"/>
    <n v="3.6"/>
    <s v="No"/>
    <s v="CT Scan"/>
    <s v="Chemotherapy"/>
    <n v="16"/>
    <s v="Yes"/>
  </r>
  <r>
    <s v="LC-0544"/>
    <n v="2016"/>
    <d v="2016-06-04T00:00:00"/>
    <s v="South-East Asia"/>
    <s v="Myanmar"/>
    <n v="70"/>
    <x v="1"/>
    <x v="0"/>
    <n v="38"/>
    <n v="42"/>
    <x v="1"/>
    <x v="1"/>
    <x v="0"/>
    <x v="1"/>
    <x v="2"/>
    <n v="28.3"/>
    <x v="1"/>
    <s v="Yes"/>
    <x v="0"/>
    <x v="0"/>
    <x v="0"/>
    <s v="TP53"/>
    <s v="Yes"/>
    <s v="Yes"/>
    <s v="Yes"/>
    <s v="Yes"/>
    <s v="Yes"/>
    <s v="Yes"/>
    <s v="No"/>
    <s v="No"/>
    <s v="No"/>
    <s v="No"/>
    <x v="0"/>
    <s v="Adenocarcinoma"/>
    <x v="2"/>
    <n v="5.2"/>
    <s v="No"/>
    <s v="Bronchoscopy"/>
    <s v="Chemotherapy"/>
    <n v="18"/>
    <s v="No"/>
  </r>
  <r>
    <s v="LC-0545"/>
    <n v="2024"/>
    <d v="2024-10-08T00:00:00"/>
    <s v="Eastern Mediterranean"/>
    <s v="Lebanon"/>
    <n v="71"/>
    <x v="1"/>
    <x v="0"/>
    <n v="30"/>
    <n v="22"/>
    <x v="1"/>
    <x v="0"/>
    <x v="0"/>
    <x v="0"/>
    <x v="1"/>
    <n v="23.8"/>
    <x v="1"/>
    <s v="No"/>
    <x v="0"/>
    <x v="0"/>
    <x v="0"/>
    <s v="EGFR"/>
    <s v="Yes"/>
    <s v="Yes"/>
    <s v="Yes"/>
    <s v="No"/>
    <s v="No"/>
    <s v="No"/>
    <s v="Yes"/>
    <s v="No"/>
    <s v="No"/>
    <s v="No"/>
    <x v="0"/>
    <s v="Adenocarcinoma"/>
    <x v="3"/>
    <n v="2"/>
    <s v="No"/>
    <s v="Bronchoscopy"/>
    <s v="Chemotherapy"/>
    <n v="36"/>
    <s v="No"/>
  </r>
  <r>
    <s v="LC-0546"/>
    <n v="2020"/>
    <d v="2020-09-25T00:00:00"/>
    <s v="Americas"/>
    <s v="Venezuela"/>
    <n v="62"/>
    <x v="1"/>
    <x v="2"/>
    <n v="0"/>
    <n v="0"/>
    <x v="0"/>
    <x v="0"/>
    <x v="0"/>
    <x v="0"/>
    <x v="0"/>
    <n v="28"/>
    <x v="0"/>
    <s v="No"/>
    <x v="0"/>
    <x v="0"/>
    <x v="0"/>
    <s v="No Mutation"/>
    <s v="No"/>
    <s v="No"/>
    <s v="No"/>
    <s v="Yes"/>
    <s v="Yes"/>
    <s v="No"/>
    <s v="No"/>
    <s v="No"/>
    <s v="Yes"/>
    <s v="No"/>
    <x v="0"/>
    <s v="Adenocarcinoma"/>
    <x v="1"/>
    <n v="1.7"/>
    <s v="No"/>
    <s v="LDCT Screening"/>
    <s v="Surgery + Chemotherapy"/>
    <n v="57"/>
    <s v="Yes"/>
  </r>
  <r>
    <s v="LC-0547"/>
    <n v="2022"/>
    <d v="2022-10-22T00:00:00"/>
    <s v="Eastern Mediterranean"/>
    <s v="Qatar"/>
    <n v="69"/>
    <x v="1"/>
    <x v="2"/>
    <n v="0"/>
    <n v="0"/>
    <x v="0"/>
    <x v="0"/>
    <x v="0"/>
    <x v="0"/>
    <x v="2"/>
    <n v="22.9"/>
    <x v="1"/>
    <s v="No"/>
    <x v="0"/>
    <x v="0"/>
    <x v="0"/>
    <s v="No Mutation"/>
    <s v="No"/>
    <s v="No"/>
    <s v="No"/>
    <s v="Yes"/>
    <s v="Yes"/>
    <s v="No"/>
    <s v="No"/>
    <s v="No"/>
    <s v="No"/>
    <s v="No"/>
    <x v="0"/>
    <s v="Adenocarcinoma"/>
    <x v="1"/>
    <n v="0.9"/>
    <s v="No"/>
    <s v="LDCT Screening"/>
    <s v="Surgery"/>
    <n v="109"/>
    <s v="Yes"/>
  </r>
  <r>
    <s v="LC-0548"/>
    <n v="2021"/>
    <d v="2021-01-20T00:00:00"/>
    <s v="South-East Asia"/>
    <s v="Myanmar"/>
    <n v="38"/>
    <x v="0"/>
    <x v="2"/>
    <n v="0"/>
    <n v="0"/>
    <x v="1"/>
    <x v="0"/>
    <x v="0"/>
    <x v="0"/>
    <x v="0"/>
    <n v="28.7"/>
    <x v="1"/>
    <s v="No"/>
    <x v="0"/>
    <x v="0"/>
    <x v="0"/>
    <s v="ROS1"/>
    <s v="No"/>
    <s v="No"/>
    <s v="No"/>
    <s v="No"/>
    <s v="Yes"/>
    <s v="No"/>
    <s v="No"/>
    <s v="No"/>
    <s v="No"/>
    <s v="No"/>
    <x v="0"/>
    <s v="Adenocarcinoma"/>
    <x v="2"/>
    <n v="7.6"/>
    <s v="No"/>
    <s v="CT Scan"/>
    <s v="Chemo + Radiation"/>
    <n v="16"/>
    <s v="No"/>
  </r>
  <r>
    <s v="LC-0549"/>
    <n v="2025"/>
    <d v="2025-01-06T00:00:00"/>
    <s v="Americas"/>
    <s v="Argentina"/>
    <n v="66"/>
    <x v="1"/>
    <x v="0"/>
    <n v="30"/>
    <n v="29"/>
    <x v="1"/>
    <x v="0"/>
    <x v="0"/>
    <x v="0"/>
    <x v="0"/>
    <n v="27.9"/>
    <x v="1"/>
    <s v="No"/>
    <x v="0"/>
    <x v="0"/>
    <x v="0"/>
    <s v="No Mutation"/>
    <s v="Yes"/>
    <s v="No"/>
    <s v="No"/>
    <s v="No"/>
    <s v="No"/>
    <s v="Yes"/>
    <s v="Yes"/>
    <s v="No"/>
    <s v="No"/>
    <s v="No"/>
    <x v="0"/>
    <s v="Adenocarcinoma"/>
    <x v="0"/>
    <n v="7.3"/>
    <s v="Yes"/>
    <s v="Biopsy"/>
    <s v="Chemotherapy"/>
    <n v="12"/>
    <s v="No"/>
  </r>
  <r>
    <s v="LC-0550"/>
    <n v="2022"/>
    <d v="2022-12-25T00:00:00"/>
    <s v="Europe"/>
    <s v="Spain"/>
    <n v="79"/>
    <x v="1"/>
    <x v="0"/>
    <n v="23"/>
    <n v="39"/>
    <x v="0"/>
    <x v="1"/>
    <x v="1"/>
    <x v="0"/>
    <x v="0"/>
    <n v="30.9"/>
    <x v="2"/>
    <s v="No"/>
    <x v="0"/>
    <x v="0"/>
    <x v="0"/>
    <s v="No Mutation"/>
    <s v="No"/>
    <s v="Yes"/>
    <s v="Yes"/>
    <s v="No"/>
    <s v="No"/>
    <s v="Yes"/>
    <s v="No"/>
    <s v="No"/>
    <s v="No"/>
    <s v="No"/>
    <x v="0"/>
    <s v="Squamous Cell"/>
    <x v="2"/>
    <n v="4"/>
    <s v="No"/>
    <s v="PET Scan"/>
    <s v="Immunotherapy"/>
    <n v="29"/>
    <s v="No"/>
  </r>
  <r>
    <s v="LC-0551"/>
    <n v="2025"/>
    <d v="2025-06-12T00:00:00"/>
    <s v="Africa"/>
    <s v="Nigeria"/>
    <n v="49"/>
    <x v="1"/>
    <x v="2"/>
    <n v="0"/>
    <n v="0"/>
    <x v="1"/>
    <x v="0"/>
    <x v="0"/>
    <x v="0"/>
    <x v="2"/>
    <n v="27.1"/>
    <x v="0"/>
    <s v="No"/>
    <x v="0"/>
    <x v="0"/>
    <x v="0"/>
    <s v="ALK"/>
    <s v="No"/>
    <s v="Yes"/>
    <s v="No"/>
    <s v="Yes"/>
    <s v="No"/>
    <s v="No"/>
    <s v="No"/>
    <s v="No"/>
    <s v="No"/>
    <s v="No"/>
    <x v="0"/>
    <s v="Large Cell"/>
    <x v="0"/>
    <n v="8.3000000000000007"/>
    <s v="Yes"/>
    <s v="Biopsy"/>
    <s v="Radiotherapy"/>
    <n v="3"/>
    <s v="No"/>
  </r>
  <r>
    <s v="LC-0552"/>
    <n v="2019"/>
    <d v="2019-03-28T00:00:00"/>
    <s v="South-East Asia"/>
    <s v="Indonesia"/>
    <n v="53"/>
    <x v="0"/>
    <x v="2"/>
    <n v="0"/>
    <n v="0"/>
    <x v="0"/>
    <x v="0"/>
    <x v="0"/>
    <x v="1"/>
    <x v="1"/>
    <n v="26.9"/>
    <x v="0"/>
    <s v="No"/>
    <x v="0"/>
    <x v="0"/>
    <x v="0"/>
    <s v="EGFR"/>
    <s v="No"/>
    <s v="No"/>
    <s v="No"/>
    <s v="No"/>
    <s v="Yes"/>
    <s v="No"/>
    <s v="No"/>
    <s v="Yes"/>
    <s v="No"/>
    <s v="No"/>
    <x v="1"/>
    <s v="Not Applicable"/>
    <x v="1"/>
    <n v="2.1"/>
    <s v="No"/>
    <s v="LDCT Screening"/>
    <s v="Targeted Therapy"/>
    <n v="98"/>
    <s v="Yes"/>
  </r>
  <r>
    <s v="LC-0553"/>
    <n v="2022"/>
    <d v="2022-10-22T00:00:00"/>
    <s v="Africa"/>
    <s v="Tanzania"/>
    <n v="61"/>
    <x v="1"/>
    <x v="2"/>
    <n v="0"/>
    <n v="0"/>
    <x v="0"/>
    <x v="0"/>
    <x v="0"/>
    <x v="1"/>
    <x v="2"/>
    <n v="28.2"/>
    <x v="2"/>
    <s v="Yes"/>
    <x v="0"/>
    <x v="0"/>
    <x v="0"/>
    <s v="ROS1"/>
    <s v="No"/>
    <s v="No"/>
    <s v="Yes"/>
    <s v="No"/>
    <s v="Yes"/>
    <s v="Yes"/>
    <s v="No"/>
    <s v="Yes"/>
    <s v="No"/>
    <s v="No"/>
    <x v="0"/>
    <s v="Adenocarcinoma"/>
    <x v="3"/>
    <n v="6.3"/>
    <s v="No"/>
    <s v="Bronchoscopy"/>
    <s v="Targeted Therapy"/>
    <n v="24"/>
    <s v="Yes"/>
  </r>
  <r>
    <s v="LC-0554"/>
    <n v="2025"/>
    <d v="2025-02-05T00:00:00"/>
    <s v="Western Pacific"/>
    <s v="China"/>
    <n v="87"/>
    <x v="1"/>
    <x v="2"/>
    <n v="0"/>
    <n v="0"/>
    <x v="1"/>
    <x v="0"/>
    <x v="0"/>
    <x v="1"/>
    <x v="2"/>
    <n v="26.2"/>
    <x v="0"/>
    <s v="No"/>
    <x v="0"/>
    <x v="0"/>
    <x v="0"/>
    <s v="EGFR"/>
    <s v="Yes"/>
    <s v="Yes"/>
    <s v="No"/>
    <s v="No"/>
    <s v="Yes"/>
    <s v="No"/>
    <s v="Yes"/>
    <s v="Yes"/>
    <s v="No"/>
    <s v="No"/>
    <x v="0"/>
    <s v="Adenocarcinoma"/>
    <x v="2"/>
    <n v="6.8"/>
    <s v="No"/>
    <s v="Bronchoscopy"/>
    <s v="Targeted Therapy"/>
    <n v="27"/>
    <s v="No"/>
  </r>
  <r>
    <s v="LC-0555"/>
    <n v="2017"/>
    <d v="2017-02-24T00:00:00"/>
    <s v="Americas"/>
    <s v="Cuba"/>
    <n v="68"/>
    <x v="1"/>
    <x v="2"/>
    <n v="0"/>
    <n v="0"/>
    <x v="1"/>
    <x v="0"/>
    <x v="0"/>
    <x v="2"/>
    <x v="0"/>
    <n v="31.4"/>
    <x v="2"/>
    <s v="No"/>
    <x v="0"/>
    <x v="0"/>
    <x v="0"/>
    <s v="ALK"/>
    <s v="No"/>
    <s v="No"/>
    <s v="No"/>
    <s v="No"/>
    <s v="No"/>
    <s v="No"/>
    <s v="No"/>
    <s v="No"/>
    <s v="No"/>
    <s v="No"/>
    <x v="0"/>
    <s v="Large Cell"/>
    <x v="1"/>
    <n v="2.2999999999999998"/>
    <s v="No"/>
    <s v="LDCT Screening"/>
    <s v="Targeted Therapy"/>
    <n v="53"/>
    <s v="No"/>
  </r>
  <r>
    <s v="LC-0556"/>
    <n v="2016"/>
    <d v="2016-04-13T00:00:00"/>
    <s v="Western Pacific"/>
    <s v="Malaysia"/>
    <n v="62"/>
    <x v="1"/>
    <x v="2"/>
    <n v="0"/>
    <n v="0"/>
    <x v="0"/>
    <x v="0"/>
    <x v="1"/>
    <x v="0"/>
    <x v="0"/>
    <n v="34.799999999999997"/>
    <x v="2"/>
    <s v="No"/>
    <x v="0"/>
    <x v="0"/>
    <x v="0"/>
    <s v="KRAS"/>
    <s v="No"/>
    <s v="Yes"/>
    <s v="Yes"/>
    <s v="No"/>
    <s v="No"/>
    <s v="Yes"/>
    <s v="Yes"/>
    <s v="Yes"/>
    <s v="No"/>
    <s v="No"/>
    <x v="0"/>
    <s v="Adenocarcinoma"/>
    <x v="1"/>
    <n v="2.2999999999999998"/>
    <s v="No"/>
    <s v="CT Scan"/>
    <s v="Radiotherapy"/>
    <n v="46"/>
    <s v="No"/>
  </r>
  <r>
    <s v="LC-0557"/>
    <n v="2023"/>
    <d v="2023-08-11T00:00:00"/>
    <s v="Europe"/>
    <s v="France"/>
    <n v="66"/>
    <x v="1"/>
    <x v="1"/>
    <n v="17"/>
    <n v="7"/>
    <x v="1"/>
    <x v="0"/>
    <x v="0"/>
    <x v="2"/>
    <x v="0"/>
    <n v="28.7"/>
    <x v="0"/>
    <s v="Yes"/>
    <x v="0"/>
    <x v="0"/>
    <x v="0"/>
    <s v="KRAS"/>
    <s v="No"/>
    <s v="No"/>
    <s v="No"/>
    <s v="No"/>
    <s v="No"/>
    <s v="No"/>
    <s v="No"/>
    <s v="No"/>
    <s v="No"/>
    <s v="Yes"/>
    <x v="0"/>
    <s v="Adenocarcinoma"/>
    <x v="2"/>
    <n v="5.6"/>
    <s v="No"/>
    <s v="PET Scan"/>
    <s v="Immunotherapy"/>
    <n v="22"/>
    <s v="No"/>
  </r>
  <r>
    <s v="LC-0558"/>
    <n v="2019"/>
    <d v="2019-06-10T00:00:00"/>
    <s v="Europe"/>
    <s v="Russia"/>
    <n v="55"/>
    <x v="1"/>
    <x v="2"/>
    <n v="0"/>
    <n v="0"/>
    <x v="1"/>
    <x v="0"/>
    <x v="0"/>
    <x v="2"/>
    <x v="2"/>
    <n v="20.7"/>
    <x v="0"/>
    <s v="No"/>
    <x v="0"/>
    <x v="1"/>
    <x v="0"/>
    <s v="EGFR"/>
    <s v="Yes"/>
    <s v="No"/>
    <s v="Yes"/>
    <s v="No"/>
    <s v="No"/>
    <s v="No"/>
    <s v="No"/>
    <s v="No"/>
    <s v="No"/>
    <s v="Yes"/>
    <x v="1"/>
    <s v="Not Applicable"/>
    <x v="0"/>
    <n v="8.1999999999999993"/>
    <s v="Yes"/>
    <s v="PET Scan"/>
    <s v="Targeted Therapy"/>
    <n v="2"/>
    <s v="No"/>
  </r>
  <r>
    <s v="LC-0559"/>
    <n v="2021"/>
    <d v="2021-10-20T00:00:00"/>
    <s v="Western Pacific"/>
    <s v="Japan"/>
    <n v="85"/>
    <x v="1"/>
    <x v="2"/>
    <n v="0"/>
    <n v="0"/>
    <x v="0"/>
    <x v="0"/>
    <x v="0"/>
    <x v="2"/>
    <x v="0"/>
    <n v="25.1"/>
    <x v="1"/>
    <s v="No"/>
    <x v="0"/>
    <x v="0"/>
    <x v="0"/>
    <s v="EGFR"/>
    <s v="No"/>
    <s v="Yes"/>
    <s v="Yes"/>
    <s v="No"/>
    <s v="Yes"/>
    <s v="No"/>
    <s v="No"/>
    <s v="No"/>
    <s v="No"/>
    <s v="No"/>
    <x v="0"/>
    <s v="Squamous Cell"/>
    <x v="0"/>
    <n v="8.3000000000000007"/>
    <s v="Yes"/>
    <s v="Bronchoscopy"/>
    <s v="Immunotherapy"/>
    <n v="4"/>
    <s v="No"/>
  </r>
  <r>
    <s v="LC-0560"/>
    <n v="2025"/>
    <d v="2025-01-05T00:00:00"/>
    <s v="Africa"/>
    <s v="Kenya"/>
    <n v="76"/>
    <x v="1"/>
    <x v="0"/>
    <n v="34"/>
    <n v="34"/>
    <x v="0"/>
    <x v="1"/>
    <x v="0"/>
    <x v="2"/>
    <x v="0"/>
    <n v="27.8"/>
    <x v="1"/>
    <s v="No"/>
    <x v="0"/>
    <x v="0"/>
    <x v="0"/>
    <s v="No Mutation"/>
    <s v="Yes"/>
    <s v="No"/>
    <s v="No"/>
    <s v="No"/>
    <s v="No"/>
    <s v="Yes"/>
    <s v="No"/>
    <s v="No"/>
    <s v="No"/>
    <s v="No"/>
    <x v="0"/>
    <s v="Adenocarcinoma"/>
    <x v="1"/>
    <n v="2.8"/>
    <s v="No"/>
    <s v="Chest X-Ray"/>
    <s v="Surgery"/>
    <n v="32"/>
    <s v="Yes"/>
  </r>
  <r>
    <s v="LC-0561"/>
    <n v="2025"/>
    <d v="2025-10-02T00:00:00"/>
    <s v="Europe"/>
    <s v="Germany"/>
    <n v="47"/>
    <x v="0"/>
    <x v="0"/>
    <n v="27"/>
    <n v="21"/>
    <x v="1"/>
    <x v="0"/>
    <x v="1"/>
    <x v="1"/>
    <x v="0"/>
    <n v="25.7"/>
    <x v="0"/>
    <s v="Yes"/>
    <x v="0"/>
    <x v="0"/>
    <x v="1"/>
    <s v="KRAS"/>
    <s v="No"/>
    <s v="Yes"/>
    <s v="Yes"/>
    <s v="No"/>
    <s v="Yes"/>
    <s v="No"/>
    <s v="Yes"/>
    <s v="No"/>
    <s v="No"/>
    <s v="No"/>
    <x v="0"/>
    <s v="Adenocarcinoma"/>
    <x v="2"/>
    <n v="5.5"/>
    <s v="No"/>
    <s v="Chest X-Ray"/>
    <s v="Immunotherapy"/>
    <n v="17"/>
    <s v="No"/>
  </r>
  <r>
    <s v="LC-0562"/>
    <n v="2017"/>
    <d v="2017-05-15T00:00:00"/>
    <s v="Africa"/>
    <s v="Tanzania"/>
    <n v="79"/>
    <x v="1"/>
    <x v="2"/>
    <n v="0"/>
    <n v="0"/>
    <x v="1"/>
    <x v="1"/>
    <x v="0"/>
    <x v="1"/>
    <x v="1"/>
    <n v="29.2"/>
    <x v="2"/>
    <s v="No"/>
    <x v="0"/>
    <x v="0"/>
    <x v="0"/>
    <s v="ALK"/>
    <s v="No"/>
    <s v="No"/>
    <s v="Yes"/>
    <s v="Yes"/>
    <s v="Yes"/>
    <s v="No"/>
    <s v="Yes"/>
    <s v="No"/>
    <s v="No"/>
    <s v="No"/>
    <x v="0"/>
    <s v="Adenocarcinoma"/>
    <x v="1"/>
    <n v="2.9"/>
    <s v="No"/>
    <s v="CT Scan"/>
    <s v="Surgery"/>
    <n v="53"/>
    <s v="Yes"/>
  </r>
  <r>
    <s v="LC-0563"/>
    <n v="2021"/>
    <d v="2021-08-20T00:00:00"/>
    <s v="Western Pacific"/>
    <s v="New Zealand"/>
    <n v="53"/>
    <x v="0"/>
    <x v="0"/>
    <n v="20"/>
    <n v="24"/>
    <x v="0"/>
    <x v="1"/>
    <x v="0"/>
    <x v="0"/>
    <x v="2"/>
    <n v="22.2"/>
    <x v="2"/>
    <s v="Yes"/>
    <x v="0"/>
    <x v="0"/>
    <x v="0"/>
    <s v="TP53"/>
    <s v="Yes"/>
    <s v="Yes"/>
    <s v="No"/>
    <s v="No"/>
    <s v="Yes"/>
    <s v="Yes"/>
    <s v="Yes"/>
    <s v="No"/>
    <s v="No"/>
    <s v="No"/>
    <x v="0"/>
    <s v="Squamous Cell"/>
    <x v="2"/>
    <n v="4"/>
    <s v="No"/>
    <s v="CT Scan"/>
    <s v="Chemotherapy"/>
    <n v="25"/>
    <s v="No"/>
  </r>
  <r>
    <s v="LC-0564"/>
    <n v="2019"/>
    <d v="2019-07-09T00:00:00"/>
    <s v="Western Pacific"/>
    <s v="Australia"/>
    <n v="49"/>
    <x v="0"/>
    <x v="2"/>
    <n v="0"/>
    <n v="0"/>
    <x v="1"/>
    <x v="0"/>
    <x v="0"/>
    <x v="0"/>
    <x v="1"/>
    <n v="25.7"/>
    <x v="0"/>
    <s v="No"/>
    <x v="0"/>
    <x v="0"/>
    <x v="0"/>
    <s v="KRAS"/>
    <s v="No"/>
    <s v="No"/>
    <s v="No"/>
    <s v="Yes"/>
    <s v="No"/>
    <s v="Yes"/>
    <s v="Yes"/>
    <s v="No"/>
    <s v="No"/>
    <s v="No"/>
    <x v="0"/>
    <s v="Large Cell"/>
    <x v="2"/>
    <n v="4.8"/>
    <s v="No"/>
    <s v="Biopsy"/>
    <s v="Targeted Therapy"/>
    <n v="13"/>
    <s v="No"/>
  </r>
  <r>
    <s v="LC-0565"/>
    <n v="2017"/>
    <d v="2017-09-04T00:00:00"/>
    <s v="South-East Asia"/>
    <s v="Sri Lanka"/>
    <n v="67"/>
    <x v="1"/>
    <x v="2"/>
    <n v="0"/>
    <n v="0"/>
    <x v="0"/>
    <x v="0"/>
    <x v="0"/>
    <x v="0"/>
    <x v="0"/>
    <n v="26.6"/>
    <x v="1"/>
    <s v="No"/>
    <x v="0"/>
    <x v="0"/>
    <x v="1"/>
    <s v="EGFR"/>
    <s v="No"/>
    <s v="Yes"/>
    <s v="No"/>
    <s v="No"/>
    <s v="Yes"/>
    <s v="No"/>
    <s v="No"/>
    <s v="No"/>
    <s v="No"/>
    <s v="No"/>
    <x v="0"/>
    <s v="Adenocarcinoma"/>
    <x v="2"/>
    <n v="4.8"/>
    <s v="No"/>
    <s v="LDCT Screening"/>
    <s v="Chemotherapy"/>
    <n v="12"/>
    <s v="No"/>
  </r>
  <r>
    <s v="LC-0566"/>
    <n v="2016"/>
    <d v="2016-07-04T00:00:00"/>
    <s v="Western Pacific"/>
    <s v="Philippines"/>
    <n v="51"/>
    <x v="1"/>
    <x v="0"/>
    <n v="12"/>
    <n v="6"/>
    <x v="1"/>
    <x v="0"/>
    <x v="0"/>
    <x v="0"/>
    <x v="2"/>
    <n v="24.3"/>
    <x v="2"/>
    <s v="Yes"/>
    <x v="0"/>
    <x v="0"/>
    <x v="0"/>
    <s v="KRAS"/>
    <s v="Yes"/>
    <s v="Yes"/>
    <s v="No"/>
    <s v="Yes"/>
    <s v="No"/>
    <s v="Yes"/>
    <s v="No"/>
    <s v="No"/>
    <s v="No"/>
    <s v="No"/>
    <x v="0"/>
    <s v="Squamous Cell"/>
    <x v="3"/>
    <n v="4.4000000000000004"/>
    <s v="No"/>
    <s v="Bronchoscopy"/>
    <s v="Surgery + Chemotherapy"/>
    <n v="40"/>
    <s v="No"/>
  </r>
  <r>
    <s v="LC-0567"/>
    <n v="2022"/>
    <d v="2022-11-22T00:00:00"/>
    <s v="Africa"/>
    <s v="Uganda"/>
    <n v="60"/>
    <x v="0"/>
    <x v="2"/>
    <n v="0"/>
    <n v="0"/>
    <x v="0"/>
    <x v="0"/>
    <x v="0"/>
    <x v="1"/>
    <x v="1"/>
    <n v="33.6"/>
    <x v="1"/>
    <s v="No"/>
    <x v="0"/>
    <x v="0"/>
    <x v="0"/>
    <s v="No Mutation"/>
    <s v="No"/>
    <s v="Yes"/>
    <s v="No"/>
    <s v="Yes"/>
    <s v="No"/>
    <s v="Yes"/>
    <s v="No"/>
    <s v="No"/>
    <s v="No"/>
    <s v="No"/>
    <x v="0"/>
    <s v="Adenocarcinoma"/>
    <x v="2"/>
    <n v="7.5"/>
    <s v="No"/>
    <s v="PET Scan"/>
    <s v="Chemotherapy"/>
    <n v="3"/>
    <s v="No"/>
  </r>
  <r>
    <s v="LC-0568"/>
    <n v="2021"/>
    <d v="2021-08-17T00:00:00"/>
    <s v="South-East Asia"/>
    <s v="Myanmar"/>
    <n v="66"/>
    <x v="1"/>
    <x v="2"/>
    <n v="0"/>
    <n v="0"/>
    <x v="0"/>
    <x v="1"/>
    <x v="0"/>
    <x v="2"/>
    <x v="2"/>
    <n v="19.7"/>
    <x v="1"/>
    <s v="No"/>
    <x v="0"/>
    <x v="0"/>
    <x v="0"/>
    <s v="No Mutation"/>
    <s v="No"/>
    <s v="No"/>
    <s v="No"/>
    <s v="Yes"/>
    <s v="No"/>
    <s v="No"/>
    <s v="Yes"/>
    <s v="Yes"/>
    <s v="No"/>
    <s v="No"/>
    <x v="0"/>
    <s v="Squamous Cell"/>
    <x v="2"/>
    <n v="5.2"/>
    <s v="No"/>
    <s v="Bronchoscopy"/>
    <s v="Immunotherapy"/>
    <n v="21"/>
    <s v="Yes"/>
  </r>
  <r>
    <s v="LC-0569"/>
    <n v="2023"/>
    <d v="2023-01-08T00:00:00"/>
    <s v="Europe"/>
    <s v="Turkey"/>
    <n v="64"/>
    <x v="1"/>
    <x v="2"/>
    <n v="0"/>
    <n v="0"/>
    <x v="1"/>
    <x v="0"/>
    <x v="0"/>
    <x v="2"/>
    <x v="0"/>
    <n v="24.3"/>
    <x v="0"/>
    <s v="No"/>
    <x v="0"/>
    <x v="0"/>
    <x v="0"/>
    <s v="No Mutation"/>
    <s v="No"/>
    <s v="No"/>
    <s v="Yes"/>
    <s v="No"/>
    <s v="Yes"/>
    <s v="No"/>
    <s v="No"/>
    <s v="No"/>
    <s v="No"/>
    <s v="No"/>
    <x v="0"/>
    <s v="Adenocarcinoma"/>
    <x v="0"/>
    <n v="6.2"/>
    <s v="Yes"/>
    <s v="CT Scan"/>
    <s v="Palliative Care"/>
    <n v="4"/>
    <s v="No"/>
  </r>
  <r>
    <s v="LC-0570"/>
    <n v="2015"/>
    <d v="2015-10-02T00:00:00"/>
    <s v="Western Pacific"/>
    <s v="China"/>
    <n v="66"/>
    <x v="1"/>
    <x v="2"/>
    <n v="0"/>
    <n v="0"/>
    <x v="0"/>
    <x v="1"/>
    <x v="0"/>
    <x v="0"/>
    <x v="0"/>
    <n v="29.3"/>
    <x v="1"/>
    <s v="No"/>
    <x v="0"/>
    <x v="0"/>
    <x v="0"/>
    <s v="No Mutation"/>
    <s v="Yes"/>
    <s v="No"/>
    <s v="Yes"/>
    <s v="Yes"/>
    <s v="Yes"/>
    <s v="Yes"/>
    <s v="No"/>
    <s v="No"/>
    <s v="Yes"/>
    <s v="No"/>
    <x v="0"/>
    <s v="Adenocarcinoma"/>
    <x v="1"/>
    <n v="2.9"/>
    <s v="No"/>
    <s v="Bronchoscopy"/>
    <s v="Surgery"/>
    <n v="62"/>
    <s v="Yes"/>
  </r>
  <r>
    <s v="LC-0571"/>
    <n v="2024"/>
    <d v="2024-04-10T00:00:00"/>
    <s v="Western Pacific"/>
    <s v="Australia"/>
    <n v="71"/>
    <x v="1"/>
    <x v="2"/>
    <n v="0"/>
    <n v="0"/>
    <x v="1"/>
    <x v="0"/>
    <x v="0"/>
    <x v="1"/>
    <x v="0"/>
    <n v="28.8"/>
    <x v="1"/>
    <s v="No"/>
    <x v="0"/>
    <x v="0"/>
    <x v="0"/>
    <s v="ROS1"/>
    <s v="No"/>
    <s v="Yes"/>
    <s v="No"/>
    <s v="Yes"/>
    <s v="Yes"/>
    <s v="No"/>
    <s v="No"/>
    <s v="Yes"/>
    <s v="No"/>
    <s v="No"/>
    <x v="0"/>
    <s v="Adenocarcinoma"/>
    <x v="2"/>
    <n v="9"/>
    <s v="No"/>
    <s v="CT Scan"/>
    <s v="Radiotherapy"/>
    <n v="12"/>
    <s v="No"/>
  </r>
  <r>
    <s v="LC-0572"/>
    <n v="2016"/>
    <d v="2016-03-25T00:00:00"/>
    <s v="Western Pacific"/>
    <s v="Philippines"/>
    <n v="60"/>
    <x v="0"/>
    <x v="0"/>
    <n v="11"/>
    <n v="27"/>
    <x v="1"/>
    <x v="0"/>
    <x v="1"/>
    <x v="1"/>
    <x v="0"/>
    <n v="26.3"/>
    <x v="1"/>
    <s v="No"/>
    <x v="0"/>
    <x v="0"/>
    <x v="0"/>
    <s v="No Mutation"/>
    <s v="No"/>
    <s v="No"/>
    <s v="No"/>
    <s v="No"/>
    <s v="No"/>
    <s v="Yes"/>
    <s v="Yes"/>
    <s v="No"/>
    <s v="No"/>
    <s v="No"/>
    <x v="0"/>
    <s v="Adenocarcinoma"/>
    <x v="0"/>
    <n v="7.8"/>
    <s v="Yes"/>
    <s v="Chest X-Ray"/>
    <s v="Chemotherapy"/>
    <n v="9"/>
    <s v="No"/>
  </r>
  <r>
    <s v="LC-0573"/>
    <n v="2019"/>
    <d v="2019-05-11T00:00:00"/>
    <s v="Africa"/>
    <s v="South Africa"/>
    <n v="53"/>
    <x v="1"/>
    <x v="0"/>
    <n v="24"/>
    <n v="25"/>
    <x v="1"/>
    <x v="1"/>
    <x v="0"/>
    <x v="1"/>
    <x v="2"/>
    <n v="31.1"/>
    <x v="2"/>
    <s v="No"/>
    <x v="0"/>
    <x v="0"/>
    <x v="0"/>
    <s v="KRAS"/>
    <s v="Yes"/>
    <s v="Yes"/>
    <s v="Yes"/>
    <s v="No"/>
    <s v="Yes"/>
    <s v="No"/>
    <s v="No"/>
    <s v="Yes"/>
    <s v="No"/>
    <s v="No"/>
    <x v="1"/>
    <s v="Not Applicable"/>
    <x v="0"/>
    <n v="7.4"/>
    <s v="Yes"/>
    <s v="CT Scan"/>
    <s v="Palliative Care"/>
    <n v="5"/>
    <s v="No"/>
  </r>
  <r>
    <s v="LC-0574"/>
    <n v="2023"/>
    <d v="2023-01-16T00:00:00"/>
    <s v="Americas"/>
    <s v="Chile"/>
    <n v="57"/>
    <x v="0"/>
    <x v="0"/>
    <n v="16"/>
    <n v="22"/>
    <x v="0"/>
    <x v="0"/>
    <x v="1"/>
    <x v="1"/>
    <x v="1"/>
    <n v="22.6"/>
    <x v="1"/>
    <s v="Yes"/>
    <x v="0"/>
    <x v="0"/>
    <x v="0"/>
    <s v="No Mutation"/>
    <s v="Yes"/>
    <s v="Yes"/>
    <s v="No"/>
    <s v="Yes"/>
    <s v="Yes"/>
    <s v="No"/>
    <s v="Yes"/>
    <s v="No"/>
    <s v="No"/>
    <s v="No"/>
    <x v="0"/>
    <s v="Adenocarcinoma"/>
    <x v="2"/>
    <n v="7"/>
    <s v="No"/>
    <s v="CT Scan"/>
    <s v="Radiotherapy"/>
    <n v="7"/>
    <s v="No"/>
  </r>
  <r>
    <s v="LC-0575"/>
    <n v="2019"/>
    <d v="2019-03-05T00:00:00"/>
    <s v="Europe"/>
    <s v="Turkey"/>
    <n v="63"/>
    <x v="1"/>
    <x v="2"/>
    <n v="0"/>
    <n v="0"/>
    <x v="0"/>
    <x v="0"/>
    <x v="1"/>
    <x v="1"/>
    <x v="1"/>
    <n v="28.4"/>
    <x v="0"/>
    <s v="No"/>
    <x v="0"/>
    <x v="0"/>
    <x v="0"/>
    <s v="KRAS"/>
    <s v="No"/>
    <s v="No"/>
    <s v="No"/>
    <s v="No"/>
    <s v="Yes"/>
    <s v="No"/>
    <s v="No"/>
    <s v="Yes"/>
    <s v="No"/>
    <s v="No"/>
    <x v="0"/>
    <s v="Adenocarcinoma"/>
    <x v="1"/>
    <n v="0.5"/>
    <s v="No"/>
    <s v="LDCT Screening"/>
    <s v="Surgery + Chemotherapy"/>
    <n v="62"/>
    <s v="Yes"/>
  </r>
  <r>
    <s v="LC-0576"/>
    <n v="2023"/>
    <d v="2023-09-23T00:00:00"/>
    <s v="Africa"/>
    <s v="Egypt"/>
    <n v="57"/>
    <x v="0"/>
    <x v="2"/>
    <n v="0"/>
    <n v="0"/>
    <x v="0"/>
    <x v="0"/>
    <x v="0"/>
    <x v="1"/>
    <x v="0"/>
    <n v="27.6"/>
    <x v="0"/>
    <s v="Yes"/>
    <x v="0"/>
    <x v="0"/>
    <x v="0"/>
    <s v="ALK"/>
    <s v="No"/>
    <s v="Yes"/>
    <s v="No"/>
    <s v="Yes"/>
    <s v="Yes"/>
    <s v="Yes"/>
    <s v="No"/>
    <s v="No"/>
    <s v="No"/>
    <s v="No"/>
    <x v="0"/>
    <s v="Squamous Cell"/>
    <x v="2"/>
    <n v="6.3"/>
    <s v="No"/>
    <s v="CT Scan"/>
    <s v="Chemo + Radiation"/>
    <n v="17"/>
    <s v="No"/>
  </r>
  <r>
    <s v="LC-0577"/>
    <n v="2022"/>
    <d v="2022-09-18T00:00:00"/>
    <s v="Western Pacific"/>
    <s v="Vietnam"/>
    <n v="53"/>
    <x v="0"/>
    <x v="2"/>
    <n v="0"/>
    <n v="0"/>
    <x v="0"/>
    <x v="0"/>
    <x v="0"/>
    <x v="0"/>
    <x v="0"/>
    <n v="32.1"/>
    <x v="1"/>
    <s v="No"/>
    <x v="0"/>
    <x v="0"/>
    <x v="1"/>
    <s v="ALK"/>
    <s v="No"/>
    <s v="No"/>
    <s v="No"/>
    <s v="No"/>
    <s v="Yes"/>
    <s v="No"/>
    <s v="No"/>
    <s v="No"/>
    <s v="No"/>
    <s v="No"/>
    <x v="0"/>
    <s v="Adenocarcinoma"/>
    <x v="0"/>
    <n v="10.3"/>
    <s v="Yes"/>
    <s v="Chest X-Ray"/>
    <s v="Targeted Therapy"/>
    <n v="4"/>
    <s v="No"/>
  </r>
  <r>
    <s v="LC-0578"/>
    <n v="2020"/>
    <d v="2020-02-13T00:00:00"/>
    <s v="Europe"/>
    <s v="UK"/>
    <n v="53"/>
    <x v="0"/>
    <x v="0"/>
    <n v="19"/>
    <n v="18"/>
    <x v="0"/>
    <x v="0"/>
    <x v="0"/>
    <x v="2"/>
    <x v="2"/>
    <n v="21.9"/>
    <x v="2"/>
    <s v="No"/>
    <x v="1"/>
    <x v="0"/>
    <x v="0"/>
    <s v="EGFR"/>
    <s v="Yes"/>
    <s v="Yes"/>
    <s v="Yes"/>
    <s v="No"/>
    <s v="No"/>
    <s v="Yes"/>
    <s v="Yes"/>
    <s v="No"/>
    <s v="No"/>
    <s v="No"/>
    <x v="1"/>
    <s v="Not Applicable"/>
    <x v="0"/>
    <n v="3.5"/>
    <s v="Yes"/>
    <s v="Biopsy"/>
    <s v="Immunotherapy"/>
    <n v="6"/>
    <s v="No"/>
  </r>
  <r>
    <s v="LC-0579"/>
    <n v="2024"/>
    <d v="2024-07-01T00:00:00"/>
    <s v="Europe"/>
    <s v="Poland"/>
    <n v="68"/>
    <x v="1"/>
    <x v="1"/>
    <n v="18"/>
    <n v="14"/>
    <x v="1"/>
    <x v="1"/>
    <x v="1"/>
    <x v="0"/>
    <x v="0"/>
    <n v="27.2"/>
    <x v="1"/>
    <s v="No"/>
    <x v="1"/>
    <x v="0"/>
    <x v="0"/>
    <s v="ALK"/>
    <s v="No"/>
    <s v="No"/>
    <s v="No"/>
    <s v="No"/>
    <s v="Yes"/>
    <s v="No"/>
    <s v="No"/>
    <s v="Yes"/>
    <s v="No"/>
    <s v="No"/>
    <x v="0"/>
    <s v="Squamous Cell"/>
    <x v="2"/>
    <n v="4.7"/>
    <s v="No"/>
    <s v="CT Scan"/>
    <s v="Chemo + Radiation"/>
    <n v="19"/>
    <s v="No"/>
  </r>
  <r>
    <s v="LC-0580"/>
    <n v="2017"/>
    <d v="2017-02-28T00:00:00"/>
    <s v="Europe"/>
    <s v="Russia"/>
    <n v="65"/>
    <x v="1"/>
    <x v="0"/>
    <n v="31"/>
    <n v="44"/>
    <x v="1"/>
    <x v="0"/>
    <x v="1"/>
    <x v="1"/>
    <x v="0"/>
    <n v="23.3"/>
    <x v="2"/>
    <s v="No"/>
    <x v="0"/>
    <x v="0"/>
    <x v="0"/>
    <s v="EGFR"/>
    <s v="Yes"/>
    <s v="Yes"/>
    <s v="Yes"/>
    <s v="Yes"/>
    <s v="No"/>
    <s v="Yes"/>
    <s v="No"/>
    <s v="No"/>
    <s v="No"/>
    <s v="No"/>
    <x v="0"/>
    <s v="Squamous Cell"/>
    <x v="2"/>
    <n v="5.0999999999999996"/>
    <s v="No"/>
    <s v="CT Scan"/>
    <s v="Targeted Therapy"/>
    <n v="19"/>
    <s v="No"/>
  </r>
  <r>
    <s v="LC-0581"/>
    <n v="2025"/>
    <d v="2025-10-14T00:00:00"/>
    <s v="Western Pacific"/>
    <s v="Mongolia"/>
    <n v="66"/>
    <x v="1"/>
    <x v="1"/>
    <n v="11"/>
    <n v="17"/>
    <x v="0"/>
    <x v="1"/>
    <x v="0"/>
    <x v="0"/>
    <x v="0"/>
    <n v="25"/>
    <x v="1"/>
    <s v="No"/>
    <x v="1"/>
    <x v="0"/>
    <x v="0"/>
    <s v="KRAS"/>
    <s v="Yes"/>
    <s v="Yes"/>
    <s v="No"/>
    <s v="No"/>
    <s v="Yes"/>
    <s v="No"/>
    <s v="No"/>
    <s v="No"/>
    <s v="No"/>
    <s v="Yes"/>
    <x v="1"/>
    <s v="Not Applicable"/>
    <x v="2"/>
    <n v="5.8"/>
    <s v="No"/>
    <s v="Biopsy"/>
    <s v="Immunotherapy"/>
    <n v="26"/>
    <s v="No"/>
  </r>
  <r>
    <s v="LC-0582"/>
    <n v="2022"/>
    <d v="2022-07-23T00:00:00"/>
    <s v="Americas"/>
    <s v="Chile"/>
    <n v="69"/>
    <x v="0"/>
    <x v="2"/>
    <n v="0"/>
    <n v="0"/>
    <x v="0"/>
    <x v="0"/>
    <x v="0"/>
    <x v="0"/>
    <x v="1"/>
    <n v="30.7"/>
    <x v="2"/>
    <s v="No"/>
    <x v="0"/>
    <x v="0"/>
    <x v="0"/>
    <s v="EGFR"/>
    <s v="No"/>
    <s v="No"/>
    <s v="No"/>
    <s v="No"/>
    <s v="No"/>
    <s v="Yes"/>
    <s v="No"/>
    <s v="No"/>
    <s v="Yes"/>
    <s v="No"/>
    <x v="0"/>
    <s v="Adenocarcinoma"/>
    <x v="2"/>
    <n v="6.6"/>
    <s v="No"/>
    <s v="PET Scan"/>
    <s v="Surgery + Chemotherapy"/>
    <n v="16"/>
    <s v="No"/>
  </r>
  <r>
    <s v="LC-0583"/>
    <n v="2023"/>
    <d v="2023-05-04T00:00:00"/>
    <s v="Europe"/>
    <s v="Turkey"/>
    <n v="50"/>
    <x v="1"/>
    <x v="1"/>
    <n v="9"/>
    <n v="19"/>
    <x v="1"/>
    <x v="0"/>
    <x v="0"/>
    <x v="2"/>
    <x v="2"/>
    <n v="29.9"/>
    <x v="2"/>
    <s v="No"/>
    <x v="0"/>
    <x v="0"/>
    <x v="0"/>
    <s v="MET"/>
    <s v="No"/>
    <s v="No"/>
    <s v="No"/>
    <s v="No"/>
    <s v="Yes"/>
    <s v="Yes"/>
    <s v="No"/>
    <s v="No"/>
    <s v="No"/>
    <s v="No"/>
    <x v="0"/>
    <s v="Squamous Cell"/>
    <x v="3"/>
    <n v="3.7"/>
    <s v="No"/>
    <s v="PET Scan"/>
    <s v="Radiotherapy"/>
    <n v="28"/>
    <s v="No"/>
  </r>
  <r>
    <s v="LC-0584"/>
    <n v="2024"/>
    <d v="2024-01-11T00:00:00"/>
    <s v="Western Pacific"/>
    <s v="South Korea"/>
    <n v="79"/>
    <x v="1"/>
    <x v="2"/>
    <n v="0"/>
    <n v="0"/>
    <x v="1"/>
    <x v="0"/>
    <x v="0"/>
    <x v="0"/>
    <x v="0"/>
    <n v="29.9"/>
    <x v="1"/>
    <s v="No"/>
    <x v="0"/>
    <x v="0"/>
    <x v="0"/>
    <s v="No Mutation"/>
    <s v="Yes"/>
    <s v="Yes"/>
    <s v="Yes"/>
    <s v="No"/>
    <s v="Yes"/>
    <s v="No"/>
    <s v="No"/>
    <s v="No"/>
    <s v="No"/>
    <s v="No"/>
    <x v="0"/>
    <s v="Adenocarcinoma"/>
    <x v="0"/>
    <n v="5.5"/>
    <s v="Yes"/>
    <s v="PET Scan"/>
    <s v="Targeted Therapy"/>
    <n v="1"/>
    <s v="No"/>
  </r>
  <r>
    <s v="LC-0585"/>
    <n v="2023"/>
    <d v="2023-10-15T00:00:00"/>
    <s v="Western Pacific"/>
    <s v="Vietnam"/>
    <n v="67"/>
    <x v="1"/>
    <x v="2"/>
    <n v="0"/>
    <n v="0"/>
    <x v="0"/>
    <x v="0"/>
    <x v="0"/>
    <x v="0"/>
    <x v="0"/>
    <n v="28"/>
    <x v="2"/>
    <s v="No"/>
    <x v="0"/>
    <x v="0"/>
    <x v="0"/>
    <s v="ALK"/>
    <s v="No"/>
    <s v="No"/>
    <s v="No"/>
    <s v="No"/>
    <s v="Yes"/>
    <s v="No"/>
    <s v="No"/>
    <s v="No"/>
    <s v="No"/>
    <s v="No"/>
    <x v="0"/>
    <s v="Squamous Cell"/>
    <x v="3"/>
    <n v="6"/>
    <s v="No"/>
    <s v="CT Scan"/>
    <s v="Targeted Therapy"/>
    <n v="58"/>
    <s v="No"/>
  </r>
  <r>
    <s v="LC-0586"/>
    <n v="2019"/>
    <d v="2019-02-14T00:00:00"/>
    <s v="Africa"/>
    <s v="South Africa"/>
    <n v="61"/>
    <x v="0"/>
    <x v="0"/>
    <n v="18"/>
    <n v="22"/>
    <x v="1"/>
    <x v="0"/>
    <x v="1"/>
    <x v="0"/>
    <x v="1"/>
    <n v="25.8"/>
    <x v="1"/>
    <s v="No"/>
    <x v="0"/>
    <x v="0"/>
    <x v="0"/>
    <s v="KRAS"/>
    <s v="No"/>
    <s v="No"/>
    <s v="No"/>
    <s v="Yes"/>
    <s v="No"/>
    <s v="No"/>
    <s v="No"/>
    <s v="Yes"/>
    <s v="No"/>
    <s v="No"/>
    <x v="0"/>
    <s v="Adenocarcinoma"/>
    <x v="0"/>
    <n v="4.5"/>
    <s v="Yes"/>
    <s v="CT Scan"/>
    <s v="Immunotherapy"/>
    <n v="1"/>
    <s v="No"/>
  </r>
  <r>
    <s v="LC-0587"/>
    <n v="2018"/>
    <d v="2018-04-14T00:00:00"/>
    <s v="Americas"/>
    <s v="Venezuela"/>
    <n v="58"/>
    <x v="0"/>
    <x v="2"/>
    <n v="0"/>
    <n v="0"/>
    <x v="0"/>
    <x v="0"/>
    <x v="0"/>
    <x v="2"/>
    <x v="0"/>
    <n v="29.9"/>
    <x v="1"/>
    <s v="No"/>
    <x v="0"/>
    <x v="0"/>
    <x v="0"/>
    <s v="No Mutation"/>
    <s v="Yes"/>
    <s v="No"/>
    <s v="No"/>
    <s v="No"/>
    <s v="Yes"/>
    <s v="No"/>
    <s v="No"/>
    <s v="No"/>
    <s v="Yes"/>
    <s v="No"/>
    <x v="0"/>
    <s v="Adenocarcinoma"/>
    <x v="0"/>
    <n v="4.5999999999999996"/>
    <s v="Yes"/>
    <s v="CT Scan"/>
    <s v="Immunotherapy"/>
    <n v="8"/>
    <s v="No"/>
  </r>
  <r>
    <s v="LC-0588"/>
    <n v="2021"/>
    <d v="2021-07-17T00:00:00"/>
    <s v="Americas"/>
    <s v="Canada"/>
    <n v="69"/>
    <x v="1"/>
    <x v="1"/>
    <n v="24"/>
    <n v="4"/>
    <x v="1"/>
    <x v="0"/>
    <x v="0"/>
    <x v="0"/>
    <x v="2"/>
    <n v="25.4"/>
    <x v="2"/>
    <s v="No"/>
    <x v="0"/>
    <x v="0"/>
    <x v="0"/>
    <s v="KRAS"/>
    <s v="Yes"/>
    <s v="No"/>
    <s v="Yes"/>
    <s v="No"/>
    <s v="Yes"/>
    <s v="Yes"/>
    <s v="Yes"/>
    <s v="Yes"/>
    <s v="Yes"/>
    <s v="No"/>
    <x v="0"/>
    <s v="Adenocarcinoma"/>
    <x v="3"/>
    <n v="7"/>
    <s v="No"/>
    <s v="CT Scan"/>
    <s v="Chemotherapy"/>
    <n v="6"/>
    <s v="Yes"/>
  </r>
  <r>
    <s v="LC-0589"/>
    <n v="2024"/>
    <d v="2024-07-28T00:00:00"/>
    <s v="Western Pacific"/>
    <s v="Philippines"/>
    <n v="66"/>
    <x v="0"/>
    <x v="0"/>
    <n v="16"/>
    <n v="18"/>
    <x v="1"/>
    <x v="0"/>
    <x v="0"/>
    <x v="1"/>
    <x v="0"/>
    <n v="31.6"/>
    <x v="1"/>
    <s v="No"/>
    <x v="0"/>
    <x v="0"/>
    <x v="0"/>
    <s v="No Mutation"/>
    <s v="No"/>
    <s v="No"/>
    <s v="No"/>
    <s v="Yes"/>
    <s v="No"/>
    <s v="Yes"/>
    <s v="No"/>
    <s v="No"/>
    <s v="No"/>
    <s v="Yes"/>
    <x v="0"/>
    <s v="Squamous Cell"/>
    <x v="0"/>
    <n v="6"/>
    <s v="Yes"/>
    <s v="CT Scan"/>
    <s v="Palliative Care"/>
    <n v="8"/>
    <s v="No"/>
  </r>
  <r>
    <s v="LC-0590"/>
    <n v="2016"/>
    <d v="2016-12-11T00:00:00"/>
    <s v="Africa"/>
    <s v="Egypt"/>
    <n v="49"/>
    <x v="0"/>
    <x v="2"/>
    <n v="0"/>
    <n v="0"/>
    <x v="1"/>
    <x v="0"/>
    <x v="1"/>
    <x v="2"/>
    <x v="2"/>
    <n v="25.5"/>
    <x v="1"/>
    <s v="No"/>
    <x v="0"/>
    <x v="0"/>
    <x v="0"/>
    <s v="No Mutation"/>
    <s v="No"/>
    <s v="No"/>
    <s v="No"/>
    <s v="No"/>
    <s v="Yes"/>
    <s v="No"/>
    <s v="No"/>
    <s v="No"/>
    <s v="No"/>
    <s v="No"/>
    <x v="0"/>
    <s v="Large Cell"/>
    <x v="3"/>
    <n v="5"/>
    <s v="No"/>
    <s v="Bronchoscopy"/>
    <s v="Radiotherapy"/>
    <n v="43"/>
    <s v="No"/>
  </r>
  <r>
    <s v="LC-0591"/>
    <n v="2016"/>
    <d v="2016-06-25T00:00:00"/>
    <s v="Western Pacific"/>
    <s v="South Korea"/>
    <n v="67"/>
    <x v="1"/>
    <x v="2"/>
    <n v="0"/>
    <n v="0"/>
    <x v="0"/>
    <x v="0"/>
    <x v="0"/>
    <x v="1"/>
    <x v="2"/>
    <n v="23.9"/>
    <x v="1"/>
    <s v="No"/>
    <x v="0"/>
    <x v="0"/>
    <x v="1"/>
    <s v="No Mutation"/>
    <s v="No"/>
    <s v="No"/>
    <s v="No"/>
    <s v="Yes"/>
    <s v="Yes"/>
    <s v="No"/>
    <s v="No"/>
    <s v="No"/>
    <s v="No"/>
    <s v="No"/>
    <x v="0"/>
    <s v="Adenocarcinoma"/>
    <x v="0"/>
    <n v="10.8"/>
    <s v="Yes"/>
    <s v="CT Scan"/>
    <s v="Targeted Therapy"/>
    <n v="16"/>
    <s v="No"/>
  </r>
  <r>
    <s v="LC-0592"/>
    <n v="2021"/>
    <d v="2021-02-17T00:00:00"/>
    <s v="Africa"/>
    <s v="South Africa"/>
    <n v="54"/>
    <x v="0"/>
    <x v="2"/>
    <n v="0"/>
    <n v="0"/>
    <x v="1"/>
    <x v="0"/>
    <x v="0"/>
    <x v="1"/>
    <x v="0"/>
    <n v="28.1"/>
    <x v="2"/>
    <s v="No"/>
    <x v="0"/>
    <x v="0"/>
    <x v="0"/>
    <s v="No Mutation"/>
    <s v="Yes"/>
    <s v="Yes"/>
    <s v="Yes"/>
    <s v="No"/>
    <s v="Yes"/>
    <s v="No"/>
    <s v="Yes"/>
    <s v="No"/>
    <s v="No"/>
    <s v="No"/>
    <x v="0"/>
    <s v="Adenocarcinoma"/>
    <x v="3"/>
    <n v="2"/>
    <s v="No"/>
    <s v="CT Scan"/>
    <s v="Immunotherapy"/>
    <n v="48"/>
    <s v="No"/>
  </r>
  <r>
    <s v="LC-0593"/>
    <n v="2024"/>
    <d v="2024-09-17T00:00:00"/>
    <s v="Eastern Mediterranean"/>
    <s v="UAE"/>
    <n v="54"/>
    <x v="1"/>
    <x v="2"/>
    <n v="0"/>
    <n v="0"/>
    <x v="0"/>
    <x v="1"/>
    <x v="0"/>
    <x v="0"/>
    <x v="1"/>
    <n v="27.3"/>
    <x v="2"/>
    <s v="No"/>
    <x v="0"/>
    <x v="0"/>
    <x v="0"/>
    <s v="No Mutation"/>
    <s v="No"/>
    <s v="No"/>
    <s v="Yes"/>
    <s v="No"/>
    <s v="Yes"/>
    <s v="Yes"/>
    <s v="No"/>
    <s v="Yes"/>
    <s v="No"/>
    <s v="Yes"/>
    <x v="0"/>
    <s v="Adenocarcinoma"/>
    <x v="3"/>
    <n v="3.8"/>
    <s v="No"/>
    <s v="CT Scan"/>
    <s v="Surgery"/>
    <n v="48"/>
    <s v="Yes"/>
  </r>
  <r>
    <s v="LC-0594"/>
    <n v="2022"/>
    <d v="2022-06-12T00:00:00"/>
    <s v="Americas"/>
    <s v="Brazil"/>
    <n v="47"/>
    <x v="1"/>
    <x v="1"/>
    <n v="16"/>
    <n v="16"/>
    <x v="1"/>
    <x v="1"/>
    <x v="0"/>
    <x v="0"/>
    <x v="0"/>
    <n v="21.5"/>
    <x v="2"/>
    <s v="No"/>
    <x v="0"/>
    <x v="0"/>
    <x v="0"/>
    <s v="No Mutation"/>
    <s v="No"/>
    <s v="No"/>
    <s v="Yes"/>
    <s v="No"/>
    <s v="Yes"/>
    <s v="Yes"/>
    <s v="Yes"/>
    <s v="Yes"/>
    <s v="No"/>
    <s v="No"/>
    <x v="0"/>
    <s v="Adenocarcinoma"/>
    <x v="2"/>
    <n v="5.4"/>
    <s v="No"/>
    <s v="Biopsy"/>
    <s v="Chemotherapy"/>
    <n v="16"/>
    <s v="No"/>
  </r>
  <r>
    <s v="LC-0595"/>
    <n v="2025"/>
    <d v="2025-04-04T00:00:00"/>
    <s v="South-East Asia"/>
    <s v="Indonesia"/>
    <n v="47"/>
    <x v="0"/>
    <x v="2"/>
    <n v="0"/>
    <n v="0"/>
    <x v="1"/>
    <x v="0"/>
    <x v="0"/>
    <x v="0"/>
    <x v="2"/>
    <n v="35.4"/>
    <x v="2"/>
    <s v="No"/>
    <x v="0"/>
    <x v="0"/>
    <x v="0"/>
    <s v="No Mutation"/>
    <s v="No"/>
    <s v="No"/>
    <s v="No"/>
    <s v="No"/>
    <s v="No"/>
    <s v="No"/>
    <s v="No"/>
    <s v="No"/>
    <s v="No"/>
    <s v="No"/>
    <x v="1"/>
    <s v="Not Applicable"/>
    <x v="1"/>
    <n v="0.9"/>
    <s v="No"/>
    <s v="Biopsy"/>
    <s v="Immunotherapy"/>
    <n v="82"/>
    <s v="Yes"/>
  </r>
  <r>
    <s v="LC-0596"/>
    <n v="2025"/>
    <d v="2025-05-07T00:00:00"/>
    <s v="Eastern Mediterranean"/>
    <s v="Saudi Arabia"/>
    <n v="47"/>
    <x v="0"/>
    <x v="2"/>
    <n v="0"/>
    <n v="0"/>
    <x v="1"/>
    <x v="1"/>
    <x v="0"/>
    <x v="0"/>
    <x v="2"/>
    <n v="23.6"/>
    <x v="0"/>
    <s v="No"/>
    <x v="0"/>
    <x v="0"/>
    <x v="0"/>
    <s v="No Mutation"/>
    <s v="No"/>
    <s v="No"/>
    <s v="No"/>
    <s v="No"/>
    <s v="No"/>
    <s v="No"/>
    <s v="No"/>
    <s v="No"/>
    <s v="No"/>
    <s v="No"/>
    <x v="0"/>
    <s v="Adenocarcinoma"/>
    <x v="1"/>
    <n v="0.8"/>
    <s v="No"/>
    <s v="LDCT Screening"/>
    <s v="Targeted Therapy"/>
    <n v="83"/>
    <s v="Yes"/>
  </r>
  <r>
    <s v="LC-0597"/>
    <n v="2017"/>
    <d v="2017-10-05T00:00:00"/>
    <s v="South-East Asia"/>
    <s v="Bangladesh"/>
    <n v="62"/>
    <x v="1"/>
    <x v="2"/>
    <n v="0"/>
    <n v="0"/>
    <x v="0"/>
    <x v="0"/>
    <x v="0"/>
    <x v="1"/>
    <x v="2"/>
    <n v="31.5"/>
    <x v="0"/>
    <s v="No"/>
    <x v="0"/>
    <x v="0"/>
    <x v="0"/>
    <s v="No Mutation"/>
    <s v="No"/>
    <s v="No"/>
    <s v="No"/>
    <s v="No"/>
    <s v="Yes"/>
    <s v="No"/>
    <s v="No"/>
    <s v="No"/>
    <s v="No"/>
    <s v="No"/>
    <x v="0"/>
    <s v="Large Cell"/>
    <x v="1"/>
    <n v="1.9"/>
    <s v="No"/>
    <s v="Bronchoscopy"/>
    <s v="Surgery"/>
    <n v="80"/>
    <s v="No"/>
  </r>
  <r>
    <s v="LC-0598"/>
    <n v="2025"/>
    <d v="2025-03-25T00:00:00"/>
    <s v="Europe"/>
    <s v="Poland"/>
    <n v="41"/>
    <x v="0"/>
    <x v="2"/>
    <n v="0"/>
    <n v="0"/>
    <x v="1"/>
    <x v="0"/>
    <x v="0"/>
    <x v="0"/>
    <x v="0"/>
    <n v="21.8"/>
    <x v="1"/>
    <s v="No"/>
    <x v="0"/>
    <x v="0"/>
    <x v="0"/>
    <s v="No Mutation"/>
    <s v="No"/>
    <s v="No"/>
    <s v="No"/>
    <s v="Yes"/>
    <s v="Yes"/>
    <s v="Yes"/>
    <s v="No"/>
    <s v="Yes"/>
    <s v="No"/>
    <s v="No"/>
    <x v="0"/>
    <s v="Adenocarcinoma"/>
    <x v="1"/>
    <n v="0.5"/>
    <s v="No"/>
    <s v="CT Scan"/>
    <s v="Radiotherapy"/>
    <n v="93"/>
    <s v="Yes"/>
  </r>
  <r>
    <s v="LC-0599"/>
    <n v="2016"/>
    <d v="2016-08-25T00:00:00"/>
    <s v="Western Pacific"/>
    <s v="Mongolia"/>
    <n v="50"/>
    <x v="1"/>
    <x v="1"/>
    <n v="24"/>
    <n v="13"/>
    <x v="1"/>
    <x v="1"/>
    <x v="0"/>
    <x v="2"/>
    <x v="1"/>
    <n v="26.5"/>
    <x v="2"/>
    <s v="No"/>
    <x v="0"/>
    <x v="0"/>
    <x v="0"/>
    <s v="KRAS"/>
    <s v="No"/>
    <s v="No"/>
    <s v="No"/>
    <s v="No"/>
    <s v="No"/>
    <s v="No"/>
    <s v="Yes"/>
    <s v="No"/>
    <s v="No"/>
    <s v="No"/>
    <x v="0"/>
    <s v="Squamous Cell"/>
    <x v="3"/>
    <n v="5"/>
    <s v="No"/>
    <s v="Chest X-Ray"/>
    <s v="Surgery + Chemotherapy"/>
    <n v="19"/>
    <s v="Yes"/>
  </r>
  <r>
    <s v="LC-0600"/>
    <n v="2018"/>
    <d v="2018-10-15T00:00:00"/>
    <s v="Americas"/>
    <s v="Venezuela"/>
    <n v="85"/>
    <x v="1"/>
    <x v="1"/>
    <n v="15"/>
    <n v="18"/>
    <x v="1"/>
    <x v="0"/>
    <x v="0"/>
    <x v="1"/>
    <x v="0"/>
    <n v="27.2"/>
    <x v="0"/>
    <s v="No"/>
    <x v="0"/>
    <x v="0"/>
    <x v="0"/>
    <s v="TP53"/>
    <s v="No"/>
    <s v="Yes"/>
    <s v="Yes"/>
    <s v="No"/>
    <s v="Yes"/>
    <s v="No"/>
    <s v="Yes"/>
    <s v="No"/>
    <s v="No"/>
    <s v="Yes"/>
    <x v="0"/>
    <s v="Squamous Cell"/>
    <x v="0"/>
    <n v="5"/>
    <s v="Yes"/>
    <s v="Bronchoscopy"/>
    <s v="Chemotherapy"/>
    <n v="4"/>
    <s v="No"/>
  </r>
  <r>
    <s v="LC-0601"/>
    <n v="2021"/>
    <d v="2021-11-21T00:00:00"/>
    <s v="Western Pacific"/>
    <s v="Mongolia"/>
    <n v="71"/>
    <x v="1"/>
    <x v="2"/>
    <n v="0"/>
    <n v="0"/>
    <x v="0"/>
    <x v="0"/>
    <x v="0"/>
    <x v="0"/>
    <x v="0"/>
    <n v="31"/>
    <x v="2"/>
    <s v="No"/>
    <x v="0"/>
    <x v="0"/>
    <x v="0"/>
    <s v="KRAS"/>
    <s v="Yes"/>
    <s v="Yes"/>
    <s v="No"/>
    <s v="No"/>
    <s v="No"/>
    <s v="Yes"/>
    <s v="No"/>
    <s v="Yes"/>
    <s v="No"/>
    <s v="No"/>
    <x v="0"/>
    <s v="Adenocarcinoma"/>
    <x v="1"/>
    <n v="2.4"/>
    <s v="No"/>
    <s v="CT Scan"/>
    <s v="Surgery + Chemotherapy"/>
    <n v="66"/>
    <s v="No"/>
  </r>
  <r>
    <s v="LC-0602"/>
    <n v="2025"/>
    <d v="2025-06-28T00:00:00"/>
    <s v="Europe"/>
    <s v="Russia"/>
    <n v="60"/>
    <x v="0"/>
    <x v="2"/>
    <n v="0"/>
    <n v="0"/>
    <x v="1"/>
    <x v="0"/>
    <x v="0"/>
    <x v="0"/>
    <x v="0"/>
    <n v="24.9"/>
    <x v="0"/>
    <s v="No"/>
    <x v="0"/>
    <x v="0"/>
    <x v="0"/>
    <s v="No Mutation"/>
    <s v="Yes"/>
    <s v="Yes"/>
    <s v="Yes"/>
    <s v="No"/>
    <s v="Yes"/>
    <s v="No"/>
    <s v="No"/>
    <s v="No"/>
    <s v="No"/>
    <s v="No"/>
    <x v="0"/>
    <s v="Squamous Cell"/>
    <x v="1"/>
    <n v="1.1000000000000001"/>
    <s v="No"/>
    <s v="LDCT Screening"/>
    <s v="Surgery"/>
    <n v="58"/>
    <s v="Yes"/>
  </r>
  <r>
    <s v="LC-0603"/>
    <n v="2018"/>
    <d v="2018-03-15T00:00:00"/>
    <s v="Western Pacific"/>
    <s v="Japan"/>
    <n v="50"/>
    <x v="1"/>
    <x v="0"/>
    <n v="27"/>
    <n v="25"/>
    <x v="0"/>
    <x v="0"/>
    <x v="0"/>
    <x v="0"/>
    <x v="2"/>
    <n v="29.8"/>
    <x v="2"/>
    <s v="Yes"/>
    <x v="0"/>
    <x v="0"/>
    <x v="0"/>
    <s v="No Mutation"/>
    <s v="No"/>
    <s v="No"/>
    <s v="No"/>
    <s v="No"/>
    <s v="No"/>
    <s v="No"/>
    <s v="Yes"/>
    <s v="No"/>
    <s v="No"/>
    <s v="No"/>
    <x v="1"/>
    <s v="Not Applicable"/>
    <x v="0"/>
    <n v="10.1"/>
    <s v="Yes"/>
    <s v="LDCT Screening"/>
    <s v="Targeted Therapy"/>
    <n v="1"/>
    <s v="No"/>
  </r>
  <r>
    <s v="LC-0604"/>
    <n v="2020"/>
    <d v="2020-08-15T00:00:00"/>
    <s v="Western Pacific"/>
    <s v="Philippines"/>
    <n v="33"/>
    <x v="1"/>
    <x v="2"/>
    <n v="0"/>
    <n v="0"/>
    <x v="1"/>
    <x v="0"/>
    <x v="1"/>
    <x v="0"/>
    <x v="0"/>
    <n v="26.4"/>
    <x v="0"/>
    <s v="No"/>
    <x v="0"/>
    <x v="0"/>
    <x v="0"/>
    <s v="No Mutation"/>
    <s v="No"/>
    <s v="No"/>
    <s v="No"/>
    <s v="No"/>
    <s v="No"/>
    <s v="No"/>
    <s v="No"/>
    <s v="Yes"/>
    <s v="No"/>
    <s v="No"/>
    <x v="0"/>
    <s v="Squamous Cell"/>
    <x v="3"/>
    <n v="7"/>
    <s v="No"/>
    <s v="Biopsy"/>
    <s v="Targeted Therapy"/>
    <n v="39"/>
    <s v="Yes"/>
  </r>
  <r>
    <s v="LC-0605"/>
    <n v="2024"/>
    <d v="2024-05-19T00:00:00"/>
    <s v="Europe"/>
    <s v="UK"/>
    <n v="62"/>
    <x v="1"/>
    <x v="1"/>
    <n v="7"/>
    <n v="13"/>
    <x v="0"/>
    <x v="0"/>
    <x v="0"/>
    <x v="2"/>
    <x v="2"/>
    <n v="35"/>
    <x v="1"/>
    <s v="No"/>
    <x v="0"/>
    <x v="0"/>
    <x v="0"/>
    <s v="No Mutation"/>
    <s v="Yes"/>
    <s v="No"/>
    <s v="No"/>
    <s v="No"/>
    <s v="Yes"/>
    <s v="No"/>
    <s v="Yes"/>
    <s v="No"/>
    <s v="Yes"/>
    <s v="No"/>
    <x v="0"/>
    <s v="Adenocarcinoma"/>
    <x v="0"/>
    <n v="6.1"/>
    <s v="Yes"/>
    <s v="Chest X-Ray"/>
    <s v="Targeted Therapy"/>
    <n v="11"/>
    <s v="No"/>
  </r>
  <r>
    <s v="LC-0606"/>
    <n v="2020"/>
    <d v="2020-06-17T00:00:00"/>
    <s v="Europe"/>
    <s v="Germany"/>
    <n v="41"/>
    <x v="0"/>
    <x v="2"/>
    <n v="0"/>
    <n v="0"/>
    <x v="1"/>
    <x v="1"/>
    <x v="1"/>
    <x v="0"/>
    <x v="2"/>
    <n v="31.4"/>
    <x v="0"/>
    <s v="No"/>
    <x v="0"/>
    <x v="0"/>
    <x v="0"/>
    <s v="No Mutation"/>
    <s v="No"/>
    <s v="No"/>
    <s v="Yes"/>
    <s v="No"/>
    <s v="Yes"/>
    <s v="No"/>
    <s v="No"/>
    <s v="No"/>
    <s v="No"/>
    <s v="Yes"/>
    <x v="0"/>
    <s v="Squamous Cell"/>
    <x v="0"/>
    <n v="7.1"/>
    <s v="Yes"/>
    <s v="Biopsy"/>
    <s v="Targeted Therapy"/>
    <n v="13"/>
    <s v="No"/>
  </r>
  <r>
    <s v="LC-0607"/>
    <n v="2024"/>
    <d v="2024-05-15T00:00:00"/>
    <s v="Eastern Mediterranean"/>
    <s v="Oman"/>
    <n v="72"/>
    <x v="1"/>
    <x v="2"/>
    <n v="0"/>
    <n v="0"/>
    <x v="0"/>
    <x v="0"/>
    <x v="0"/>
    <x v="1"/>
    <x v="0"/>
    <n v="30.6"/>
    <x v="1"/>
    <s v="No"/>
    <x v="1"/>
    <x v="0"/>
    <x v="0"/>
    <s v="No Mutation"/>
    <s v="No"/>
    <s v="No"/>
    <s v="Yes"/>
    <s v="No"/>
    <s v="Yes"/>
    <s v="No"/>
    <s v="No"/>
    <s v="Yes"/>
    <s v="No"/>
    <s v="No"/>
    <x v="0"/>
    <s v="Adenocarcinoma"/>
    <x v="2"/>
    <n v="6.5"/>
    <s v="No"/>
    <s v="Biopsy"/>
    <s v="Radiotherapy"/>
    <n v="17"/>
    <s v="No"/>
  </r>
  <r>
    <s v="LC-0608"/>
    <n v="2025"/>
    <d v="2025-01-02T00:00:00"/>
    <s v="Americas"/>
    <s v="Colombia"/>
    <n v="56"/>
    <x v="1"/>
    <x v="0"/>
    <n v="6"/>
    <n v="38"/>
    <x v="1"/>
    <x v="0"/>
    <x v="1"/>
    <x v="1"/>
    <x v="1"/>
    <n v="26.3"/>
    <x v="1"/>
    <s v="No"/>
    <x v="1"/>
    <x v="0"/>
    <x v="0"/>
    <s v="TP53"/>
    <s v="Yes"/>
    <s v="Yes"/>
    <s v="Yes"/>
    <s v="No"/>
    <s v="Yes"/>
    <s v="No"/>
    <s v="No"/>
    <s v="Yes"/>
    <s v="No"/>
    <s v="No"/>
    <x v="0"/>
    <s v="Squamous Cell"/>
    <x v="0"/>
    <n v="6.7"/>
    <s v="Yes"/>
    <s v="PET Scan"/>
    <s v="Chemotherapy"/>
    <n v="1"/>
    <s v="No"/>
  </r>
  <r>
    <s v="LC-0609"/>
    <n v="2016"/>
    <d v="2016-05-03T00:00:00"/>
    <s v="South-East Asia"/>
    <s v="Bangladesh"/>
    <n v="63"/>
    <x v="1"/>
    <x v="2"/>
    <n v="0"/>
    <n v="0"/>
    <x v="0"/>
    <x v="1"/>
    <x v="0"/>
    <x v="1"/>
    <x v="0"/>
    <n v="28.4"/>
    <x v="1"/>
    <s v="No"/>
    <x v="0"/>
    <x v="1"/>
    <x v="0"/>
    <s v="No Mutation"/>
    <s v="No"/>
    <s v="No"/>
    <s v="No"/>
    <s v="No"/>
    <s v="No"/>
    <s v="No"/>
    <s v="No"/>
    <s v="No"/>
    <s v="Yes"/>
    <s v="Yes"/>
    <x v="0"/>
    <s v="Adenocarcinoma"/>
    <x v="1"/>
    <n v="1.4"/>
    <s v="No"/>
    <s v="CT Scan"/>
    <s v="Surgery + Chemotherapy"/>
    <n v="66"/>
    <s v="Yes"/>
  </r>
  <r>
    <s v="LC-0610"/>
    <n v="2019"/>
    <d v="2019-10-20T00:00:00"/>
    <s v="Americas"/>
    <s v="Cuba"/>
    <n v="61"/>
    <x v="0"/>
    <x v="2"/>
    <n v="0"/>
    <n v="0"/>
    <x v="0"/>
    <x v="1"/>
    <x v="0"/>
    <x v="0"/>
    <x v="2"/>
    <n v="28.7"/>
    <x v="0"/>
    <s v="No"/>
    <x v="0"/>
    <x v="0"/>
    <x v="0"/>
    <s v="No Mutation"/>
    <s v="No"/>
    <s v="Yes"/>
    <s v="No"/>
    <s v="No"/>
    <s v="Yes"/>
    <s v="No"/>
    <s v="No"/>
    <s v="Yes"/>
    <s v="No"/>
    <s v="No"/>
    <x v="0"/>
    <s v="Adenocarcinoma"/>
    <x v="1"/>
    <n v="3"/>
    <s v="No"/>
    <s v="CT Scan"/>
    <s v="Surgery + Chemotherapy"/>
    <n v="77"/>
    <s v="Yes"/>
  </r>
  <r>
    <s v="LC-0611"/>
    <n v="2018"/>
    <d v="2018-07-15T00:00:00"/>
    <s v="South-East Asia"/>
    <s v="Bhutan"/>
    <n v="55"/>
    <x v="1"/>
    <x v="2"/>
    <n v="0"/>
    <n v="0"/>
    <x v="1"/>
    <x v="0"/>
    <x v="1"/>
    <x v="1"/>
    <x v="1"/>
    <n v="25.9"/>
    <x v="0"/>
    <s v="No"/>
    <x v="0"/>
    <x v="0"/>
    <x v="0"/>
    <s v="KRAS"/>
    <s v="No"/>
    <s v="No"/>
    <s v="No"/>
    <s v="No"/>
    <s v="Yes"/>
    <s v="No"/>
    <s v="No"/>
    <s v="Yes"/>
    <s v="No"/>
    <s v="No"/>
    <x v="0"/>
    <s v="Adenocarcinoma"/>
    <x v="1"/>
    <n v="0.8"/>
    <s v="No"/>
    <s v="CT Scan"/>
    <s v="Surgery"/>
    <n v="80"/>
    <s v="Yes"/>
  </r>
  <r>
    <s v="LC-0612"/>
    <n v="2022"/>
    <d v="2022-09-26T00:00:00"/>
    <s v="Americas"/>
    <s v="USA"/>
    <n v="62"/>
    <x v="0"/>
    <x v="2"/>
    <n v="0"/>
    <n v="0"/>
    <x v="0"/>
    <x v="0"/>
    <x v="0"/>
    <x v="0"/>
    <x v="2"/>
    <n v="23.1"/>
    <x v="1"/>
    <s v="No"/>
    <x v="0"/>
    <x v="0"/>
    <x v="0"/>
    <s v="No Mutation"/>
    <s v="No"/>
    <s v="No"/>
    <s v="Yes"/>
    <s v="No"/>
    <s v="Yes"/>
    <s v="No"/>
    <s v="No"/>
    <s v="No"/>
    <s v="Yes"/>
    <s v="No"/>
    <x v="0"/>
    <s v="Adenocarcinoma"/>
    <x v="1"/>
    <n v="0.5"/>
    <s v="No"/>
    <s v="CT Scan"/>
    <s v="Surgery + Chemotherapy"/>
    <n v="25"/>
    <s v="Yes"/>
  </r>
  <r>
    <s v="LC-0613"/>
    <n v="2024"/>
    <d v="2024-08-26T00:00:00"/>
    <s v="Americas"/>
    <s v="Venezuela"/>
    <n v="73"/>
    <x v="1"/>
    <x v="2"/>
    <n v="0"/>
    <n v="0"/>
    <x v="1"/>
    <x v="0"/>
    <x v="1"/>
    <x v="2"/>
    <x v="1"/>
    <n v="28.4"/>
    <x v="2"/>
    <s v="No"/>
    <x v="1"/>
    <x v="0"/>
    <x v="0"/>
    <s v="No Mutation"/>
    <s v="No"/>
    <s v="No"/>
    <s v="No"/>
    <s v="No"/>
    <s v="Yes"/>
    <s v="Yes"/>
    <s v="No"/>
    <s v="Yes"/>
    <s v="No"/>
    <s v="No"/>
    <x v="0"/>
    <s v="Squamous Cell"/>
    <x v="1"/>
    <n v="2.4"/>
    <s v="No"/>
    <s v="LDCT Screening"/>
    <s v="Surgery"/>
    <n v="60"/>
    <s v="Yes"/>
  </r>
  <r>
    <s v="LC-0614"/>
    <n v="2020"/>
    <d v="2020-11-07T00:00:00"/>
    <s v="Western Pacific"/>
    <s v="Vietnam"/>
    <n v="64"/>
    <x v="1"/>
    <x v="2"/>
    <n v="0"/>
    <n v="0"/>
    <x v="1"/>
    <x v="0"/>
    <x v="0"/>
    <x v="0"/>
    <x v="1"/>
    <n v="16.600000000000001"/>
    <x v="1"/>
    <s v="No"/>
    <x v="0"/>
    <x v="0"/>
    <x v="0"/>
    <s v="No Mutation"/>
    <s v="No"/>
    <s v="No"/>
    <s v="No"/>
    <s v="No"/>
    <s v="Yes"/>
    <s v="No"/>
    <s v="No"/>
    <s v="No"/>
    <s v="No"/>
    <s v="No"/>
    <x v="1"/>
    <s v="Not Applicable"/>
    <x v="2"/>
    <n v="6.4"/>
    <s v="No"/>
    <s v="Chest X-Ray"/>
    <s v="Chemotherapy"/>
    <n v="28"/>
    <s v="No"/>
  </r>
  <r>
    <s v="LC-0615"/>
    <n v="2024"/>
    <d v="2024-10-16T00:00:00"/>
    <s v="Western Pacific"/>
    <s v="Singapore"/>
    <n v="51"/>
    <x v="1"/>
    <x v="2"/>
    <n v="0"/>
    <n v="0"/>
    <x v="0"/>
    <x v="0"/>
    <x v="0"/>
    <x v="0"/>
    <x v="0"/>
    <n v="30.8"/>
    <x v="0"/>
    <s v="No"/>
    <x v="0"/>
    <x v="1"/>
    <x v="1"/>
    <s v="KRAS"/>
    <s v="No"/>
    <s v="Yes"/>
    <s v="No"/>
    <s v="No"/>
    <s v="Yes"/>
    <s v="Yes"/>
    <s v="No"/>
    <s v="No"/>
    <s v="No"/>
    <s v="Yes"/>
    <x v="0"/>
    <s v="Adenocarcinoma"/>
    <x v="0"/>
    <n v="8.5"/>
    <s v="Yes"/>
    <s v="PET Scan"/>
    <s v="Chemo + Radiation"/>
    <n v="3"/>
    <s v="No"/>
  </r>
  <r>
    <s v="LC-0616"/>
    <n v="2021"/>
    <d v="2021-03-02T00:00:00"/>
    <s v="Eastern Mediterranean"/>
    <s v="Oman"/>
    <n v="68"/>
    <x v="1"/>
    <x v="1"/>
    <n v="3"/>
    <n v="2"/>
    <x v="1"/>
    <x v="0"/>
    <x v="1"/>
    <x v="1"/>
    <x v="2"/>
    <n v="26.5"/>
    <x v="0"/>
    <s v="Yes"/>
    <x v="0"/>
    <x v="0"/>
    <x v="0"/>
    <s v="TP53"/>
    <s v="Yes"/>
    <s v="Yes"/>
    <s v="Yes"/>
    <s v="No"/>
    <s v="Yes"/>
    <s v="No"/>
    <s v="No"/>
    <s v="No"/>
    <s v="No"/>
    <s v="No"/>
    <x v="0"/>
    <s v="Adenocarcinoma"/>
    <x v="0"/>
    <n v="7"/>
    <s v="Yes"/>
    <s v="Biopsy"/>
    <s v="Immunotherapy"/>
    <n v="10"/>
    <s v="No"/>
  </r>
  <r>
    <s v="LC-0617"/>
    <n v="2025"/>
    <d v="2025-02-26T00:00:00"/>
    <s v="Americas"/>
    <s v="Colombia"/>
    <n v="60"/>
    <x v="1"/>
    <x v="2"/>
    <n v="0"/>
    <n v="0"/>
    <x v="0"/>
    <x v="0"/>
    <x v="0"/>
    <x v="2"/>
    <x v="1"/>
    <n v="29"/>
    <x v="0"/>
    <s v="Yes"/>
    <x v="0"/>
    <x v="0"/>
    <x v="0"/>
    <s v="EGFR"/>
    <s v="No"/>
    <s v="Yes"/>
    <s v="No"/>
    <s v="Yes"/>
    <s v="Yes"/>
    <s v="Yes"/>
    <s v="No"/>
    <s v="No"/>
    <s v="No"/>
    <s v="Yes"/>
    <x v="0"/>
    <s v="Squamous Cell"/>
    <x v="1"/>
    <n v="3.2"/>
    <s v="No"/>
    <s v="LDCT Screening"/>
    <s v="Surgery"/>
    <n v="70"/>
    <s v="Yes"/>
  </r>
  <r>
    <s v="LC-0618"/>
    <n v="2019"/>
    <d v="2019-12-03T00:00:00"/>
    <s v="Western Pacific"/>
    <s v="Singapore"/>
    <n v="64"/>
    <x v="1"/>
    <x v="0"/>
    <n v="33"/>
    <n v="33"/>
    <x v="1"/>
    <x v="0"/>
    <x v="0"/>
    <x v="1"/>
    <x v="1"/>
    <n v="26.3"/>
    <x v="2"/>
    <s v="No"/>
    <x v="0"/>
    <x v="1"/>
    <x v="0"/>
    <s v="KRAS"/>
    <s v="Yes"/>
    <s v="Yes"/>
    <s v="Yes"/>
    <s v="No"/>
    <s v="No"/>
    <s v="Yes"/>
    <s v="No"/>
    <s v="Yes"/>
    <s v="No"/>
    <s v="No"/>
    <x v="0"/>
    <s v="Squamous Cell"/>
    <x v="1"/>
    <n v="2.4"/>
    <s v="No"/>
    <s v="LDCT Screening"/>
    <s v="Surgery"/>
    <n v="63"/>
    <s v="Yes"/>
  </r>
  <r>
    <s v="LC-0619"/>
    <n v="2019"/>
    <d v="2019-11-06T00:00:00"/>
    <s v="Eastern Mediterranean"/>
    <s v="Pakistan"/>
    <n v="67"/>
    <x v="1"/>
    <x v="0"/>
    <n v="16"/>
    <n v="34"/>
    <x v="1"/>
    <x v="0"/>
    <x v="0"/>
    <x v="0"/>
    <x v="2"/>
    <n v="24.6"/>
    <x v="1"/>
    <s v="No"/>
    <x v="0"/>
    <x v="0"/>
    <x v="0"/>
    <s v="No Mutation"/>
    <s v="Yes"/>
    <s v="Yes"/>
    <s v="Yes"/>
    <s v="No"/>
    <s v="No"/>
    <s v="No"/>
    <s v="No"/>
    <s v="Yes"/>
    <s v="No"/>
    <s v="No"/>
    <x v="0"/>
    <s v="Squamous Cell"/>
    <x v="2"/>
    <n v="5.0999999999999996"/>
    <s v="Yes"/>
    <s v="Biopsy"/>
    <s v="Chemo + Radiation"/>
    <n v="13"/>
    <s v="No"/>
  </r>
  <r>
    <s v="LC-0620"/>
    <n v="2015"/>
    <d v="2015-04-23T00:00:00"/>
    <s v="Western Pacific"/>
    <s v="New Zealand"/>
    <n v="60"/>
    <x v="0"/>
    <x v="1"/>
    <n v="25"/>
    <n v="13"/>
    <x v="1"/>
    <x v="1"/>
    <x v="0"/>
    <x v="0"/>
    <x v="2"/>
    <n v="26.7"/>
    <x v="0"/>
    <s v="No"/>
    <x v="0"/>
    <x v="0"/>
    <x v="0"/>
    <s v="TP53"/>
    <s v="No"/>
    <s v="No"/>
    <s v="No"/>
    <s v="Yes"/>
    <s v="Yes"/>
    <s v="No"/>
    <s v="No"/>
    <s v="Yes"/>
    <s v="No"/>
    <s v="No"/>
    <x v="0"/>
    <s v="Squamous Cell"/>
    <x v="0"/>
    <n v="3.5"/>
    <s v="Yes"/>
    <s v="CT Scan"/>
    <s v="Immunotherapy"/>
    <n v="6"/>
    <s v="No"/>
  </r>
  <r>
    <s v="LC-0621"/>
    <n v="2021"/>
    <d v="2021-08-17T00:00:00"/>
    <s v="Europe"/>
    <s v="Netherlands"/>
    <n v="63"/>
    <x v="1"/>
    <x v="0"/>
    <n v="38"/>
    <n v="37"/>
    <x v="0"/>
    <x v="0"/>
    <x v="1"/>
    <x v="2"/>
    <x v="1"/>
    <n v="28.9"/>
    <x v="2"/>
    <s v="No"/>
    <x v="0"/>
    <x v="0"/>
    <x v="0"/>
    <s v="TP53"/>
    <s v="Yes"/>
    <s v="Yes"/>
    <s v="Yes"/>
    <s v="No"/>
    <s v="No"/>
    <s v="No"/>
    <s v="No"/>
    <s v="Yes"/>
    <s v="No"/>
    <s v="Yes"/>
    <x v="0"/>
    <s v="Large Cell"/>
    <x v="2"/>
    <n v="4.2"/>
    <s v="No"/>
    <s v="Bronchoscopy"/>
    <s v="Chemotherapy"/>
    <n v="32"/>
    <s v="Yes"/>
  </r>
  <r>
    <s v="LC-0622"/>
    <n v="2016"/>
    <d v="2016-10-06T00:00:00"/>
    <s v="Eastern Mediterranean"/>
    <s v="Jordan"/>
    <n v="59"/>
    <x v="0"/>
    <x v="2"/>
    <n v="0"/>
    <n v="0"/>
    <x v="0"/>
    <x v="0"/>
    <x v="0"/>
    <x v="0"/>
    <x v="0"/>
    <n v="27"/>
    <x v="2"/>
    <s v="Yes"/>
    <x v="0"/>
    <x v="0"/>
    <x v="0"/>
    <s v="No Mutation"/>
    <s v="No"/>
    <s v="Yes"/>
    <s v="No"/>
    <s v="No"/>
    <s v="Yes"/>
    <s v="Yes"/>
    <s v="No"/>
    <s v="Yes"/>
    <s v="Yes"/>
    <s v="No"/>
    <x v="0"/>
    <s v="Large Cell"/>
    <x v="1"/>
    <n v="2.8"/>
    <s v="No"/>
    <s v="CT Scan"/>
    <s v="Radiotherapy"/>
    <n v="61"/>
    <s v="Yes"/>
  </r>
  <r>
    <s v="LC-0623"/>
    <n v="2019"/>
    <d v="2019-06-10T00:00:00"/>
    <s v="Americas"/>
    <s v="Chile"/>
    <n v="80"/>
    <x v="1"/>
    <x v="2"/>
    <n v="0"/>
    <n v="0"/>
    <x v="0"/>
    <x v="0"/>
    <x v="0"/>
    <x v="2"/>
    <x v="2"/>
    <n v="32.799999999999997"/>
    <x v="1"/>
    <s v="No"/>
    <x v="0"/>
    <x v="0"/>
    <x v="0"/>
    <s v="No Mutation"/>
    <s v="Yes"/>
    <s v="No"/>
    <s v="No"/>
    <s v="No"/>
    <s v="Yes"/>
    <s v="No"/>
    <s v="No"/>
    <s v="No"/>
    <s v="No"/>
    <s v="Yes"/>
    <x v="0"/>
    <s v="Large Cell"/>
    <x v="2"/>
    <n v="4.8"/>
    <s v="No"/>
    <s v="Biopsy"/>
    <s v="Chemo + Radiation"/>
    <n v="16"/>
    <s v="No"/>
  </r>
  <r>
    <s v="LC-0624"/>
    <n v="2017"/>
    <d v="2017-07-25T00:00:00"/>
    <s v="Europe"/>
    <s v="Russia"/>
    <n v="67"/>
    <x v="1"/>
    <x v="2"/>
    <n v="0"/>
    <n v="0"/>
    <x v="0"/>
    <x v="0"/>
    <x v="0"/>
    <x v="2"/>
    <x v="0"/>
    <n v="20.6"/>
    <x v="1"/>
    <s v="No"/>
    <x v="0"/>
    <x v="0"/>
    <x v="0"/>
    <s v="EGFR"/>
    <s v="No"/>
    <s v="Yes"/>
    <s v="No"/>
    <s v="Yes"/>
    <s v="Yes"/>
    <s v="Yes"/>
    <s v="No"/>
    <s v="Yes"/>
    <s v="No"/>
    <s v="No"/>
    <x v="0"/>
    <s v="Adenocarcinoma"/>
    <x v="0"/>
    <n v="7.1"/>
    <s v="Yes"/>
    <s v="Chest X-Ray"/>
    <s v="Immunotherapy"/>
    <n v="10"/>
    <s v="No"/>
  </r>
  <r>
    <s v="LC-0625"/>
    <n v="2020"/>
    <d v="2020-11-20T00:00:00"/>
    <s v="Western Pacific"/>
    <s v="China"/>
    <n v="52"/>
    <x v="1"/>
    <x v="0"/>
    <n v="20"/>
    <n v="24"/>
    <x v="0"/>
    <x v="0"/>
    <x v="0"/>
    <x v="1"/>
    <x v="1"/>
    <n v="35.1"/>
    <x v="0"/>
    <s v="No"/>
    <x v="0"/>
    <x v="0"/>
    <x v="0"/>
    <s v="TP53"/>
    <s v="Yes"/>
    <s v="Yes"/>
    <s v="Yes"/>
    <s v="No"/>
    <s v="No"/>
    <s v="Yes"/>
    <s v="No"/>
    <s v="No"/>
    <s v="No"/>
    <s v="No"/>
    <x v="0"/>
    <s v="Squamous Cell"/>
    <x v="1"/>
    <n v="1.1000000000000001"/>
    <s v="No"/>
    <s v="PET Scan"/>
    <s v="Surgery + Chemotherapy"/>
    <n v="96"/>
    <s v="Yes"/>
  </r>
  <r>
    <s v="LC-0626"/>
    <n v="2025"/>
    <d v="2025-11-21T00:00:00"/>
    <s v="Western Pacific"/>
    <s v="Vietnam"/>
    <n v="81"/>
    <x v="1"/>
    <x v="0"/>
    <n v="28"/>
    <n v="36"/>
    <x v="1"/>
    <x v="1"/>
    <x v="1"/>
    <x v="0"/>
    <x v="0"/>
    <n v="23.5"/>
    <x v="1"/>
    <s v="Yes"/>
    <x v="0"/>
    <x v="0"/>
    <x v="0"/>
    <s v="TP53"/>
    <s v="No"/>
    <s v="Yes"/>
    <s v="No"/>
    <s v="No"/>
    <s v="Yes"/>
    <s v="No"/>
    <s v="No"/>
    <s v="Yes"/>
    <s v="No"/>
    <s v="No"/>
    <x v="0"/>
    <s v="Adenocarcinoma"/>
    <x v="2"/>
    <n v="7.5"/>
    <s v="No"/>
    <s v="Bronchoscopy"/>
    <s v="Targeted Therapy"/>
    <n v="12"/>
    <s v="Yes"/>
  </r>
  <r>
    <s v="LC-0627"/>
    <n v="2023"/>
    <d v="2023-02-11T00:00:00"/>
    <s v="Western Pacific"/>
    <s v="Japan"/>
    <n v="79"/>
    <x v="0"/>
    <x v="2"/>
    <n v="0"/>
    <n v="0"/>
    <x v="0"/>
    <x v="0"/>
    <x v="0"/>
    <x v="1"/>
    <x v="0"/>
    <n v="23.5"/>
    <x v="2"/>
    <s v="No"/>
    <x v="0"/>
    <x v="0"/>
    <x v="0"/>
    <s v="KRAS"/>
    <s v="Yes"/>
    <s v="No"/>
    <s v="No"/>
    <s v="No"/>
    <s v="No"/>
    <s v="Yes"/>
    <s v="No"/>
    <s v="Yes"/>
    <s v="No"/>
    <s v="No"/>
    <x v="0"/>
    <s v="Adenocarcinoma"/>
    <x v="3"/>
    <n v="3.4"/>
    <s v="No"/>
    <s v="Bronchoscopy"/>
    <s v="Surgery + Chemotherapy"/>
    <n v="53"/>
    <s v="No"/>
  </r>
  <r>
    <s v="LC-0628"/>
    <n v="2015"/>
    <d v="2015-09-22T00:00:00"/>
    <s v="Western Pacific"/>
    <s v="Malaysia"/>
    <n v="68"/>
    <x v="0"/>
    <x v="2"/>
    <n v="0"/>
    <n v="0"/>
    <x v="0"/>
    <x v="1"/>
    <x v="0"/>
    <x v="0"/>
    <x v="2"/>
    <n v="27.9"/>
    <x v="1"/>
    <s v="No"/>
    <x v="0"/>
    <x v="0"/>
    <x v="0"/>
    <s v="KRAS"/>
    <s v="No"/>
    <s v="Yes"/>
    <s v="No"/>
    <s v="No"/>
    <s v="Yes"/>
    <s v="No"/>
    <s v="No"/>
    <s v="Yes"/>
    <s v="Yes"/>
    <s v="No"/>
    <x v="0"/>
    <s v="Squamous Cell"/>
    <x v="3"/>
    <n v="3.9"/>
    <s v="No"/>
    <s v="CT Scan"/>
    <s v="Surgery"/>
    <n v="57"/>
    <s v="No"/>
  </r>
  <r>
    <s v="LC-0629"/>
    <n v="2018"/>
    <d v="2018-05-09T00:00:00"/>
    <s v="Western Pacific"/>
    <s v="Mongolia"/>
    <n v="61"/>
    <x v="1"/>
    <x v="2"/>
    <n v="0"/>
    <n v="0"/>
    <x v="1"/>
    <x v="1"/>
    <x v="0"/>
    <x v="2"/>
    <x v="0"/>
    <n v="27.4"/>
    <x v="1"/>
    <s v="No"/>
    <x v="0"/>
    <x v="0"/>
    <x v="0"/>
    <s v="No Mutation"/>
    <s v="No"/>
    <s v="Yes"/>
    <s v="No"/>
    <s v="Yes"/>
    <s v="Yes"/>
    <s v="Yes"/>
    <s v="No"/>
    <s v="No"/>
    <s v="No"/>
    <s v="No"/>
    <x v="0"/>
    <s v="Adenocarcinoma"/>
    <x v="3"/>
    <n v="2.2000000000000002"/>
    <s v="No"/>
    <s v="PET Scan"/>
    <s v="Targeted Therapy"/>
    <n v="21"/>
    <s v="No"/>
  </r>
  <r>
    <s v="LC-0630"/>
    <n v="2024"/>
    <d v="2024-03-11T00:00:00"/>
    <s v="Western Pacific"/>
    <s v="Japan"/>
    <n v="70"/>
    <x v="0"/>
    <x v="2"/>
    <n v="0"/>
    <n v="0"/>
    <x v="0"/>
    <x v="0"/>
    <x v="0"/>
    <x v="2"/>
    <x v="0"/>
    <n v="25.1"/>
    <x v="0"/>
    <s v="No"/>
    <x v="0"/>
    <x v="0"/>
    <x v="0"/>
    <s v="EGFR"/>
    <s v="No"/>
    <s v="No"/>
    <s v="Yes"/>
    <s v="Yes"/>
    <s v="Yes"/>
    <s v="Yes"/>
    <s v="No"/>
    <s v="Yes"/>
    <s v="No"/>
    <s v="No"/>
    <x v="1"/>
    <s v="Not Applicable"/>
    <x v="1"/>
    <n v="2.8"/>
    <s v="No"/>
    <s v="LDCT Screening"/>
    <s v="Radiotherapy"/>
    <n v="54"/>
    <s v="No"/>
  </r>
  <r>
    <s v="LC-0631"/>
    <n v="2017"/>
    <d v="2017-10-22T00:00:00"/>
    <s v="South-East Asia"/>
    <s v="Indonesia"/>
    <n v="77"/>
    <x v="1"/>
    <x v="0"/>
    <n v="13"/>
    <n v="26"/>
    <x v="1"/>
    <x v="0"/>
    <x v="0"/>
    <x v="0"/>
    <x v="1"/>
    <n v="31.8"/>
    <x v="1"/>
    <s v="Yes"/>
    <x v="0"/>
    <x v="0"/>
    <x v="0"/>
    <s v="ROS1"/>
    <s v="Yes"/>
    <s v="Yes"/>
    <s v="Yes"/>
    <s v="No"/>
    <s v="No"/>
    <s v="Yes"/>
    <s v="No"/>
    <s v="No"/>
    <s v="No"/>
    <s v="No"/>
    <x v="0"/>
    <s v="Adenocarcinoma"/>
    <x v="2"/>
    <n v="4.0999999999999996"/>
    <s v="Yes"/>
    <s v="PET Scan"/>
    <s v="Immunotherapy"/>
    <n v="27"/>
    <s v="No"/>
  </r>
  <r>
    <s v="LC-0632"/>
    <n v="2019"/>
    <d v="2019-06-10T00:00:00"/>
    <s v="Americas"/>
    <s v="Chile"/>
    <n v="77"/>
    <x v="1"/>
    <x v="2"/>
    <n v="0"/>
    <n v="0"/>
    <x v="0"/>
    <x v="0"/>
    <x v="0"/>
    <x v="2"/>
    <x v="2"/>
    <n v="40"/>
    <x v="2"/>
    <s v="No"/>
    <x v="0"/>
    <x v="0"/>
    <x v="0"/>
    <s v="EGFR"/>
    <s v="No"/>
    <s v="No"/>
    <s v="No"/>
    <s v="No"/>
    <s v="No"/>
    <s v="No"/>
    <s v="Yes"/>
    <s v="No"/>
    <s v="Yes"/>
    <s v="No"/>
    <x v="0"/>
    <s v="Adenocarcinoma"/>
    <x v="2"/>
    <n v="6"/>
    <s v="No"/>
    <s v="Bronchoscopy"/>
    <s v="Chemo + Radiation"/>
    <n v="20"/>
    <s v="No"/>
  </r>
  <r>
    <s v="LC-0633"/>
    <n v="2019"/>
    <d v="2019-03-20T00:00:00"/>
    <s v="Western Pacific"/>
    <s v="Japan"/>
    <n v="67"/>
    <x v="0"/>
    <x v="0"/>
    <n v="7"/>
    <n v="30"/>
    <x v="0"/>
    <x v="0"/>
    <x v="0"/>
    <x v="1"/>
    <x v="0"/>
    <n v="26.5"/>
    <x v="0"/>
    <s v="Yes"/>
    <x v="0"/>
    <x v="0"/>
    <x v="0"/>
    <s v="No Mutation"/>
    <s v="Yes"/>
    <s v="Yes"/>
    <s v="Yes"/>
    <s v="Yes"/>
    <s v="Yes"/>
    <s v="Yes"/>
    <s v="No"/>
    <s v="No"/>
    <s v="No"/>
    <s v="No"/>
    <x v="0"/>
    <s v="Adenocarcinoma"/>
    <x v="0"/>
    <n v="9"/>
    <s v="Yes"/>
    <s v="Biopsy"/>
    <s v="Targeted Therapy"/>
    <n v="15"/>
    <s v="No"/>
  </r>
  <r>
    <s v="LC-0634"/>
    <n v="2025"/>
    <d v="2025-05-18T00:00:00"/>
    <s v="Americas"/>
    <s v="Chile"/>
    <n v="49"/>
    <x v="0"/>
    <x v="2"/>
    <n v="0"/>
    <n v="0"/>
    <x v="0"/>
    <x v="0"/>
    <x v="0"/>
    <x v="0"/>
    <x v="0"/>
    <n v="25.1"/>
    <x v="0"/>
    <s v="No"/>
    <x v="0"/>
    <x v="0"/>
    <x v="0"/>
    <s v="No Mutation"/>
    <s v="No"/>
    <s v="No"/>
    <s v="Yes"/>
    <s v="Yes"/>
    <s v="Yes"/>
    <s v="Yes"/>
    <s v="No"/>
    <s v="No"/>
    <s v="No"/>
    <s v="No"/>
    <x v="1"/>
    <s v="Not Applicable"/>
    <x v="0"/>
    <n v="5.9"/>
    <s v="Yes"/>
    <s v="CT Scan"/>
    <s v="Immunotherapy"/>
    <n v="4"/>
    <s v="No"/>
  </r>
  <r>
    <s v="LC-0635"/>
    <n v="2022"/>
    <d v="2022-11-26T00:00:00"/>
    <s v="Americas"/>
    <s v="Colombia"/>
    <n v="66"/>
    <x v="0"/>
    <x v="2"/>
    <n v="0"/>
    <n v="0"/>
    <x v="0"/>
    <x v="0"/>
    <x v="0"/>
    <x v="2"/>
    <x v="1"/>
    <n v="25.5"/>
    <x v="0"/>
    <s v="No"/>
    <x v="0"/>
    <x v="0"/>
    <x v="1"/>
    <s v="ALK"/>
    <s v="No"/>
    <s v="No"/>
    <s v="No"/>
    <s v="No"/>
    <s v="No"/>
    <s v="No"/>
    <s v="No"/>
    <s v="Yes"/>
    <s v="Yes"/>
    <s v="No"/>
    <x v="0"/>
    <s v="Squamous Cell"/>
    <x v="2"/>
    <n v="7.7"/>
    <s v="No"/>
    <s v="Chest X-Ray"/>
    <s v="Surgery + Chemotherapy"/>
    <n v="16"/>
    <s v="No"/>
  </r>
  <r>
    <s v="LC-0636"/>
    <n v="2021"/>
    <d v="2021-03-22T00:00:00"/>
    <s v="Eastern Mediterranean"/>
    <s v="Qatar"/>
    <n v="57"/>
    <x v="1"/>
    <x v="2"/>
    <n v="0"/>
    <n v="0"/>
    <x v="0"/>
    <x v="0"/>
    <x v="1"/>
    <x v="1"/>
    <x v="2"/>
    <n v="34.700000000000003"/>
    <x v="0"/>
    <s v="Yes"/>
    <x v="0"/>
    <x v="0"/>
    <x v="0"/>
    <s v="TP53"/>
    <s v="Yes"/>
    <s v="No"/>
    <s v="No"/>
    <s v="No"/>
    <s v="Yes"/>
    <s v="No"/>
    <s v="No"/>
    <s v="No"/>
    <s v="Yes"/>
    <s v="No"/>
    <x v="0"/>
    <s v="Adenocarcinoma"/>
    <x v="1"/>
    <n v="2.9"/>
    <s v="No"/>
    <s v="CT Scan"/>
    <s v="Surgery"/>
    <n v="31"/>
    <s v="Yes"/>
  </r>
  <r>
    <s v="LC-0637"/>
    <n v="2020"/>
    <d v="2020-02-21T00:00:00"/>
    <s v="Americas"/>
    <s v="Chile"/>
    <n v="38"/>
    <x v="0"/>
    <x v="2"/>
    <n v="0"/>
    <n v="0"/>
    <x v="1"/>
    <x v="0"/>
    <x v="0"/>
    <x v="2"/>
    <x v="1"/>
    <n v="22"/>
    <x v="2"/>
    <s v="No"/>
    <x v="0"/>
    <x v="0"/>
    <x v="0"/>
    <s v="EGFR"/>
    <s v="No"/>
    <s v="No"/>
    <s v="Yes"/>
    <s v="No"/>
    <s v="No"/>
    <s v="Yes"/>
    <s v="Yes"/>
    <s v="No"/>
    <s v="No"/>
    <s v="No"/>
    <x v="0"/>
    <s v="Adenocarcinoma"/>
    <x v="0"/>
    <n v="7.1"/>
    <s v="Yes"/>
    <s v="Biopsy"/>
    <s v="Immunotherapy"/>
    <n v="11"/>
    <s v="No"/>
  </r>
  <r>
    <s v="LC-0638"/>
    <n v="2018"/>
    <d v="2018-09-12T00:00:00"/>
    <s v="Western Pacific"/>
    <s v="China"/>
    <n v="54"/>
    <x v="0"/>
    <x v="2"/>
    <n v="0"/>
    <n v="0"/>
    <x v="0"/>
    <x v="0"/>
    <x v="1"/>
    <x v="2"/>
    <x v="2"/>
    <n v="25.4"/>
    <x v="2"/>
    <s v="No"/>
    <x v="0"/>
    <x v="0"/>
    <x v="0"/>
    <s v="ROS1"/>
    <s v="No"/>
    <s v="Yes"/>
    <s v="No"/>
    <s v="No"/>
    <s v="Yes"/>
    <s v="Yes"/>
    <s v="No"/>
    <s v="No"/>
    <s v="Yes"/>
    <s v="No"/>
    <x v="1"/>
    <s v="Not Applicable"/>
    <x v="3"/>
    <n v="3.9"/>
    <s v="No"/>
    <s v="CT Scan"/>
    <s v="Chemotherapy"/>
    <n v="36"/>
    <s v="No"/>
  </r>
  <r>
    <s v="LC-0639"/>
    <n v="2023"/>
    <d v="2023-06-10T00:00:00"/>
    <s v="Americas"/>
    <s v="Brazil"/>
    <n v="54"/>
    <x v="0"/>
    <x v="2"/>
    <n v="0"/>
    <n v="0"/>
    <x v="0"/>
    <x v="0"/>
    <x v="1"/>
    <x v="0"/>
    <x v="0"/>
    <n v="23"/>
    <x v="1"/>
    <s v="Yes"/>
    <x v="0"/>
    <x v="0"/>
    <x v="0"/>
    <s v="EGFR"/>
    <s v="No"/>
    <s v="Yes"/>
    <s v="Yes"/>
    <s v="No"/>
    <s v="No"/>
    <s v="Yes"/>
    <s v="Yes"/>
    <s v="No"/>
    <s v="No"/>
    <s v="No"/>
    <x v="0"/>
    <s v="Adenocarcinoma"/>
    <x v="1"/>
    <n v="3.3"/>
    <s v="No"/>
    <s v="CT Scan"/>
    <s v="Surgery + Chemotherapy"/>
    <n v="61"/>
    <s v="No"/>
  </r>
  <r>
    <s v="LC-0640"/>
    <n v="2018"/>
    <d v="2018-04-11T00:00:00"/>
    <s v="Eastern Mediterranean"/>
    <s v="Oman"/>
    <n v="59"/>
    <x v="0"/>
    <x v="2"/>
    <n v="0"/>
    <n v="0"/>
    <x v="1"/>
    <x v="0"/>
    <x v="0"/>
    <x v="2"/>
    <x v="2"/>
    <n v="24.4"/>
    <x v="1"/>
    <s v="No"/>
    <x v="0"/>
    <x v="0"/>
    <x v="0"/>
    <s v="EGFR"/>
    <s v="Yes"/>
    <s v="No"/>
    <s v="No"/>
    <s v="No"/>
    <s v="Yes"/>
    <s v="No"/>
    <s v="No"/>
    <s v="No"/>
    <s v="No"/>
    <s v="No"/>
    <x v="0"/>
    <s v="Adenocarcinoma"/>
    <x v="3"/>
    <n v="4.4000000000000004"/>
    <s v="No"/>
    <s v="MRI"/>
    <s v="Surgery + Chemotherapy"/>
    <n v="28"/>
    <s v="Yes"/>
  </r>
  <r>
    <s v="LC-0641"/>
    <n v="2022"/>
    <d v="2022-04-08T00:00:00"/>
    <s v="Western Pacific"/>
    <s v="South Korea"/>
    <n v="70"/>
    <x v="1"/>
    <x v="1"/>
    <n v="16"/>
    <n v="14"/>
    <x v="0"/>
    <x v="0"/>
    <x v="1"/>
    <x v="2"/>
    <x v="0"/>
    <n v="24.6"/>
    <x v="1"/>
    <s v="Yes"/>
    <x v="0"/>
    <x v="0"/>
    <x v="0"/>
    <s v="KRAS"/>
    <s v="No"/>
    <s v="Yes"/>
    <s v="No"/>
    <s v="No"/>
    <s v="No"/>
    <s v="No"/>
    <s v="No"/>
    <s v="Yes"/>
    <s v="No"/>
    <s v="Yes"/>
    <x v="0"/>
    <s v="Squamous Cell"/>
    <x v="0"/>
    <n v="7.8"/>
    <s v="Yes"/>
    <s v="Biopsy"/>
    <s v="Targeted Therapy"/>
    <n v="1"/>
    <s v="No"/>
  </r>
  <r>
    <s v="LC-0642"/>
    <n v="2022"/>
    <d v="2022-03-03T00:00:00"/>
    <s v="Western Pacific"/>
    <s v="Philippines"/>
    <n v="41"/>
    <x v="1"/>
    <x v="2"/>
    <n v="0"/>
    <n v="0"/>
    <x v="0"/>
    <x v="1"/>
    <x v="0"/>
    <x v="1"/>
    <x v="0"/>
    <n v="27.6"/>
    <x v="1"/>
    <s v="No"/>
    <x v="0"/>
    <x v="0"/>
    <x v="0"/>
    <s v="BRAF"/>
    <s v="Yes"/>
    <s v="No"/>
    <s v="No"/>
    <s v="No"/>
    <s v="Yes"/>
    <s v="Yes"/>
    <s v="No"/>
    <s v="No"/>
    <s v="Yes"/>
    <s v="No"/>
    <x v="0"/>
    <s v="Adenocarcinoma"/>
    <x v="2"/>
    <n v="4.3"/>
    <s v="No"/>
    <s v="CT Scan"/>
    <s v="Immunotherapy"/>
    <n v="18"/>
    <s v="No"/>
  </r>
  <r>
    <s v="LC-0643"/>
    <n v="2023"/>
    <d v="2023-02-17T00:00:00"/>
    <s v="South-East Asia"/>
    <s v="Timor-Leste"/>
    <n v="77"/>
    <x v="0"/>
    <x v="1"/>
    <n v="25"/>
    <n v="23"/>
    <x v="1"/>
    <x v="1"/>
    <x v="0"/>
    <x v="1"/>
    <x v="0"/>
    <n v="24.8"/>
    <x v="0"/>
    <s v="Yes"/>
    <x v="0"/>
    <x v="0"/>
    <x v="0"/>
    <s v="TP53"/>
    <s v="No"/>
    <s v="No"/>
    <s v="Yes"/>
    <s v="No"/>
    <s v="Yes"/>
    <s v="No"/>
    <s v="No"/>
    <s v="No"/>
    <s v="No"/>
    <s v="No"/>
    <x v="0"/>
    <s v="Squamous Cell"/>
    <x v="0"/>
    <n v="7.2"/>
    <s v="Yes"/>
    <s v="PET Scan"/>
    <s v="Chemo + Radiation"/>
    <n v="10"/>
    <s v="No"/>
  </r>
  <r>
    <s v="LC-0644"/>
    <n v="2025"/>
    <d v="2025-12-17T00:00:00"/>
    <s v="Western Pacific"/>
    <s v="China"/>
    <n v="51"/>
    <x v="0"/>
    <x v="2"/>
    <n v="0"/>
    <n v="0"/>
    <x v="0"/>
    <x v="0"/>
    <x v="0"/>
    <x v="0"/>
    <x v="2"/>
    <n v="27.5"/>
    <x v="2"/>
    <s v="No"/>
    <x v="0"/>
    <x v="0"/>
    <x v="0"/>
    <s v="EGFR"/>
    <s v="No"/>
    <s v="Yes"/>
    <s v="No"/>
    <s v="No"/>
    <s v="Yes"/>
    <s v="No"/>
    <s v="No"/>
    <s v="Yes"/>
    <s v="No"/>
    <s v="No"/>
    <x v="0"/>
    <s v="Adenocarcinoma"/>
    <x v="2"/>
    <n v="4.0999999999999996"/>
    <s v="No"/>
    <s v="CT Scan"/>
    <s v="Chemo + Radiation"/>
    <n v="3"/>
    <s v="No"/>
  </r>
  <r>
    <s v="LC-0645"/>
    <n v="2020"/>
    <d v="2020-11-11T00:00:00"/>
    <s v="Western Pacific"/>
    <s v="Mongolia"/>
    <n v="64"/>
    <x v="1"/>
    <x v="0"/>
    <n v="48"/>
    <n v="31"/>
    <x v="1"/>
    <x v="0"/>
    <x v="0"/>
    <x v="1"/>
    <x v="2"/>
    <n v="33.299999999999997"/>
    <x v="2"/>
    <s v="Yes"/>
    <x v="0"/>
    <x v="0"/>
    <x v="0"/>
    <s v="TP53"/>
    <s v="Yes"/>
    <s v="Yes"/>
    <s v="No"/>
    <s v="No"/>
    <s v="Yes"/>
    <s v="Yes"/>
    <s v="Yes"/>
    <s v="No"/>
    <s v="No"/>
    <s v="Yes"/>
    <x v="0"/>
    <s v="Squamous Cell"/>
    <x v="2"/>
    <n v="4.9000000000000004"/>
    <s v="No"/>
    <s v="PET Scan"/>
    <s v="Chemotherapy"/>
    <n v="28"/>
    <s v="No"/>
  </r>
  <r>
    <s v="LC-0646"/>
    <n v="2015"/>
    <d v="2015-03-20T00:00:00"/>
    <s v="Eastern Mediterranean"/>
    <s v="Lebanon"/>
    <n v="53"/>
    <x v="1"/>
    <x v="2"/>
    <n v="0"/>
    <n v="0"/>
    <x v="1"/>
    <x v="0"/>
    <x v="0"/>
    <x v="0"/>
    <x v="2"/>
    <n v="24.1"/>
    <x v="1"/>
    <s v="No"/>
    <x v="0"/>
    <x v="0"/>
    <x v="0"/>
    <s v="KRAS"/>
    <s v="No"/>
    <s v="No"/>
    <s v="No"/>
    <s v="No"/>
    <s v="No"/>
    <s v="No"/>
    <s v="Yes"/>
    <s v="Yes"/>
    <s v="No"/>
    <s v="No"/>
    <x v="0"/>
    <s v="Large Cell"/>
    <x v="2"/>
    <n v="5.7"/>
    <s v="No"/>
    <s v="CT Scan"/>
    <s v="Immunotherapy"/>
    <n v="27"/>
    <s v="No"/>
  </r>
  <r>
    <s v="LC-0647"/>
    <n v="2018"/>
    <d v="2018-03-06T00:00:00"/>
    <s v="Eastern Mediterranean"/>
    <s v="Saudi Arabia"/>
    <n v="64"/>
    <x v="1"/>
    <x v="0"/>
    <n v="21"/>
    <n v="38"/>
    <x v="0"/>
    <x v="1"/>
    <x v="0"/>
    <x v="1"/>
    <x v="2"/>
    <n v="27.6"/>
    <x v="1"/>
    <s v="Yes"/>
    <x v="1"/>
    <x v="0"/>
    <x v="0"/>
    <s v="No Mutation"/>
    <s v="Yes"/>
    <s v="Yes"/>
    <s v="No"/>
    <s v="No"/>
    <s v="Yes"/>
    <s v="No"/>
    <s v="No"/>
    <s v="No"/>
    <s v="No"/>
    <s v="No"/>
    <x v="0"/>
    <s v="Adenocarcinoma"/>
    <x v="3"/>
    <n v="3.8"/>
    <s v="No"/>
    <s v="CT Scan"/>
    <s v="Surgery + Chemotherapy"/>
    <n v="20"/>
    <s v="No"/>
  </r>
  <r>
    <s v="LC-0648"/>
    <n v="2016"/>
    <d v="2016-12-25T00:00:00"/>
    <s v="South-East Asia"/>
    <s v="Bhutan"/>
    <n v="43"/>
    <x v="0"/>
    <x v="2"/>
    <n v="0"/>
    <n v="0"/>
    <x v="0"/>
    <x v="0"/>
    <x v="0"/>
    <x v="1"/>
    <x v="0"/>
    <n v="24.3"/>
    <x v="1"/>
    <s v="No"/>
    <x v="0"/>
    <x v="0"/>
    <x v="0"/>
    <s v="No Mutation"/>
    <s v="No"/>
    <s v="No"/>
    <s v="No"/>
    <s v="No"/>
    <s v="Yes"/>
    <s v="No"/>
    <s v="No"/>
    <s v="Yes"/>
    <s v="No"/>
    <s v="No"/>
    <x v="0"/>
    <s v="Adenocarcinoma"/>
    <x v="1"/>
    <n v="2.1"/>
    <s v="No"/>
    <s v="LDCT Screening"/>
    <s v="Surgery"/>
    <n v="50"/>
    <s v="Yes"/>
  </r>
  <r>
    <s v="LC-0649"/>
    <n v="2015"/>
    <d v="2015-03-24T00:00:00"/>
    <s v="Americas"/>
    <s v="Peru"/>
    <n v="67"/>
    <x v="1"/>
    <x v="2"/>
    <n v="0"/>
    <n v="0"/>
    <x v="0"/>
    <x v="1"/>
    <x v="0"/>
    <x v="0"/>
    <x v="0"/>
    <n v="24.4"/>
    <x v="0"/>
    <s v="No"/>
    <x v="0"/>
    <x v="1"/>
    <x v="0"/>
    <s v="ROS1"/>
    <s v="Yes"/>
    <s v="No"/>
    <s v="No"/>
    <s v="No"/>
    <s v="Yes"/>
    <s v="No"/>
    <s v="No"/>
    <s v="No"/>
    <s v="No"/>
    <s v="Yes"/>
    <x v="0"/>
    <s v="Adenocarcinoma"/>
    <x v="3"/>
    <n v="3.5"/>
    <s v="No"/>
    <s v="Chest X-Ray"/>
    <s v="Radiotherapy"/>
    <n v="59"/>
    <s v="No"/>
  </r>
  <r>
    <s v="LC-0650"/>
    <n v="2020"/>
    <d v="2020-01-14T00:00:00"/>
    <s v="Western Pacific"/>
    <s v="Vietnam"/>
    <n v="55"/>
    <x v="1"/>
    <x v="2"/>
    <n v="0"/>
    <n v="0"/>
    <x v="1"/>
    <x v="1"/>
    <x v="0"/>
    <x v="0"/>
    <x v="1"/>
    <n v="21.2"/>
    <x v="1"/>
    <s v="Yes"/>
    <x v="0"/>
    <x v="0"/>
    <x v="0"/>
    <s v="No Mutation"/>
    <s v="Yes"/>
    <s v="No"/>
    <s v="No"/>
    <s v="No"/>
    <s v="Yes"/>
    <s v="No"/>
    <s v="No"/>
    <s v="No"/>
    <s v="No"/>
    <s v="No"/>
    <x v="0"/>
    <s v="Squamous Cell"/>
    <x v="0"/>
    <n v="9.1"/>
    <s v="Yes"/>
    <s v="Biopsy"/>
    <s v="Immunotherapy"/>
    <n v="1"/>
    <s v="No"/>
  </r>
  <r>
    <s v="LC-0651"/>
    <n v="2021"/>
    <d v="2021-11-24T00:00:00"/>
    <s v="Americas"/>
    <s v="Mexico"/>
    <n v="74"/>
    <x v="1"/>
    <x v="2"/>
    <n v="0"/>
    <n v="0"/>
    <x v="1"/>
    <x v="0"/>
    <x v="1"/>
    <x v="2"/>
    <x v="0"/>
    <n v="24.4"/>
    <x v="2"/>
    <s v="No"/>
    <x v="0"/>
    <x v="0"/>
    <x v="0"/>
    <s v="EGFR"/>
    <s v="Yes"/>
    <s v="No"/>
    <s v="No"/>
    <s v="No"/>
    <s v="No"/>
    <s v="No"/>
    <s v="No"/>
    <s v="Yes"/>
    <s v="No"/>
    <s v="No"/>
    <x v="0"/>
    <s v="Adenocarcinoma"/>
    <x v="2"/>
    <n v="6.9"/>
    <s v="Yes"/>
    <s v="LDCT Screening"/>
    <s v="Chemotherapy"/>
    <n v="7"/>
    <s v="No"/>
  </r>
  <r>
    <s v="LC-0652"/>
    <n v="2017"/>
    <d v="2017-08-20T00:00:00"/>
    <s v="Europe"/>
    <s v="Spain"/>
    <n v="83"/>
    <x v="0"/>
    <x v="2"/>
    <n v="0"/>
    <n v="0"/>
    <x v="0"/>
    <x v="0"/>
    <x v="0"/>
    <x v="2"/>
    <x v="0"/>
    <n v="24.1"/>
    <x v="2"/>
    <s v="No"/>
    <x v="0"/>
    <x v="1"/>
    <x v="0"/>
    <s v="ROS1"/>
    <s v="No"/>
    <s v="No"/>
    <s v="No"/>
    <s v="No"/>
    <s v="No"/>
    <s v="Yes"/>
    <s v="Yes"/>
    <s v="No"/>
    <s v="Yes"/>
    <s v="No"/>
    <x v="0"/>
    <s v="Adenocarcinoma"/>
    <x v="2"/>
    <n v="5.8"/>
    <s v="No"/>
    <s v="PET Scan"/>
    <s v="Chemotherapy"/>
    <n v="27"/>
    <s v="No"/>
  </r>
  <r>
    <s v="LC-0653"/>
    <n v="2025"/>
    <d v="2025-12-26T00:00:00"/>
    <s v="Western Pacific"/>
    <s v="New Zealand"/>
    <n v="63"/>
    <x v="1"/>
    <x v="2"/>
    <n v="0"/>
    <n v="0"/>
    <x v="0"/>
    <x v="1"/>
    <x v="0"/>
    <x v="0"/>
    <x v="2"/>
    <n v="33.5"/>
    <x v="2"/>
    <s v="No"/>
    <x v="0"/>
    <x v="0"/>
    <x v="0"/>
    <s v="KRAS"/>
    <s v="No"/>
    <s v="No"/>
    <s v="No"/>
    <s v="No"/>
    <s v="Yes"/>
    <s v="No"/>
    <s v="No"/>
    <s v="Yes"/>
    <s v="Yes"/>
    <s v="No"/>
    <x v="0"/>
    <s v="Adenocarcinoma"/>
    <x v="2"/>
    <n v="5.4"/>
    <s v="Yes"/>
    <s v="PET Scan"/>
    <s v="Surgery + Chemotherapy"/>
    <n v="7"/>
    <s v="No"/>
  </r>
  <r>
    <s v="LC-0654"/>
    <n v="2020"/>
    <d v="2020-04-18T00:00:00"/>
    <s v="Western Pacific"/>
    <s v="Australia"/>
    <n v="60"/>
    <x v="1"/>
    <x v="2"/>
    <n v="0"/>
    <n v="0"/>
    <x v="0"/>
    <x v="0"/>
    <x v="0"/>
    <x v="1"/>
    <x v="0"/>
    <n v="24.2"/>
    <x v="0"/>
    <s v="No"/>
    <x v="0"/>
    <x v="0"/>
    <x v="0"/>
    <s v="No Mutation"/>
    <s v="Yes"/>
    <s v="No"/>
    <s v="Yes"/>
    <s v="No"/>
    <s v="Yes"/>
    <s v="Yes"/>
    <s v="No"/>
    <s v="No"/>
    <s v="No"/>
    <s v="No"/>
    <x v="0"/>
    <s v="Adenocarcinoma"/>
    <x v="1"/>
    <n v="2.1"/>
    <s v="No"/>
    <s v="CT Scan"/>
    <s v="Immunotherapy"/>
    <n v="70"/>
    <s v="Yes"/>
  </r>
  <r>
    <s v="LC-0655"/>
    <n v="2021"/>
    <d v="2021-05-26T00:00:00"/>
    <s v="Western Pacific"/>
    <s v="New Zealand"/>
    <n v="68"/>
    <x v="1"/>
    <x v="2"/>
    <n v="0"/>
    <n v="0"/>
    <x v="0"/>
    <x v="0"/>
    <x v="0"/>
    <x v="1"/>
    <x v="2"/>
    <n v="16"/>
    <x v="1"/>
    <s v="No"/>
    <x v="0"/>
    <x v="0"/>
    <x v="0"/>
    <s v="EGFR"/>
    <s v="Yes"/>
    <s v="No"/>
    <s v="No"/>
    <s v="No"/>
    <s v="No"/>
    <s v="No"/>
    <s v="No"/>
    <s v="Yes"/>
    <s v="Yes"/>
    <s v="No"/>
    <x v="0"/>
    <s v="Adenocarcinoma"/>
    <x v="2"/>
    <n v="6.4"/>
    <s v="No"/>
    <s v="Bronchoscopy"/>
    <s v="Chemotherapy"/>
    <n v="21"/>
    <s v="No"/>
  </r>
  <r>
    <s v="LC-0656"/>
    <n v="2023"/>
    <d v="2023-04-12T00:00:00"/>
    <s v="Western Pacific"/>
    <s v="Mongolia"/>
    <n v="55"/>
    <x v="0"/>
    <x v="0"/>
    <n v="39"/>
    <n v="11"/>
    <x v="0"/>
    <x v="1"/>
    <x v="0"/>
    <x v="1"/>
    <x v="2"/>
    <n v="28.2"/>
    <x v="0"/>
    <s v="No"/>
    <x v="0"/>
    <x v="0"/>
    <x v="0"/>
    <s v="No Mutation"/>
    <s v="Yes"/>
    <s v="Yes"/>
    <s v="No"/>
    <s v="No"/>
    <s v="Yes"/>
    <s v="Yes"/>
    <s v="Yes"/>
    <s v="No"/>
    <s v="Yes"/>
    <s v="No"/>
    <x v="0"/>
    <s v="Squamous Cell"/>
    <x v="2"/>
    <n v="4.3"/>
    <s v="No"/>
    <s v="MRI"/>
    <s v="Immunotherapy"/>
    <n v="10"/>
    <s v="Yes"/>
  </r>
  <r>
    <s v="LC-0657"/>
    <n v="2023"/>
    <d v="2023-08-15T00:00:00"/>
    <s v="Eastern Mediterranean"/>
    <s v="Iraq"/>
    <n v="69"/>
    <x v="1"/>
    <x v="2"/>
    <n v="0"/>
    <n v="0"/>
    <x v="1"/>
    <x v="0"/>
    <x v="0"/>
    <x v="0"/>
    <x v="2"/>
    <n v="31.6"/>
    <x v="1"/>
    <s v="No"/>
    <x v="0"/>
    <x v="1"/>
    <x v="0"/>
    <s v="EGFR"/>
    <s v="Yes"/>
    <s v="Yes"/>
    <s v="No"/>
    <s v="No"/>
    <s v="No"/>
    <s v="Yes"/>
    <s v="No"/>
    <s v="No"/>
    <s v="No"/>
    <s v="No"/>
    <x v="0"/>
    <s v="Adenocarcinoma"/>
    <x v="1"/>
    <n v="3.4"/>
    <s v="No"/>
    <s v="LDCT Screening"/>
    <s v="Radiotherapy"/>
    <n v="54"/>
    <s v="Yes"/>
  </r>
  <r>
    <s v="LC-0658"/>
    <n v="2022"/>
    <d v="2022-07-17T00:00:00"/>
    <s v="Eastern Mediterranean"/>
    <s v="Qatar"/>
    <n v="51"/>
    <x v="0"/>
    <x v="2"/>
    <n v="0"/>
    <n v="0"/>
    <x v="0"/>
    <x v="0"/>
    <x v="0"/>
    <x v="0"/>
    <x v="0"/>
    <n v="23.2"/>
    <x v="0"/>
    <s v="No"/>
    <x v="0"/>
    <x v="0"/>
    <x v="0"/>
    <s v="No Mutation"/>
    <s v="No"/>
    <s v="No"/>
    <s v="No"/>
    <s v="No"/>
    <s v="No"/>
    <s v="No"/>
    <s v="No"/>
    <s v="No"/>
    <s v="No"/>
    <s v="No"/>
    <x v="0"/>
    <s v="Adenocarcinoma"/>
    <x v="0"/>
    <n v="3.9"/>
    <s v="Yes"/>
    <s v="CT Scan"/>
    <s v="Targeted Therapy"/>
    <n v="1"/>
    <s v="No"/>
  </r>
  <r>
    <s v="LC-0659"/>
    <n v="2024"/>
    <d v="2024-07-06T00:00:00"/>
    <s v="Eastern Mediterranean"/>
    <s v="UAE"/>
    <n v="38"/>
    <x v="1"/>
    <x v="2"/>
    <n v="0"/>
    <n v="0"/>
    <x v="0"/>
    <x v="0"/>
    <x v="0"/>
    <x v="1"/>
    <x v="0"/>
    <n v="23.8"/>
    <x v="1"/>
    <s v="Yes"/>
    <x v="0"/>
    <x v="0"/>
    <x v="1"/>
    <s v="TP53"/>
    <s v="No"/>
    <s v="No"/>
    <s v="No"/>
    <s v="Yes"/>
    <s v="No"/>
    <s v="No"/>
    <s v="No"/>
    <s v="No"/>
    <s v="No"/>
    <s v="No"/>
    <x v="0"/>
    <s v="Adenocarcinoma"/>
    <x v="1"/>
    <n v="1.8"/>
    <s v="No"/>
    <s v="CT Scan"/>
    <s v="Targeted Therapy"/>
    <n v="68"/>
    <s v="No"/>
  </r>
  <r>
    <s v="LC-0660"/>
    <n v="2022"/>
    <d v="2022-10-05T00:00:00"/>
    <s v="South-East Asia"/>
    <s v="Myanmar"/>
    <n v="85"/>
    <x v="1"/>
    <x v="0"/>
    <n v="22"/>
    <n v="59"/>
    <x v="1"/>
    <x v="1"/>
    <x v="0"/>
    <x v="1"/>
    <x v="1"/>
    <n v="29.2"/>
    <x v="0"/>
    <s v="No"/>
    <x v="0"/>
    <x v="0"/>
    <x v="0"/>
    <s v="KRAS"/>
    <s v="Yes"/>
    <s v="Yes"/>
    <s v="No"/>
    <s v="Yes"/>
    <s v="Yes"/>
    <s v="Yes"/>
    <s v="No"/>
    <s v="Yes"/>
    <s v="Yes"/>
    <s v="No"/>
    <x v="1"/>
    <s v="Not Applicable"/>
    <x v="1"/>
    <n v="2.2999999999999998"/>
    <s v="No"/>
    <s v="LDCT Screening"/>
    <s v="Surgery"/>
    <n v="61"/>
    <s v="No"/>
  </r>
  <r>
    <s v="LC-0661"/>
    <n v="2017"/>
    <d v="2017-01-21T00:00:00"/>
    <s v="Eastern Mediterranean"/>
    <s v="Oman"/>
    <n v="76"/>
    <x v="1"/>
    <x v="2"/>
    <n v="0"/>
    <n v="0"/>
    <x v="0"/>
    <x v="1"/>
    <x v="0"/>
    <x v="1"/>
    <x v="0"/>
    <n v="18.7"/>
    <x v="0"/>
    <s v="No"/>
    <x v="0"/>
    <x v="0"/>
    <x v="0"/>
    <s v="KRAS"/>
    <s v="Yes"/>
    <s v="No"/>
    <s v="Yes"/>
    <s v="Yes"/>
    <s v="Yes"/>
    <s v="No"/>
    <s v="No"/>
    <s v="No"/>
    <s v="No"/>
    <s v="No"/>
    <x v="0"/>
    <s v="Large Cell"/>
    <x v="3"/>
    <n v="3.5"/>
    <s v="No"/>
    <s v="CT Scan"/>
    <s v="Immunotherapy"/>
    <n v="36"/>
    <s v="Yes"/>
  </r>
  <r>
    <s v="LC-0662"/>
    <n v="2022"/>
    <d v="2022-06-18T00:00:00"/>
    <s v="South-East Asia"/>
    <s v="Bangladesh"/>
    <n v="54"/>
    <x v="1"/>
    <x v="1"/>
    <n v="22"/>
    <n v="18"/>
    <x v="1"/>
    <x v="0"/>
    <x v="1"/>
    <x v="2"/>
    <x v="0"/>
    <n v="24.2"/>
    <x v="0"/>
    <s v="No"/>
    <x v="0"/>
    <x v="0"/>
    <x v="0"/>
    <s v="EGFR"/>
    <s v="No"/>
    <s v="Yes"/>
    <s v="No"/>
    <s v="Yes"/>
    <s v="No"/>
    <s v="Yes"/>
    <s v="Yes"/>
    <s v="No"/>
    <s v="No"/>
    <s v="No"/>
    <x v="1"/>
    <s v="Not Applicable"/>
    <x v="2"/>
    <n v="8.6999999999999993"/>
    <s v="No"/>
    <s v="Bronchoscopy"/>
    <s v="Chemotherapy"/>
    <n v="11"/>
    <s v="No"/>
  </r>
  <r>
    <s v="LC-0663"/>
    <n v="2023"/>
    <d v="2023-12-28T00:00:00"/>
    <s v="Americas"/>
    <s v="Cuba"/>
    <n v="48"/>
    <x v="1"/>
    <x v="0"/>
    <n v="15"/>
    <n v="22"/>
    <x v="1"/>
    <x v="0"/>
    <x v="0"/>
    <x v="0"/>
    <x v="2"/>
    <n v="38"/>
    <x v="0"/>
    <s v="No"/>
    <x v="0"/>
    <x v="0"/>
    <x v="0"/>
    <s v="No Mutation"/>
    <s v="Yes"/>
    <s v="Yes"/>
    <s v="No"/>
    <s v="Yes"/>
    <s v="Yes"/>
    <s v="Yes"/>
    <s v="No"/>
    <s v="No"/>
    <s v="No"/>
    <s v="No"/>
    <x v="0"/>
    <s v="Adenocarcinoma"/>
    <x v="2"/>
    <n v="3.7"/>
    <s v="No"/>
    <s v="MRI"/>
    <s v="Chemo + Radiation"/>
    <n v="11"/>
    <s v="Yes"/>
  </r>
  <r>
    <s v="LC-0664"/>
    <n v="2021"/>
    <d v="2021-02-10T00:00:00"/>
    <s v="Eastern Mediterranean"/>
    <s v="Iran"/>
    <n v="64"/>
    <x v="1"/>
    <x v="2"/>
    <n v="0"/>
    <n v="0"/>
    <x v="0"/>
    <x v="0"/>
    <x v="0"/>
    <x v="2"/>
    <x v="0"/>
    <n v="24.1"/>
    <x v="1"/>
    <s v="No"/>
    <x v="0"/>
    <x v="0"/>
    <x v="0"/>
    <s v="No Mutation"/>
    <s v="Yes"/>
    <s v="Yes"/>
    <s v="No"/>
    <s v="No"/>
    <s v="Yes"/>
    <s v="No"/>
    <s v="No"/>
    <s v="No"/>
    <s v="No"/>
    <s v="No"/>
    <x v="0"/>
    <s v="Squamous Cell"/>
    <x v="0"/>
    <n v="5"/>
    <s v="Yes"/>
    <s v="Biopsy"/>
    <s v="Targeted Therapy"/>
    <n v="1"/>
    <s v="No"/>
  </r>
  <r>
    <s v="LC-0665"/>
    <n v="2021"/>
    <d v="2021-03-09T00:00:00"/>
    <s v="Eastern Mediterranean"/>
    <s v="Oman"/>
    <n v="64"/>
    <x v="1"/>
    <x v="0"/>
    <n v="5"/>
    <n v="27"/>
    <x v="1"/>
    <x v="0"/>
    <x v="0"/>
    <x v="0"/>
    <x v="0"/>
    <n v="23.5"/>
    <x v="2"/>
    <s v="No"/>
    <x v="0"/>
    <x v="0"/>
    <x v="0"/>
    <s v="No Mutation"/>
    <s v="Yes"/>
    <s v="No"/>
    <s v="Yes"/>
    <s v="No"/>
    <s v="Yes"/>
    <s v="Yes"/>
    <s v="No"/>
    <s v="No"/>
    <s v="No"/>
    <s v="No"/>
    <x v="1"/>
    <s v="Not Applicable"/>
    <x v="2"/>
    <n v="5.0999999999999996"/>
    <s v="No"/>
    <s v="Bronchoscopy"/>
    <s v="Surgery + Chemotherapy"/>
    <n v="36"/>
    <s v="No"/>
  </r>
  <r>
    <s v="LC-0666"/>
    <n v="2025"/>
    <d v="2025-09-05T00:00:00"/>
    <s v="South-East Asia"/>
    <s v="Nepal"/>
    <n v="48"/>
    <x v="1"/>
    <x v="2"/>
    <n v="0"/>
    <n v="0"/>
    <x v="1"/>
    <x v="0"/>
    <x v="0"/>
    <x v="0"/>
    <x v="1"/>
    <n v="25.6"/>
    <x v="1"/>
    <s v="Yes"/>
    <x v="0"/>
    <x v="0"/>
    <x v="0"/>
    <s v="MET"/>
    <s v="No"/>
    <s v="Yes"/>
    <s v="No"/>
    <s v="No"/>
    <s v="Yes"/>
    <s v="No"/>
    <s v="Yes"/>
    <s v="No"/>
    <s v="Yes"/>
    <s v="No"/>
    <x v="0"/>
    <s v="Adenocarcinoma"/>
    <x v="1"/>
    <n v="2.9"/>
    <s v="No"/>
    <s v="Biopsy"/>
    <s v="Immunotherapy"/>
    <n v="61"/>
    <s v="No"/>
  </r>
  <r>
    <s v="LC-0667"/>
    <n v="2020"/>
    <d v="2020-02-08T00:00:00"/>
    <s v="South-East Asia"/>
    <s v="Maldives"/>
    <n v="69"/>
    <x v="1"/>
    <x v="2"/>
    <n v="0"/>
    <n v="0"/>
    <x v="1"/>
    <x v="1"/>
    <x v="1"/>
    <x v="1"/>
    <x v="1"/>
    <n v="26.4"/>
    <x v="0"/>
    <s v="No"/>
    <x v="1"/>
    <x v="0"/>
    <x v="0"/>
    <s v="No Mutation"/>
    <s v="Yes"/>
    <s v="Yes"/>
    <s v="Yes"/>
    <s v="No"/>
    <s v="Yes"/>
    <s v="Yes"/>
    <s v="No"/>
    <s v="No"/>
    <s v="No"/>
    <s v="No"/>
    <x v="0"/>
    <s v="Large Cell"/>
    <x v="2"/>
    <n v="8.1"/>
    <s v="No"/>
    <s v="CT Scan"/>
    <s v="Surgery + Chemotherapy"/>
    <n v="10"/>
    <s v="No"/>
  </r>
  <r>
    <s v="LC-0668"/>
    <n v="2016"/>
    <d v="2016-06-01T00:00:00"/>
    <s v="Western Pacific"/>
    <s v="Malaysia"/>
    <n v="49"/>
    <x v="0"/>
    <x v="2"/>
    <n v="0"/>
    <n v="0"/>
    <x v="0"/>
    <x v="0"/>
    <x v="0"/>
    <x v="2"/>
    <x v="2"/>
    <n v="29.5"/>
    <x v="1"/>
    <s v="No"/>
    <x v="0"/>
    <x v="0"/>
    <x v="0"/>
    <s v="No Mutation"/>
    <s v="No"/>
    <s v="No"/>
    <s v="No"/>
    <s v="No"/>
    <s v="Yes"/>
    <s v="No"/>
    <s v="No"/>
    <s v="No"/>
    <s v="No"/>
    <s v="No"/>
    <x v="0"/>
    <s v="Large Cell"/>
    <x v="1"/>
    <n v="1.9"/>
    <s v="No"/>
    <s v="LDCT Screening"/>
    <s v="Radiotherapy"/>
    <n v="53"/>
    <s v="Yes"/>
  </r>
  <r>
    <s v="LC-0669"/>
    <n v="2024"/>
    <d v="2024-01-13T00:00:00"/>
    <s v="Europe"/>
    <s v="Netherlands"/>
    <n v="48"/>
    <x v="1"/>
    <x v="1"/>
    <n v="18"/>
    <n v="11"/>
    <x v="0"/>
    <x v="0"/>
    <x v="0"/>
    <x v="0"/>
    <x v="0"/>
    <n v="25.3"/>
    <x v="0"/>
    <s v="No"/>
    <x v="0"/>
    <x v="0"/>
    <x v="0"/>
    <s v="No Mutation"/>
    <s v="Yes"/>
    <s v="No"/>
    <s v="No"/>
    <s v="No"/>
    <s v="Yes"/>
    <s v="No"/>
    <s v="No"/>
    <s v="No"/>
    <s v="No"/>
    <s v="No"/>
    <x v="0"/>
    <s v="Adenocarcinoma"/>
    <x v="0"/>
    <n v="6.8"/>
    <s v="Yes"/>
    <s v="CT Scan"/>
    <s v="Chemotherapy"/>
    <n v="11"/>
    <s v="No"/>
  </r>
  <r>
    <s v="LC-0670"/>
    <n v="2022"/>
    <d v="2022-06-08T00:00:00"/>
    <s v="Eastern Mediterranean"/>
    <s v="Lebanon"/>
    <n v="78"/>
    <x v="1"/>
    <x v="2"/>
    <n v="0"/>
    <n v="0"/>
    <x v="0"/>
    <x v="0"/>
    <x v="1"/>
    <x v="0"/>
    <x v="0"/>
    <n v="23.2"/>
    <x v="1"/>
    <s v="No"/>
    <x v="0"/>
    <x v="0"/>
    <x v="0"/>
    <s v="ALK"/>
    <s v="No"/>
    <s v="Yes"/>
    <s v="No"/>
    <s v="No"/>
    <s v="No"/>
    <s v="Yes"/>
    <s v="No"/>
    <s v="No"/>
    <s v="No"/>
    <s v="No"/>
    <x v="0"/>
    <s v="Squamous Cell"/>
    <x v="1"/>
    <n v="1.2"/>
    <s v="No"/>
    <s v="CT Scan"/>
    <s v="Surgery"/>
    <n v="66"/>
    <s v="Yes"/>
  </r>
  <r>
    <s v="LC-0671"/>
    <n v="2019"/>
    <d v="2019-02-12T00:00:00"/>
    <s v="Eastern Mediterranean"/>
    <s v="UAE"/>
    <n v="61"/>
    <x v="1"/>
    <x v="2"/>
    <n v="0"/>
    <n v="0"/>
    <x v="0"/>
    <x v="0"/>
    <x v="0"/>
    <x v="0"/>
    <x v="2"/>
    <n v="27.8"/>
    <x v="0"/>
    <s v="Yes"/>
    <x v="0"/>
    <x v="0"/>
    <x v="0"/>
    <s v="ALK"/>
    <s v="No"/>
    <s v="Yes"/>
    <s v="Yes"/>
    <s v="No"/>
    <s v="Yes"/>
    <s v="Yes"/>
    <s v="No"/>
    <s v="No"/>
    <s v="No"/>
    <s v="No"/>
    <x v="0"/>
    <s v="Adenocarcinoma"/>
    <x v="3"/>
    <n v="4.5999999999999996"/>
    <s v="No"/>
    <s v="Chest X-Ray"/>
    <s v="Surgery + Chemotherapy"/>
    <n v="26"/>
    <s v="No"/>
  </r>
  <r>
    <s v="LC-0672"/>
    <n v="2021"/>
    <d v="2021-01-11T00:00:00"/>
    <s v="Western Pacific"/>
    <s v="Japan"/>
    <n v="62"/>
    <x v="0"/>
    <x v="2"/>
    <n v="0"/>
    <n v="0"/>
    <x v="1"/>
    <x v="1"/>
    <x v="1"/>
    <x v="0"/>
    <x v="0"/>
    <n v="23.6"/>
    <x v="1"/>
    <s v="Yes"/>
    <x v="0"/>
    <x v="0"/>
    <x v="0"/>
    <s v="TP53"/>
    <s v="No"/>
    <s v="Yes"/>
    <s v="Yes"/>
    <s v="Yes"/>
    <s v="Yes"/>
    <s v="Yes"/>
    <s v="No"/>
    <s v="Yes"/>
    <s v="No"/>
    <s v="No"/>
    <x v="0"/>
    <s v="Squamous Cell"/>
    <x v="2"/>
    <n v="5"/>
    <s v="No"/>
    <s v="Biopsy"/>
    <s v="Radiotherapy"/>
    <n v="28"/>
    <s v="No"/>
  </r>
  <r>
    <s v="LC-0673"/>
    <n v="2018"/>
    <d v="2018-12-21T00:00:00"/>
    <s v="South-East Asia"/>
    <s v="Sri Lanka"/>
    <n v="51"/>
    <x v="0"/>
    <x v="2"/>
    <n v="0"/>
    <n v="0"/>
    <x v="1"/>
    <x v="0"/>
    <x v="0"/>
    <x v="1"/>
    <x v="2"/>
    <n v="23.7"/>
    <x v="0"/>
    <s v="No"/>
    <x v="0"/>
    <x v="0"/>
    <x v="0"/>
    <s v="KRAS"/>
    <s v="No"/>
    <s v="No"/>
    <s v="No"/>
    <s v="No"/>
    <s v="No"/>
    <s v="No"/>
    <s v="No"/>
    <s v="No"/>
    <s v="No"/>
    <s v="No"/>
    <x v="0"/>
    <s v="Adenocarcinoma"/>
    <x v="3"/>
    <n v="4.3"/>
    <s v="No"/>
    <s v="CT Scan"/>
    <s v="Immunotherapy"/>
    <n v="40"/>
    <s v="No"/>
  </r>
  <r>
    <s v="LC-0674"/>
    <n v="2015"/>
    <d v="2015-03-05T00:00:00"/>
    <s v="Western Pacific"/>
    <s v="China"/>
    <n v="67"/>
    <x v="1"/>
    <x v="1"/>
    <n v="3"/>
    <n v="15"/>
    <x v="1"/>
    <x v="0"/>
    <x v="1"/>
    <x v="0"/>
    <x v="2"/>
    <n v="35.200000000000003"/>
    <x v="2"/>
    <s v="No"/>
    <x v="0"/>
    <x v="0"/>
    <x v="0"/>
    <s v="No Mutation"/>
    <s v="No"/>
    <s v="No"/>
    <s v="No"/>
    <s v="Yes"/>
    <s v="No"/>
    <s v="No"/>
    <s v="No"/>
    <s v="Yes"/>
    <s v="No"/>
    <s v="No"/>
    <x v="0"/>
    <s v="Adenocarcinoma"/>
    <x v="3"/>
    <n v="4.5999999999999996"/>
    <s v="No"/>
    <s v="Bronchoscopy"/>
    <s v="Surgery"/>
    <n v="17"/>
    <s v="Yes"/>
  </r>
  <r>
    <s v="LC-0675"/>
    <n v="2022"/>
    <d v="2022-05-27T00:00:00"/>
    <s v="Western Pacific"/>
    <s v="New Zealand"/>
    <n v="56"/>
    <x v="0"/>
    <x v="2"/>
    <n v="0"/>
    <n v="0"/>
    <x v="0"/>
    <x v="1"/>
    <x v="0"/>
    <x v="0"/>
    <x v="2"/>
    <n v="24.6"/>
    <x v="0"/>
    <s v="No"/>
    <x v="0"/>
    <x v="0"/>
    <x v="0"/>
    <s v="KRAS"/>
    <s v="Yes"/>
    <s v="No"/>
    <s v="No"/>
    <s v="No"/>
    <s v="Yes"/>
    <s v="No"/>
    <s v="No"/>
    <s v="Yes"/>
    <s v="No"/>
    <s v="No"/>
    <x v="0"/>
    <s v="Adenocarcinoma"/>
    <x v="3"/>
    <n v="3.4"/>
    <s v="No"/>
    <s v="CT Scan"/>
    <s v="Surgery + Chemotherapy"/>
    <n v="42"/>
    <s v="No"/>
  </r>
  <r>
    <s v="LC-0676"/>
    <n v="2020"/>
    <d v="2020-12-27T00:00:00"/>
    <s v="Europe"/>
    <s v="France"/>
    <n v="73"/>
    <x v="0"/>
    <x v="2"/>
    <n v="0"/>
    <n v="0"/>
    <x v="0"/>
    <x v="0"/>
    <x v="0"/>
    <x v="2"/>
    <x v="2"/>
    <n v="28"/>
    <x v="2"/>
    <s v="Yes"/>
    <x v="0"/>
    <x v="0"/>
    <x v="1"/>
    <s v="EGFR"/>
    <s v="Yes"/>
    <s v="Yes"/>
    <s v="No"/>
    <s v="No"/>
    <s v="No"/>
    <s v="No"/>
    <s v="No"/>
    <s v="No"/>
    <s v="No"/>
    <s v="No"/>
    <x v="0"/>
    <s v="Large Cell"/>
    <x v="3"/>
    <n v="5"/>
    <s v="No"/>
    <s v="CT Scan"/>
    <s v="Surgery"/>
    <n v="17"/>
    <s v="No"/>
  </r>
  <r>
    <s v="LC-0677"/>
    <n v="2023"/>
    <d v="2023-12-16T00:00:00"/>
    <s v="Europe"/>
    <s v="Poland"/>
    <n v="63"/>
    <x v="0"/>
    <x v="2"/>
    <n v="0"/>
    <n v="0"/>
    <x v="1"/>
    <x v="1"/>
    <x v="1"/>
    <x v="1"/>
    <x v="2"/>
    <n v="20"/>
    <x v="0"/>
    <s v="No"/>
    <x v="0"/>
    <x v="0"/>
    <x v="0"/>
    <s v="No Mutation"/>
    <s v="No"/>
    <s v="No"/>
    <s v="No"/>
    <s v="No"/>
    <s v="Yes"/>
    <s v="Yes"/>
    <s v="No"/>
    <s v="No"/>
    <s v="Yes"/>
    <s v="No"/>
    <x v="0"/>
    <s v="Adenocarcinoma"/>
    <x v="2"/>
    <n v="5.0999999999999996"/>
    <s v="No"/>
    <s v="CT Scan"/>
    <s v="Immunotherapy"/>
    <n v="11"/>
    <s v="No"/>
  </r>
  <r>
    <s v="LC-0678"/>
    <n v="2023"/>
    <d v="2023-10-01T00:00:00"/>
    <s v="Eastern Mediterranean"/>
    <s v="Iran"/>
    <n v="85"/>
    <x v="1"/>
    <x v="2"/>
    <n v="0"/>
    <n v="0"/>
    <x v="1"/>
    <x v="0"/>
    <x v="1"/>
    <x v="0"/>
    <x v="0"/>
    <n v="27.8"/>
    <x v="2"/>
    <s v="No"/>
    <x v="0"/>
    <x v="0"/>
    <x v="0"/>
    <s v="No Mutation"/>
    <s v="No"/>
    <s v="Yes"/>
    <s v="No"/>
    <s v="No"/>
    <s v="Yes"/>
    <s v="No"/>
    <s v="No"/>
    <s v="No"/>
    <s v="Yes"/>
    <s v="No"/>
    <x v="0"/>
    <s v="Adenocarcinoma"/>
    <x v="3"/>
    <n v="3.1"/>
    <s v="No"/>
    <s v="PET Scan"/>
    <s v="Surgery"/>
    <n v="55"/>
    <s v="No"/>
  </r>
  <r>
    <s v="LC-0679"/>
    <n v="2018"/>
    <d v="2018-01-09T00:00:00"/>
    <s v="South-East Asia"/>
    <s v="Thailand"/>
    <n v="59"/>
    <x v="1"/>
    <x v="0"/>
    <n v="19"/>
    <n v="29"/>
    <x v="1"/>
    <x v="0"/>
    <x v="1"/>
    <x v="0"/>
    <x v="0"/>
    <n v="23.4"/>
    <x v="1"/>
    <s v="No"/>
    <x v="0"/>
    <x v="0"/>
    <x v="0"/>
    <s v="No Mutation"/>
    <s v="Yes"/>
    <s v="Yes"/>
    <s v="No"/>
    <s v="Yes"/>
    <s v="Yes"/>
    <s v="Yes"/>
    <s v="No"/>
    <s v="No"/>
    <s v="No"/>
    <s v="No"/>
    <x v="1"/>
    <s v="Not Applicable"/>
    <x v="0"/>
    <n v="8.6999999999999993"/>
    <s v="Yes"/>
    <s v="Biopsy"/>
    <s v="Chemo + Radiation"/>
    <n v="3"/>
    <s v="No"/>
  </r>
  <r>
    <s v="LC-0680"/>
    <n v="2021"/>
    <d v="2021-03-18T00:00:00"/>
    <s v="Africa"/>
    <s v="Uganda"/>
    <n v="53"/>
    <x v="1"/>
    <x v="0"/>
    <n v="24"/>
    <n v="35"/>
    <x v="1"/>
    <x v="0"/>
    <x v="0"/>
    <x v="0"/>
    <x v="0"/>
    <n v="25.4"/>
    <x v="0"/>
    <s v="No"/>
    <x v="0"/>
    <x v="0"/>
    <x v="0"/>
    <s v="KRAS"/>
    <s v="Yes"/>
    <s v="Yes"/>
    <s v="Yes"/>
    <s v="No"/>
    <s v="No"/>
    <s v="No"/>
    <s v="No"/>
    <s v="Yes"/>
    <s v="Yes"/>
    <s v="Yes"/>
    <x v="0"/>
    <s v="Adenocarcinoma"/>
    <x v="0"/>
    <n v="9.4"/>
    <s v="Yes"/>
    <s v="Biopsy"/>
    <s v="Palliative Care"/>
    <n v="7"/>
    <s v="No"/>
  </r>
  <r>
    <s v="LC-0681"/>
    <n v="2024"/>
    <d v="2024-09-14T00:00:00"/>
    <s v="Americas"/>
    <s v="Canada"/>
    <n v="65"/>
    <x v="0"/>
    <x v="2"/>
    <n v="0"/>
    <n v="0"/>
    <x v="0"/>
    <x v="1"/>
    <x v="1"/>
    <x v="2"/>
    <x v="0"/>
    <n v="28"/>
    <x v="2"/>
    <s v="No"/>
    <x v="0"/>
    <x v="0"/>
    <x v="0"/>
    <s v="KRAS"/>
    <s v="No"/>
    <s v="No"/>
    <s v="No"/>
    <s v="Yes"/>
    <s v="No"/>
    <s v="No"/>
    <s v="No"/>
    <s v="No"/>
    <s v="No"/>
    <s v="Yes"/>
    <x v="0"/>
    <s v="Large Cell"/>
    <x v="3"/>
    <n v="2.6"/>
    <s v="No"/>
    <s v="CT Scan"/>
    <s v="Surgery + Chemotherapy"/>
    <n v="22"/>
    <s v="Yes"/>
  </r>
  <r>
    <s v="LC-0682"/>
    <n v="2018"/>
    <d v="2018-05-08T00:00:00"/>
    <s v="Africa"/>
    <s v="Ethiopia"/>
    <n v="62"/>
    <x v="1"/>
    <x v="2"/>
    <n v="0"/>
    <n v="0"/>
    <x v="0"/>
    <x v="0"/>
    <x v="1"/>
    <x v="1"/>
    <x v="2"/>
    <n v="31.2"/>
    <x v="1"/>
    <s v="No"/>
    <x v="0"/>
    <x v="1"/>
    <x v="0"/>
    <s v="TP53"/>
    <s v="No"/>
    <s v="No"/>
    <s v="No"/>
    <s v="No"/>
    <s v="Yes"/>
    <s v="No"/>
    <s v="No"/>
    <s v="Yes"/>
    <s v="No"/>
    <s v="No"/>
    <x v="0"/>
    <s v="Large Cell"/>
    <x v="1"/>
    <n v="1.5"/>
    <s v="No"/>
    <s v="CT Scan"/>
    <s v="Surgery"/>
    <n v="49"/>
    <s v="No"/>
  </r>
  <r>
    <s v="LC-0683"/>
    <n v="2017"/>
    <d v="2017-02-02T00:00:00"/>
    <s v="South-East Asia"/>
    <s v="Thailand"/>
    <n v="65"/>
    <x v="1"/>
    <x v="2"/>
    <n v="0"/>
    <n v="0"/>
    <x v="1"/>
    <x v="0"/>
    <x v="0"/>
    <x v="0"/>
    <x v="0"/>
    <n v="25.2"/>
    <x v="1"/>
    <s v="No"/>
    <x v="0"/>
    <x v="0"/>
    <x v="0"/>
    <s v="No Mutation"/>
    <s v="Yes"/>
    <s v="No"/>
    <s v="No"/>
    <s v="No"/>
    <s v="Yes"/>
    <s v="No"/>
    <s v="No"/>
    <s v="Yes"/>
    <s v="No"/>
    <s v="No"/>
    <x v="1"/>
    <s v="Not Applicable"/>
    <x v="1"/>
    <n v="2.6"/>
    <s v="No"/>
    <s v="Biopsy"/>
    <s v="Surgery"/>
    <n v="66"/>
    <s v="Yes"/>
  </r>
  <r>
    <s v="LC-0684"/>
    <n v="2024"/>
    <d v="2024-07-21T00:00:00"/>
    <s v="Eastern Mediterranean"/>
    <s v="Kuwait"/>
    <n v="75"/>
    <x v="1"/>
    <x v="1"/>
    <n v="13"/>
    <n v="9"/>
    <x v="0"/>
    <x v="0"/>
    <x v="1"/>
    <x v="1"/>
    <x v="1"/>
    <n v="21.8"/>
    <x v="0"/>
    <s v="No"/>
    <x v="0"/>
    <x v="0"/>
    <x v="0"/>
    <s v="No Mutation"/>
    <s v="Yes"/>
    <s v="Yes"/>
    <s v="No"/>
    <s v="Yes"/>
    <s v="No"/>
    <s v="Yes"/>
    <s v="No"/>
    <s v="No"/>
    <s v="No"/>
    <s v="No"/>
    <x v="0"/>
    <s v="Adenocarcinoma"/>
    <x v="2"/>
    <n v="7.2"/>
    <s v="No"/>
    <s v="PET Scan"/>
    <s v="Chemo + Radiation"/>
    <n v="10"/>
    <s v="No"/>
  </r>
  <r>
    <s v="LC-0685"/>
    <n v="2024"/>
    <d v="2024-08-03T00:00:00"/>
    <s v="Europe"/>
    <s v="Germany"/>
    <n v="63"/>
    <x v="1"/>
    <x v="1"/>
    <n v="30"/>
    <n v="21"/>
    <x v="1"/>
    <x v="0"/>
    <x v="0"/>
    <x v="2"/>
    <x v="1"/>
    <n v="27.4"/>
    <x v="0"/>
    <s v="No"/>
    <x v="0"/>
    <x v="0"/>
    <x v="0"/>
    <s v="KRAS"/>
    <s v="Yes"/>
    <s v="No"/>
    <s v="Yes"/>
    <s v="No"/>
    <s v="Yes"/>
    <s v="Yes"/>
    <s v="No"/>
    <s v="No"/>
    <s v="No"/>
    <s v="No"/>
    <x v="0"/>
    <s v="Large Cell"/>
    <x v="1"/>
    <n v="3.3"/>
    <s v="No"/>
    <s v="CT Scan"/>
    <s v="Surgery"/>
    <n v="54"/>
    <s v="No"/>
  </r>
  <r>
    <s v="LC-0686"/>
    <n v="2024"/>
    <d v="2024-08-20T00:00:00"/>
    <s v="Europe"/>
    <s v="Netherlands"/>
    <n v="58"/>
    <x v="0"/>
    <x v="2"/>
    <n v="0"/>
    <n v="0"/>
    <x v="1"/>
    <x v="1"/>
    <x v="0"/>
    <x v="2"/>
    <x v="0"/>
    <n v="23.2"/>
    <x v="1"/>
    <s v="No"/>
    <x v="0"/>
    <x v="0"/>
    <x v="0"/>
    <s v="TP53"/>
    <s v="No"/>
    <s v="No"/>
    <s v="No"/>
    <s v="No"/>
    <s v="Yes"/>
    <s v="No"/>
    <s v="Yes"/>
    <s v="Yes"/>
    <s v="No"/>
    <s v="No"/>
    <x v="0"/>
    <s v="Adenocarcinoma"/>
    <x v="0"/>
    <n v="8.1999999999999993"/>
    <s v="Yes"/>
    <s v="CT Scan"/>
    <s v="Immunotherapy"/>
    <n v="3"/>
    <s v="No"/>
  </r>
  <r>
    <s v="LC-0687"/>
    <n v="2019"/>
    <d v="2019-01-21T00:00:00"/>
    <s v="Europe"/>
    <s v="Netherlands"/>
    <n v="77"/>
    <x v="1"/>
    <x v="2"/>
    <n v="0"/>
    <n v="0"/>
    <x v="0"/>
    <x v="0"/>
    <x v="0"/>
    <x v="2"/>
    <x v="0"/>
    <n v="29.4"/>
    <x v="0"/>
    <s v="No"/>
    <x v="0"/>
    <x v="0"/>
    <x v="0"/>
    <s v="No Mutation"/>
    <s v="Yes"/>
    <s v="No"/>
    <s v="No"/>
    <s v="No"/>
    <s v="Yes"/>
    <s v="Yes"/>
    <s v="No"/>
    <s v="No"/>
    <s v="No"/>
    <s v="Yes"/>
    <x v="0"/>
    <s v="Adenocarcinoma"/>
    <x v="0"/>
    <n v="4.5999999999999996"/>
    <s v="Yes"/>
    <s v="Bronchoscopy"/>
    <s v="Immunotherapy"/>
    <n v="10"/>
    <s v="No"/>
  </r>
  <r>
    <s v="LC-0688"/>
    <n v="2017"/>
    <d v="2017-10-08T00:00:00"/>
    <s v="Eastern Mediterranean"/>
    <s v="Saudi Arabia"/>
    <n v="60"/>
    <x v="0"/>
    <x v="2"/>
    <n v="0"/>
    <n v="0"/>
    <x v="1"/>
    <x v="0"/>
    <x v="0"/>
    <x v="1"/>
    <x v="0"/>
    <n v="30.1"/>
    <x v="0"/>
    <s v="No"/>
    <x v="0"/>
    <x v="0"/>
    <x v="0"/>
    <s v="TP53"/>
    <s v="No"/>
    <s v="Yes"/>
    <s v="No"/>
    <s v="Yes"/>
    <s v="Yes"/>
    <s v="No"/>
    <s v="No"/>
    <s v="Yes"/>
    <s v="No"/>
    <s v="No"/>
    <x v="0"/>
    <s v="Adenocarcinoma"/>
    <x v="3"/>
    <n v="4.4000000000000004"/>
    <s v="No"/>
    <s v="MRI"/>
    <s v="Radiotherapy"/>
    <n v="43"/>
    <s v="No"/>
  </r>
  <r>
    <s v="LC-0689"/>
    <n v="2015"/>
    <d v="2015-05-14T00:00:00"/>
    <s v="Europe"/>
    <s v="UK"/>
    <n v="45"/>
    <x v="0"/>
    <x v="2"/>
    <n v="0"/>
    <n v="0"/>
    <x v="0"/>
    <x v="0"/>
    <x v="0"/>
    <x v="0"/>
    <x v="1"/>
    <n v="27.8"/>
    <x v="1"/>
    <s v="No"/>
    <x v="0"/>
    <x v="0"/>
    <x v="0"/>
    <s v="EGFR"/>
    <s v="No"/>
    <s v="Yes"/>
    <s v="No"/>
    <s v="No"/>
    <s v="No"/>
    <s v="No"/>
    <s v="No"/>
    <s v="Yes"/>
    <s v="No"/>
    <s v="No"/>
    <x v="1"/>
    <s v="Not Applicable"/>
    <x v="3"/>
    <n v="5.7"/>
    <s v="No"/>
    <s v="LDCT Screening"/>
    <s v="Radiotherapy"/>
    <n v="31"/>
    <s v="Yes"/>
  </r>
  <r>
    <s v="LC-0690"/>
    <n v="2025"/>
    <d v="2025-10-12T00:00:00"/>
    <s v="Western Pacific"/>
    <s v="Australia"/>
    <n v="47"/>
    <x v="0"/>
    <x v="2"/>
    <n v="0"/>
    <n v="0"/>
    <x v="0"/>
    <x v="0"/>
    <x v="0"/>
    <x v="0"/>
    <x v="1"/>
    <n v="23.2"/>
    <x v="0"/>
    <s v="No"/>
    <x v="0"/>
    <x v="0"/>
    <x v="0"/>
    <s v="No Mutation"/>
    <s v="Yes"/>
    <s v="Yes"/>
    <s v="No"/>
    <s v="No"/>
    <s v="Yes"/>
    <s v="No"/>
    <s v="Yes"/>
    <s v="No"/>
    <s v="Yes"/>
    <s v="Yes"/>
    <x v="0"/>
    <s v="Squamous Cell"/>
    <x v="1"/>
    <n v="0.7"/>
    <s v="No"/>
    <s v="CT Scan"/>
    <s v="Radiotherapy"/>
    <n v="61"/>
    <s v="No"/>
  </r>
  <r>
    <s v="LC-0691"/>
    <n v="2017"/>
    <d v="2017-10-14T00:00:00"/>
    <s v="Eastern Mediterranean"/>
    <s v="Saudi Arabia"/>
    <n v="59"/>
    <x v="1"/>
    <x v="2"/>
    <n v="0"/>
    <n v="0"/>
    <x v="1"/>
    <x v="0"/>
    <x v="0"/>
    <x v="1"/>
    <x v="0"/>
    <n v="19.899999999999999"/>
    <x v="1"/>
    <s v="No"/>
    <x v="0"/>
    <x v="0"/>
    <x v="0"/>
    <s v="ROS1"/>
    <s v="Yes"/>
    <s v="Yes"/>
    <s v="Yes"/>
    <s v="No"/>
    <s v="Yes"/>
    <s v="No"/>
    <s v="No"/>
    <s v="No"/>
    <s v="No"/>
    <s v="No"/>
    <x v="0"/>
    <s v="Adenocarcinoma"/>
    <x v="3"/>
    <n v="2"/>
    <s v="No"/>
    <s v="CT Scan"/>
    <s v="Surgery + Chemotherapy"/>
    <n v="28"/>
    <s v="No"/>
  </r>
  <r>
    <s v="LC-0692"/>
    <n v="2025"/>
    <d v="2025-11-22T00:00:00"/>
    <s v="Western Pacific"/>
    <s v="Japan"/>
    <n v="66"/>
    <x v="0"/>
    <x v="2"/>
    <n v="0"/>
    <n v="0"/>
    <x v="1"/>
    <x v="1"/>
    <x v="0"/>
    <x v="1"/>
    <x v="0"/>
    <n v="27.6"/>
    <x v="1"/>
    <s v="Yes"/>
    <x v="0"/>
    <x v="0"/>
    <x v="0"/>
    <s v="EGFR"/>
    <s v="Yes"/>
    <s v="No"/>
    <s v="No"/>
    <s v="Yes"/>
    <s v="Yes"/>
    <s v="No"/>
    <s v="No"/>
    <s v="Yes"/>
    <s v="No"/>
    <s v="No"/>
    <x v="0"/>
    <s v="Large Cell"/>
    <x v="3"/>
    <n v="4.7"/>
    <s v="No"/>
    <s v="Biopsy"/>
    <s v="Surgery"/>
    <n v="34"/>
    <s v="Yes"/>
  </r>
  <r>
    <s v="LC-0693"/>
    <n v="2024"/>
    <d v="2024-09-12T00:00:00"/>
    <s v="Europe"/>
    <s v="Germany"/>
    <n v="52"/>
    <x v="1"/>
    <x v="0"/>
    <n v="26"/>
    <n v="29"/>
    <x v="1"/>
    <x v="0"/>
    <x v="0"/>
    <x v="0"/>
    <x v="2"/>
    <n v="20.399999999999999"/>
    <x v="0"/>
    <s v="Yes"/>
    <x v="0"/>
    <x v="0"/>
    <x v="0"/>
    <s v="KRAS"/>
    <s v="Yes"/>
    <s v="Yes"/>
    <s v="Yes"/>
    <s v="No"/>
    <s v="Yes"/>
    <s v="Yes"/>
    <s v="Yes"/>
    <s v="Yes"/>
    <s v="No"/>
    <s v="No"/>
    <x v="0"/>
    <s v="Adenocarcinoma"/>
    <x v="0"/>
    <n v="7"/>
    <s v="Yes"/>
    <s v="CT Scan"/>
    <s v="Chemotherapy"/>
    <n v="19"/>
    <s v="No"/>
  </r>
  <r>
    <s v="LC-0694"/>
    <n v="2023"/>
    <d v="2023-09-18T00:00:00"/>
    <s v="Africa"/>
    <s v="Algeria"/>
    <n v="70"/>
    <x v="1"/>
    <x v="2"/>
    <n v="0"/>
    <n v="0"/>
    <x v="0"/>
    <x v="1"/>
    <x v="0"/>
    <x v="2"/>
    <x v="0"/>
    <n v="23.4"/>
    <x v="1"/>
    <s v="No"/>
    <x v="0"/>
    <x v="0"/>
    <x v="0"/>
    <s v="EGFR"/>
    <s v="Yes"/>
    <s v="No"/>
    <s v="Yes"/>
    <s v="No"/>
    <s v="Yes"/>
    <s v="No"/>
    <s v="No"/>
    <s v="No"/>
    <s v="No"/>
    <s v="No"/>
    <x v="0"/>
    <s v="Large Cell"/>
    <x v="1"/>
    <n v="1.2"/>
    <s v="No"/>
    <s v="CT Scan"/>
    <s v="Surgery"/>
    <n v="70"/>
    <s v="Yes"/>
  </r>
  <r>
    <s v="LC-0695"/>
    <n v="2023"/>
    <d v="2023-09-18T00:00:00"/>
    <s v="Americas"/>
    <s v="USA"/>
    <n v="70"/>
    <x v="1"/>
    <x v="2"/>
    <n v="0"/>
    <n v="0"/>
    <x v="1"/>
    <x v="1"/>
    <x v="0"/>
    <x v="2"/>
    <x v="2"/>
    <n v="31.9"/>
    <x v="0"/>
    <s v="No"/>
    <x v="0"/>
    <x v="0"/>
    <x v="0"/>
    <s v="No Mutation"/>
    <s v="No"/>
    <s v="Yes"/>
    <s v="No"/>
    <s v="No"/>
    <s v="Yes"/>
    <s v="No"/>
    <s v="No"/>
    <s v="Yes"/>
    <s v="No"/>
    <s v="No"/>
    <x v="0"/>
    <s v="Adenocarcinoma"/>
    <x v="3"/>
    <n v="2.9"/>
    <s v="No"/>
    <s v="Biopsy"/>
    <s v="Radiotherapy"/>
    <n v="43"/>
    <s v="No"/>
  </r>
  <r>
    <s v="LC-0696"/>
    <n v="2019"/>
    <d v="2019-07-28T00:00:00"/>
    <s v="Africa"/>
    <s v="Morocco"/>
    <n v="46"/>
    <x v="0"/>
    <x v="2"/>
    <n v="0"/>
    <n v="0"/>
    <x v="0"/>
    <x v="0"/>
    <x v="0"/>
    <x v="0"/>
    <x v="2"/>
    <n v="21"/>
    <x v="1"/>
    <s v="No"/>
    <x v="0"/>
    <x v="0"/>
    <x v="0"/>
    <s v="No Mutation"/>
    <s v="Yes"/>
    <s v="No"/>
    <s v="No"/>
    <s v="No"/>
    <s v="No"/>
    <s v="No"/>
    <s v="No"/>
    <s v="Yes"/>
    <s v="No"/>
    <s v="Yes"/>
    <x v="0"/>
    <s v="Adenocarcinoma"/>
    <x v="2"/>
    <n v="4.0999999999999996"/>
    <s v="No"/>
    <s v="CT Scan"/>
    <s v="Targeted Therapy"/>
    <n v="16"/>
    <s v="No"/>
  </r>
  <r>
    <s v="LC-0697"/>
    <n v="2015"/>
    <d v="2015-01-21T00:00:00"/>
    <s v="Europe"/>
    <s v="Turkey"/>
    <n v="51"/>
    <x v="1"/>
    <x v="0"/>
    <n v="31"/>
    <n v="6"/>
    <x v="1"/>
    <x v="0"/>
    <x v="0"/>
    <x v="0"/>
    <x v="2"/>
    <n v="31.6"/>
    <x v="0"/>
    <s v="Yes"/>
    <x v="0"/>
    <x v="0"/>
    <x v="0"/>
    <s v="EGFR"/>
    <s v="Yes"/>
    <s v="Yes"/>
    <s v="Yes"/>
    <s v="No"/>
    <s v="Yes"/>
    <s v="No"/>
    <s v="No"/>
    <s v="No"/>
    <s v="No"/>
    <s v="No"/>
    <x v="0"/>
    <s v="Adenocarcinoma"/>
    <x v="2"/>
    <n v="3"/>
    <s v="No"/>
    <s v="PET Scan"/>
    <s v="Surgery + Chemotherapy"/>
    <n v="24"/>
    <s v="No"/>
  </r>
  <r>
    <s v="LC-0698"/>
    <n v="2024"/>
    <d v="2024-06-09T00:00:00"/>
    <s v="South-East Asia"/>
    <s v="India"/>
    <n v="63"/>
    <x v="0"/>
    <x v="2"/>
    <n v="0"/>
    <n v="0"/>
    <x v="1"/>
    <x v="1"/>
    <x v="0"/>
    <x v="1"/>
    <x v="2"/>
    <n v="33.6"/>
    <x v="2"/>
    <s v="Yes"/>
    <x v="0"/>
    <x v="0"/>
    <x v="1"/>
    <s v="ALK"/>
    <s v="No"/>
    <s v="Yes"/>
    <s v="No"/>
    <s v="Yes"/>
    <s v="Yes"/>
    <s v="No"/>
    <s v="No"/>
    <s v="No"/>
    <s v="No"/>
    <s v="No"/>
    <x v="0"/>
    <s v="Adenocarcinoma"/>
    <x v="0"/>
    <n v="5.0999999999999996"/>
    <s v="Yes"/>
    <s v="CT Scan"/>
    <s v="Immunotherapy"/>
    <n v="2"/>
    <s v="No"/>
  </r>
  <r>
    <s v="LC-0699"/>
    <n v="2020"/>
    <d v="2020-06-26T00:00:00"/>
    <s v="South-East Asia"/>
    <s v="Bangladesh"/>
    <n v="56"/>
    <x v="1"/>
    <x v="2"/>
    <n v="0"/>
    <n v="0"/>
    <x v="0"/>
    <x v="0"/>
    <x v="1"/>
    <x v="1"/>
    <x v="1"/>
    <n v="23.6"/>
    <x v="2"/>
    <s v="No"/>
    <x v="0"/>
    <x v="0"/>
    <x v="0"/>
    <s v="No Mutation"/>
    <s v="No"/>
    <s v="Yes"/>
    <s v="Yes"/>
    <s v="No"/>
    <s v="Yes"/>
    <s v="No"/>
    <s v="No"/>
    <s v="Yes"/>
    <s v="No"/>
    <s v="No"/>
    <x v="0"/>
    <s v="Adenocarcinoma"/>
    <x v="0"/>
    <n v="6.4"/>
    <s v="Yes"/>
    <s v="CT Scan"/>
    <s v="Chemotherapy"/>
    <n v="7"/>
    <s v="No"/>
  </r>
  <r>
    <s v="LC-0700"/>
    <n v="2020"/>
    <d v="2020-06-08T00:00:00"/>
    <s v="Europe"/>
    <s v="Germany"/>
    <n v="41"/>
    <x v="0"/>
    <x v="2"/>
    <n v="0"/>
    <n v="0"/>
    <x v="1"/>
    <x v="1"/>
    <x v="0"/>
    <x v="1"/>
    <x v="0"/>
    <n v="22.4"/>
    <x v="0"/>
    <s v="No"/>
    <x v="0"/>
    <x v="0"/>
    <x v="0"/>
    <s v="No Mutation"/>
    <s v="No"/>
    <s v="No"/>
    <s v="Yes"/>
    <s v="No"/>
    <s v="No"/>
    <s v="No"/>
    <s v="No"/>
    <s v="Yes"/>
    <s v="No"/>
    <s v="No"/>
    <x v="0"/>
    <s v="Large Cell"/>
    <x v="1"/>
    <n v="1.6"/>
    <s v="No"/>
    <s v="PET Scan"/>
    <s v="Surgery + Chemotherapy"/>
    <n v="88"/>
    <s v="Yes"/>
  </r>
  <r>
    <s v="LC-0701"/>
    <n v="2019"/>
    <d v="2019-10-24T00:00:00"/>
    <s v="Europe"/>
    <s v="Russia"/>
    <n v="41"/>
    <x v="0"/>
    <x v="2"/>
    <n v="0"/>
    <n v="0"/>
    <x v="0"/>
    <x v="0"/>
    <x v="0"/>
    <x v="1"/>
    <x v="2"/>
    <n v="36.700000000000003"/>
    <x v="1"/>
    <s v="No"/>
    <x v="0"/>
    <x v="0"/>
    <x v="1"/>
    <s v="No Mutation"/>
    <s v="Yes"/>
    <s v="No"/>
    <s v="Yes"/>
    <s v="Yes"/>
    <s v="No"/>
    <s v="No"/>
    <s v="No"/>
    <s v="Yes"/>
    <s v="No"/>
    <s v="No"/>
    <x v="0"/>
    <s v="Squamous Cell"/>
    <x v="3"/>
    <n v="2.8"/>
    <s v="No"/>
    <s v="PET Scan"/>
    <s v="Immunotherapy"/>
    <n v="35"/>
    <s v="Yes"/>
  </r>
  <r>
    <s v="LC-0702"/>
    <n v="2018"/>
    <d v="2018-03-02T00:00:00"/>
    <s v="Africa"/>
    <s v="Ghana"/>
    <n v="70"/>
    <x v="0"/>
    <x v="2"/>
    <n v="0"/>
    <n v="0"/>
    <x v="1"/>
    <x v="0"/>
    <x v="0"/>
    <x v="2"/>
    <x v="0"/>
    <n v="28.2"/>
    <x v="1"/>
    <s v="No"/>
    <x v="0"/>
    <x v="0"/>
    <x v="0"/>
    <s v="EGFR"/>
    <s v="No"/>
    <s v="No"/>
    <s v="Yes"/>
    <s v="No"/>
    <s v="Yes"/>
    <s v="No"/>
    <s v="No"/>
    <s v="Yes"/>
    <s v="No"/>
    <s v="No"/>
    <x v="0"/>
    <s v="Adenocarcinoma"/>
    <x v="1"/>
    <n v="1.4"/>
    <s v="No"/>
    <s v="PET Scan"/>
    <s v="Surgery"/>
    <n v="44"/>
    <s v="Yes"/>
  </r>
  <r>
    <s v="LC-0703"/>
    <n v="2019"/>
    <d v="2019-09-11T00:00:00"/>
    <s v="Europe"/>
    <s v="France"/>
    <n v="44"/>
    <x v="0"/>
    <x v="2"/>
    <n v="0"/>
    <n v="0"/>
    <x v="1"/>
    <x v="1"/>
    <x v="0"/>
    <x v="1"/>
    <x v="2"/>
    <n v="32.200000000000003"/>
    <x v="1"/>
    <s v="No"/>
    <x v="0"/>
    <x v="0"/>
    <x v="0"/>
    <s v="MET"/>
    <s v="Yes"/>
    <s v="No"/>
    <s v="No"/>
    <s v="No"/>
    <s v="No"/>
    <s v="No"/>
    <s v="No"/>
    <s v="Yes"/>
    <s v="No"/>
    <s v="No"/>
    <x v="0"/>
    <s v="Adenocarcinoma"/>
    <x v="1"/>
    <n v="1.4"/>
    <s v="No"/>
    <s v="Biopsy"/>
    <s v="Immunotherapy"/>
    <n v="86"/>
    <s v="Yes"/>
  </r>
  <r>
    <s v="LC-0704"/>
    <n v="2024"/>
    <d v="2024-11-15T00:00:00"/>
    <s v="Americas"/>
    <s v="Peru"/>
    <n v="56"/>
    <x v="1"/>
    <x v="2"/>
    <n v="0"/>
    <n v="0"/>
    <x v="0"/>
    <x v="0"/>
    <x v="0"/>
    <x v="0"/>
    <x v="0"/>
    <n v="22"/>
    <x v="1"/>
    <s v="No"/>
    <x v="0"/>
    <x v="0"/>
    <x v="0"/>
    <s v="EGFR"/>
    <s v="No"/>
    <s v="No"/>
    <s v="Yes"/>
    <s v="Yes"/>
    <s v="Yes"/>
    <s v="No"/>
    <s v="No"/>
    <s v="Yes"/>
    <s v="No"/>
    <s v="Yes"/>
    <x v="0"/>
    <s v="Squamous Cell"/>
    <x v="2"/>
    <n v="5.2"/>
    <s v="No"/>
    <s v="PET Scan"/>
    <s v="Chemotherapy"/>
    <n v="23"/>
    <s v="No"/>
  </r>
  <r>
    <s v="LC-0705"/>
    <n v="2024"/>
    <d v="2024-11-06T00:00:00"/>
    <s v="Western Pacific"/>
    <s v="South Korea"/>
    <n v="61"/>
    <x v="0"/>
    <x v="2"/>
    <n v="0"/>
    <n v="0"/>
    <x v="1"/>
    <x v="0"/>
    <x v="0"/>
    <x v="2"/>
    <x v="2"/>
    <n v="16.8"/>
    <x v="1"/>
    <s v="Yes"/>
    <x v="0"/>
    <x v="0"/>
    <x v="0"/>
    <s v="No Mutation"/>
    <s v="No"/>
    <s v="Yes"/>
    <s v="No"/>
    <s v="No"/>
    <s v="Yes"/>
    <s v="No"/>
    <s v="No"/>
    <s v="No"/>
    <s v="No"/>
    <s v="No"/>
    <x v="0"/>
    <s v="Adenocarcinoma"/>
    <x v="2"/>
    <n v="6.7"/>
    <s v="No"/>
    <s v="CT Scan"/>
    <s v="Surgery + Chemotherapy"/>
    <n v="11"/>
    <s v="No"/>
  </r>
  <r>
    <s v="LC-0706"/>
    <n v="2025"/>
    <d v="2025-02-23T00:00:00"/>
    <s v="South-East Asia"/>
    <s v="Maldives"/>
    <n v="74"/>
    <x v="0"/>
    <x v="1"/>
    <n v="12"/>
    <n v="15"/>
    <x v="1"/>
    <x v="0"/>
    <x v="0"/>
    <x v="1"/>
    <x v="1"/>
    <n v="25.4"/>
    <x v="0"/>
    <s v="No"/>
    <x v="0"/>
    <x v="0"/>
    <x v="0"/>
    <s v="EGFR"/>
    <s v="Yes"/>
    <s v="No"/>
    <s v="No"/>
    <s v="No"/>
    <s v="Yes"/>
    <s v="No"/>
    <s v="No"/>
    <s v="No"/>
    <s v="No"/>
    <s v="No"/>
    <x v="0"/>
    <s v="Squamous Cell"/>
    <x v="1"/>
    <n v="3"/>
    <s v="No"/>
    <s v="LDCT Screening"/>
    <s v="Radiotherapy"/>
    <n v="105"/>
    <s v="Yes"/>
  </r>
  <r>
    <s v="LC-0707"/>
    <n v="2023"/>
    <d v="2023-01-10T00:00:00"/>
    <s v="Africa"/>
    <s v="Egypt"/>
    <n v="70"/>
    <x v="0"/>
    <x v="2"/>
    <n v="0"/>
    <n v="0"/>
    <x v="1"/>
    <x v="1"/>
    <x v="0"/>
    <x v="0"/>
    <x v="1"/>
    <n v="27.6"/>
    <x v="1"/>
    <s v="Yes"/>
    <x v="1"/>
    <x v="0"/>
    <x v="0"/>
    <s v="RET"/>
    <s v="No"/>
    <s v="No"/>
    <s v="No"/>
    <s v="No"/>
    <s v="Yes"/>
    <s v="No"/>
    <s v="No"/>
    <s v="No"/>
    <s v="No"/>
    <s v="No"/>
    <x v="0"/>
    <s v="Adenocarcinoma"/>
    <x v="1"/>
    <n v="1.3"/>
    <s v="No"/>
    <s v="Biopsy"/>
    <s v="Surgery + Chemotherapy"/>
    <n v="77"/>
    <s v="Yes"/>
  </r>
  <r>
    <s v="LC-0708"/>
    <n v="2018"/>
    <d v="2018-01-26T00:00:00"/>
    <s v="Western Pacific"/>
    <s v="Australia"/>
    <n v="63"/>
    <x v="0"/>
    <x v="2"/>
    <n v="0"/>
    <n v="0"/>
    <x v="1"/>
    <x v="1"/>
    <x v="0"/>
    <x v="0"/>
    <x v="2"/>
    <n v="23.1"/>
    <x v="1"/>
    <s v="No"/>
    <x v="0"/>
    <x v="0"/>
    <x v="0"/>
    <s v="KRAS"/>
    <s v="Yes"/>
    <s v="Yes"/>
    <s v="Yes"/>
    <s v="No"/>
    <s v="No"/>
    <s v="No"/>
    <s v="Yes"/>
    <s v="No"/>
    <s v="Yes"/>
    <s v="No"/>
    <x v="0"/>
    <s v="Adenocarcinoma"/>
    <x v="3"/>
    <n v="5.2"/>
    <s v="No"/>
    <s v="PET Scan"/>
    <s v="Chemotherapy"/>
    <n v="53"/>
    <s v="No"/>
  </r>
  <r>
    <s v="LC-0709"/>
    <n v="2021"/>
    <d v="2021-01-11T00:00:00"/>
    <s v="Western Pacific"/>
    <s v="Philippines"/>
    <n v="46"/>
    <x v="1"/>
    <x v="0"/>
    <n v="21"/>
    <n v="11"/>
    <x v="0"/>
    <x v="0"/>
    <x v="0"/>
    <x v="0"/>
    <x v="2"/>
    <n v="29.2"/>
    <x v="1"/>
    <s v="No"/>
    <x v="0"/>
    <x v="0"/>
    <x v="0"/>
    <s v="KRAS"/>
    <s v="Yes"/>
    <s v="Yes"/>
    <s v="Yes"/>
    <s v="No"/>
    <s v="No"/>
    <s v="No"/>
    <s v="No"/>
    <s v="Yes"/>
    <s v="No"/>
    <s v="No"/>
    <x v="0"/>
    <s v="Adenocarcinoma"/>
    <x v="0"/>
    <n v="11.8"/>
    <s v="Yes"/>
    <s v="Biopsy"/>
    <s v="Radiotherapy"/>
    <n v="3"/>
    <s v="No"/>
  </r>
  <r>
    <s v="LC-0710"/>
    <n v="2024"/>
    <d v="2024-09-13T00:00:00"/>
    <s v="Eastern Mediterranean"/>
    <s v="Qatar"/>
    <n v="58"/>
    <x v="0"/>
    <x v="2"/>
    <n v="0"/>
    <n v="0"/>
    <x v="1"/>
    <x v="0"/>
    <x v="1"/>
    <x v="0"/>
    <x v="2"/>
    <n v="27.8"/>
    <x v="1"/>
    <s v="No"/>
    <x v="0"/>
    <x v="0"/>
    <x v="0"/>
    <s v="EGFR"/>
    <s v="No"/>
    <s v="No"/>
    <s v="No"/>
    <s v="No"/>
    <s v="No"/>
    <s v="No"/>
    <s v="No"/>
    <s v="No"/>
    <s v="No"/>
    <s v="No"/>
    <x v="0"/>
    <s v="Adenocarcinoma"/>
    <x v="0"/>
    <n v="3.5"/>
    <s v="Yes"/>
    <s v="Chest X-Ray"/>
    <s v="Immunotherapy"/>
    <n v="12"/>
    <s v="No"/>
  </r>
  <r>
    <s v="LC-0711"/>
    <n v="2019"/>
    <d v="2019-08-09T00:00:00"/>
    <s v="Eastern Mediterranean"/>
    <s v="Pakistan"/>
    <n v="48"/>
    <x v="0"/>
    <x v="2"/>
    <n v="0"/>
    <n v="0"/>
    <x v="0"/>
    <x v="0"/>
    <x v="0"/>
    <x v="0"/>
    <x v="2"/>
    <n v="28.3"/>
    <x v="1"/>
    <s v="No"/>
    <x v="0"/>
    <x v="0"/>
    <x v="0"/>
    <s v="ALK"/>
    <s v="No"/>
    <s v="Yes"/>
    <s v="No"/>
    <s v="No"/>
    <s v="No"/>
    <s v="Yes"/>
    <s v="No"/>
    <s v="Yes"/>
    <s v="No"/>
    <s v="No"/>
    <x v="0"/>
    <s v="Large Cell"/>
    <x v="1"/>
    <n v="2"/>
    <s v="No"/>
    <s v="Biopsy"/>
    <s v="Surgery + Chemotherapy"/>
    <n v="59"/>
    <s v="No"/>
  </r>
  <r>
    <s v="LC-0712"/>
    <n v="2017"/>
    <d v="2017-11-07T00:00:00"/>
    <s v="Europe"/>
    <s v="Spain"/>
    <n v="75"/>
    <x v="1"/>
    <x v="0"/>
    <n v="43"/>
    <n v="28"/>
    <x v="0"/>
    <x v="0"/>
    <x v="0"/>
    <x v="0"/>
    <x v="1"/>
    <n v="27.4"/>
    <x v="0"/>
    <s v="No"/>
    <x v="0"/>
    <x v="0"/>
    <x v="0"/>
    <s v="No Mutation"/>
    <s v="Yes"/>
    <s v="No"/>
    <s v="No"/>
    <s v="Yes"/>
    <s v="Yes"/>
    <s v="No"/>
    <s v="Yes"/>
    <s v="Yes"/>
    <s v="No"/>
    <s v="No"/>
    <x v="1"/>
    <s v="Not Applicable"/>
    <x v="3"/>
    <n v="4.7"/>
    <s v="No"/>
    <s v="CT Scan"/>
    <s v="Targeted Therapy"/>
    <n v="32"/>
    <s v="Yes"/>
  </r>
  <r>
    <s v="LC-0713"/>
    <n v="2019"/>
    <d v="2019-06-28T00:00:00"/>
    <s v="Europe"/>
    <s v="UK"/>
    <n v="52"/>
    <x v="0"/>
    <x v="2"/>
    <n v="0"/>
    <n v="0"/>
    <x v="1"/>
    <x v="0"/>
    <x v="0"/>
    <x v="0"/>
    <x v="2"/>
    <n v="21.8"/>
    <x v="0"/>
    <s v="Yes"/>
    <x v="0"/>
    <x v="0"/>
    <x v="0"/>
    <s v="EGFR"/>
    <s v="No"/>
    <s v="No"/>
    <s v="No"/>
    <s v="No"/>
    <s v="Yes"/>
    <s v="No"/>
    <s v="Yes"/>
    <s v="No"/>
    <s v="No"/>
    <s v="No"/>
    <x v="0"/>
    <s v="Adenocarcinoma"/>
    <x v="1"/>
    <n v="2.6"/>
    <s v="No"/>
    <s v="LDCT Screening"/>
    <s v="Radiotherapy"/>
    <n v="38"/>
    <s v="Yes"/>
  </r>
  <r>
    <s v="LC-0714"/>
    <n v="2018"/>
    <d v="2018-11-11T00:00:00"/>
    <s v="Europe"/>
    <s v="Spain"/>
    <n v="77"/>
    <x v="0"/>
    <x v="0"/>
    <n v="14"/>
    <n v="29"/>
    <x v="0"/>
    <x v="0"/>
    <x v="1"/>
    <x v="2"/>
    <x v="2"/>
    <n v="31.3"/>
    <x v="0"/>
    <s v="No"/>
    <x v="0"/>
    <x v="0"/>
    <x v="0"/>
    <s v="No Mutation"/>
    <s v="No"/>
    <s v="No"/>
    <s v="Yes"/>
    <s v="No"/>
    <s v="Yes"/>
    <s v="No"/>
    <s v="No"/>
    <s v="Yes"/>
    <s v="No"/>
    <s v="No"/>
    <x v="1"/>
    <s v="Not Applicable"/>
    <x v="3"/>
    <n v="4"/>
    <s v="No"/>
    <s v="CT Scan"/>
    <s v="Surgery + Chemotherapy"/>
    <n v="20"/>
    <s v="Yes"/>
  </r>
  <r>
    <s v="LC-0715"/>
    <n v="2018"/>
    <d v="2018-02-26T00:00:00"/>
    <s v="Western Pacific"/>
    <s v="Vietnam"/>
    <n v="58"/>
    <x v="0"/>
    <x v="0"/>
    <n v="21"/>
    <n v="28"/>
    <x v="1"/>
    <x v="0"/>
    <x v="0"/>
    <x v="1"/>
    <x v="0"/>
    <n v="24.5"/>
    <x v="0"/>
    <s v="Yes"/>
    <x v="0"/>
    <x v="0"/>
    <x v="0"/>
    <s v="No Mutation"/>
    <s v="Yes"/>
    <s v="Yes"/>
    <s v="Yes"/>
    <s v="Yes"/>
    <s v="No"/>
    <s v="No"/>
    <s v="Yes"/>
    <s v="Yes"/>
    <s v="No"/>
    <s v="No"/>
    <x v="0"/>
    <s v="Adenocarcinoma"/>
    <x v="3"/>
    <n v="2.8"/>
    <s v="No"/>
    <s v="MRI"/>
    <s v="Chemotherapy"/>
    <n v="32"/>
    <s v="Yes"/>
  </r>
  <r>
    <s v="LC-0716"/>
    <n v="2025"/>
    <d v="2025-07-13T00:00:00"/>
    <s v="Western Pacific"/>
    <s v="New Zealand"/>
    <n v="75"/>
    <x v="1"/>
    <x v="0"/>
    <n v="18"/>
    <n v="46"/>
    <x v="1"/>
    <x v="0"/>
    <x v="0"/>
    <x v="1"/>
    <x v="0"/>
    <n v="29.5"/>
    <x v="2"/>
    <s v="Yes"/>
    <x v="0"/>
    <x v="1"/>
    <x v="0"/>
    <s v="ALK"/>
    <s v="No"/>
    <s v="Yes"/>
    <s v="Yes"/>
    <s v="No"/>
    <s v="No"/>
    <s v="No"/>
    <s v="Yes"/>
    <s v="No"/>
    <s v="No"/>
    <s v="No"/>
    <x v="0"/>
    <s v="Adenocarcinoma"/>
    <x v="0"/>
    <n v="8.1"/>
    <s v="Yes"/>
    <s v="CT Scan"/>
    <s v="Chemotherapy"/>
    <n v="6"/>
    <s v="No"/>
  </r>
  <r>
    <s v="LC-0717"/>
    <n v="2017"/>
    <d v="2017-07-11T00:00:00"/>
    <s v="Western Pacific"/>
    <s v="South Korea"/>
    <n v="60"/>
    <x v="0"/>
    <x v="1"/>
    <n v="19"/>
    <n v="14"/>
    <x v="1"/>
    <x v="0"/>
    <x v="0"/>
    <x v="1"/>
    <x v="1"/>
    <n v="18.7"/>
    <x v="0"/>
    <s v="No"/>
    <x v="0"/>
    <x v="0"/>
    <x v="0"/>
    <s v="KRAS"/>
    <s v="Yes"/>
    <s v="No"/>
    <s v="No"/>
    <s v="Yes"/>
    <s v="No"/>
    <s v="No"/>
    <s v="No"/>
    <s v="Yes"/>
    <s v="No"/>
    <s v="No"/>
    <x v="0"/>
    <s v="Adenocarcinoma"/>
    <x v="2"/>
    <n v="3.3"/>
    <s v="No"/>
    <s v="CT Scan"/>
    <s v="Chemo + Radiation"/>
    <n v="19"/>
    <s v="No"/>
  </r>
  <r>
    <s v="LC-0718"/>
    <n v="2024"/>
    <d v="2024-08-23T00:00:00"/>
    <s v="Africa"/>
    <s v="Morocco"/>
    <n v="65"/>
    <x v="1"/>
    <x v="2"/>
    <n v="0"/>
    <n v="0"/>
    <x v="0"/>
    <x v="0"/>
    <x v="1"/>
    <x v="1"/>
    <x v="0"/>
    <n v="27.2"/>
    <x v="0"/>
    <s v="No"/>
    <x v="0"/>
    <x v="0"/>
    <x v="0"/>
    <s v="No Mutation"/>
    <s v="Yes"/>
    <s v="No"/>
    <s v="No"/>
    <s v="No"/>
    <s v="Yes"/>
    <s v="No"/>
    <s v="No"/>
    <s v="No"/>
    <s v="No"/>
    <s v="No"/>
    <x v="0"/>
    <s v="Adenocarcinoma"/>
    <x v="1"/>
    <n v="1.6"/>
    <s v="No"/>
    <s v="CT Scan"/>
    <s v="Radiotherapy"/>
    <n v="58"/>
    <s v="Yes"/>
  </r>
  <r>
    <s v="LC-0719"/>
    <n v="2025"/>
    <d v="2025-06-26T00:00:00"/>
    <s v="South-East Asia"/>
    <s v="Timor-Leste"/>
    <n v="58"/>
    <x v="1"/>
    <x v="0"/>
    <n v="28"/>
    <n v="29"/>
    <x v="1"/>
    <x v="1"/>
    <x v="0"/>
    <x v="1"/>
    <x v="0"/>
    <n v="27.9"/>
    <x v="2"/>
    <s v="No"/>
    <x v="0"/>
    <x v="0"/>
    <x v="0"/>
    <s v="No Mutation"/>
    <s v="Yes"/>
    <s v="Yes"/>
    <s v="Yes"/>
    <s v="No"/>
    <s v="No"/>
    <s v="No"/>
    <s v="No"/>
    <s v="No"/>
    <s v="No"/>
    <s v="No"/>
    <x v="1"/>
    <s v="Not Applicable"/>
    <x v="2"/>
    <n v="5"/>
    <s v="No"/>
    <s v="Chest X-Ray"/>
    <s v="Surgery + Chemotherapy"/>
    <n v="8"/>
    <s v="No"/>
  </r>
  <r>
    <s v="LC-0720"/>
    <n v="2018"/>
    <d v="2018-05-26T00:00:00"/>
    <s v="Europe"/>
    <s v="Germany"/>
    <n v="69"/>
    <x v="1"/>
    <x v="2"/>
    <n v="0"/>
    <n v="0"/>
    <x v="1"/>
    <x v="0"/>
    <x v="0"/>
    <x v="2"/>
    <x v="0"/>
    <n v="27.1"/>
    <x v="2"/>
    <s v="No"/>
    <x v="0"/>
    <x v="0"/>
    <x v="0"/>
    <s v="TP53"/>
    <s v="Yes"/>
    <s v="No"/>
    <s v="No"/>
    <s v="No"/>
    <s v="Yes"/>
    <s v="No"/>
    <s v="No"/>
    <s v="No"/>
    <s v="No"/>
    <s v="No"/>
    <x v="0"/>
    <s v="Adenocarcinoma"/>
    <x v="3"/>
    <n v="4.0999999999999996"/>
    <s v="No"/>
    <s v="PET Scan"/>
    <s v="Radiotherapy"/>
    <n v="50"/>
    <s v="No"/>
  </r>
  <r>
    <s v="LC-0721"/>
    <n v="2020"/>
    <d v="2020-12-14T00:00:00"/>
    <s v="Eastern Mediterranean"/>
    <s v="Iran"/>
    <n v="70"/>
    <x v="1"/>
    <x v="2"/>
    <n v="0"/>
    <n v="0"/>
    <x v="1"/>
    <x v="0"/>
    <x v="0"/>
    <x v="1"/>
    <x v="2"/>
    <n v="24.1"/>
    <x v="1"/>
    <s v="No"/>
    <x v="0"/>
    <x v="0"/>
    <x v="0"/>
    <s v="No Mutation"/>
    <s v="Yes"/>
    <s v="Yes"/>
    <s v="No"/>
    <s v="No"/>
    <s v="Yes"/>
    <s v="Yes"/>
    <s v="No"/>
    <s v="Yes"/>
    <s v="No"/>
    <s v="No"/>
    <x v="0"/>
    <s v="Adenocarcinoma"/>
    <x v="0"/>
    <n v="9.6"/>
    <s v="Yes"/>
    <s v="PET Scan"/>
    <s v="Immunotherapy"/>
    <n v="1"/>
    <s v="No"/>
  </r>
  <r>
    <s v="LC-0722"/>
    <n v="2016"/>
    <d v="2016-07-20T00:00:00"/>
    <s v="Europe"/>
    <s v="France"/>
    <n v="51"/>
    <x v="0"/>
    <x v="2"/>
    <n v="0"/>
    <n v="0"/>
    <x v="0"/>
    <x v="1"/>
    <x v="0"/>
    <x v="1"/>
    <x v="0"/>
    <n v="26"/>
    <x v="1"/>
    <s v="No"/>
    <x v="0"/>
    <x v="1"/>
    <x v="0"/>
    <s v="No Mutation"/>
    <s v="Yes"/>
    <s v="No"/>
    <s v="No"/>
    <s v="No"/>
    <s v="Yes"/>
    <s v="No"/>
    <s v="No"/>
    <s v="No"/>
    <s v="No"/>
    <s v="No"/>
    <x v="0"/>
    <s v="Adenocarcinoma"/>
    <x v="1"/>
    <n v="2"/>
    <s v="No"/>
    <s v="LDCT Screening"/>
    <s v="Surgery + Chemotherapy"/>
    <n v="52"/>
    <s v="Yes"/>
  </r>
  <r>
    <s v="LC-0723"/>
    <n v="2020"/>
    <d v="2020-09-10T00:00:00"/>
    <s v="Western Pacific"/>
    <s v="Vietnam"/>
    <n v="46"/>
    <x v="1"/>
    <x v="0"/>
    <n v="24"/>
    <n v="18"/>
    <x v="1"/>
    <x v="1"/>
    <x v="0"/>
    <x v="2"/>
    <x v="0"/>
    <n v="22.2"/>
    <x v="0"/>
    <s v="No"/>
    <x v="0"/>
    <x v="1"/>
    <x v="0"/>
    <s v="KRAS"/>
    <s v="Yes"/>
    <s v="Yes"/>
    <s v="No"/>
    <s v="No"/>
    <s v="Yes"/>
    <s v="Yes"/>
    <s v="No"/>
    <s v="No"/>
    <s v="No"/>
    <s v="Yes"/>
    <x v="0"/>
    <s v="Squamous Cell"/>
    <x v="0"/>
    <n v="6.2"/>
    <s v="Yes"/>
    <s v="CT Scan"/>
    <s v="Immunotherapy"/>
    <n v="7"/>
    <s v="No"/>
  </r>
  <r>
    <s v="LC-0724"/>
    <n v="2025"/>
    <d v="2025-02-03T00:00:00"/>
    <s v="Americas"/>
    <s v="Colombia"/>
    <n v="70"/>
    <x v="0"/>
    <x v="2"/>
    <n v="0"/>
    <n v="0"/>
    <x v="0"/>
    <x v="0"/>
    <x v="1"/>
    <x v="0"/>
    <x v="1"/>
    <n v="24.8"/>
    <x v="0"/>
    <s v="No"/>
    <x v="0"/>
    <x v="0"/>
    <x v="0"/>
    <s v="ALK"/>
    <s v="No"/>
    <s v="No"/>
    <s v="No"/>
    <s v="No"/>
    <s v="Yes"/>
    <s v="Yes"/>
    <s v="No"/>
    <s v="No"/>
    <s v="No"/>
    <s v="No"/>
    <x v="1"/>
    <s v="Not Applicable"/>
    <x v="0"/>
    <n v="8.8000000000000007"/>
    <s v="Yes"/>
    <s v="Chest X-Ray"/>
    <s v="Palliative Care"/>
    <n v="10"/>
    <s v="Yes"/>
  </r>
  <r>
    <s v="LC-0725"/>
    <n v="2017"/>
    <d v="2017-11-10T00:00:00"/>
    <s v="Americas"/>
    <s v="Argentina"/>
    <n v="50"/>
    <x v="1"/>
    <x v="2"/>
    <n v="0"/>
    <n v="0"/>
    <x v="0"/>
    <x v="1"/>
    <x v="0"/>
    <x v="2"/>
    <x v="2"/>
    <n v="30.9"/>
    <x v="0"/>
    <s v="No"/>
    <x v="0"/>
    <x v="0"/>
    <x v="0"/>
    <s v="EGFR"/>
    <s v="No"/>
    <s v="No"/>
    <s v="No"/>
    <s v="No"/>
    <s v="Yes"/>
    <s v="No"/>
    <s v="Yes"/>
    <s v="No"/>
    <s v="No"/>
    <s v="No"/>
    <x v="0"/>
    <s v="Adenocarcinoma"/>
    <x v="0"/>
    <n v="5.9"/>
    <s v="Yes"/>
    <s v="Biopsy"/>
    <s v="Chemo + Radiation"/>
    <n v="2"/>
    <s v="No"/>
  </r>
  <r>
    <s v="LC-0726"/>
    <n v="2021"/>
    <d v="2021-08-20T00:00:00"/>
    <s v="South-East Asia"/>
    <s v="Nepal"/>
    <n v="73"/>
    <x v="1"/>
    <x v="0"/>
    <n v="34"/>
    <n v="39"/>
    <x v="0"/>
    <x v="1"/>
    <x v="0"/>
    <x v="0"/>
    <x v="0"/>
    <n v="31.1"/>
    <x v="0"/>
    <s v="Yes"/>
    <x v="0"/>
    <x v="0"/>
    <x v="0"/>
    <s v="No Mutation"/>
    <s v="Yes"/>
    <s v="No"/>
    <s v="Yes"/>
    <s v="No"/>
    <s v="Yes"/>
    <s v="Yes"/>
    <s v="Yes"/>
    <s v="Yes"/>
    <s v="Yes"/>
    <s v="No"/>
    <x v="1"/>
    <s v="Not Applicable"/>
    <x v="2"/>
    <n v="5.6"/>
    <s v="Yes"/>
    <s v="Bronchoscopy"/>
    <s v="Immunotherapy"/>
    <n v="5"/>
    <s v="No"/>
  </r>
  <r>
    <s v="LC-0727"/>
    <n v="2023"/>
    <d v="2023-03-23T00:00:00"/>
    <s v="Eastern Mediterranean"/>
    <s v="Oman"/>
    <n v="58"/>
    <x v="1"/>
    <x v="2"/>
    <n v="0"/>
    <n v="0"/>
    <x v="1"/>
    <x v="0"/>
    <x v="0"/>
    <x v="0"/>
    <x v="0"/>
    <n v="20.399999999999999"/>
    <x v="2"/>
    <s v="No"/>
    <x v="0"/>
    <x v="0"/>
    <x v="0"/>
    <s v="TP53"/>
    <s v="Yes"/>
    <s v="No"/>
    <s v="No"/>
    <s v="No"/>
    <s v="Yes"/>
    <s v="Yes"/>
    <s v="No"/>
    <s v="No"/>
    <s v="Yes"/>
    <s v="No"/>
    <x v="0"/>
    <s v="Squamous Cell"/>
    <x v="1"/>
    <n v="1.9"/>
    <s v="No"/>
    <s v="Biopsy"/>
    <s v="Surgery"/>
    <n v="66"/>
    <s v="Yes"/>
  </r>
  <r>
    <s v="LC-0728"/>
    <n v="2019"/>
    <d v="2019-06-15T00:00:00"/>
    <s v="Europe"/>
    <s v="UK"/>
    <n v="65"/>
    <x v="1"/>
    <x v="2"/>
    <n v="0"/>
    <n v="0"/>
    <x v="1"/>
    <x v="1"/>
    <x v="0"/>
    <x v="0"/>
    <x v="0"/>
    <n v="23.9"/>
    <x v="1"/>
    <s v="Yes"/>
    <x v="0"/>
    <x v="0"/>
    <x v="0"/>
    <s v="No Mutation"/>
    <s v="No"/>
    <s v="No"/>
    <s v="No"/>
    <s v="No"/>
    <s v="No"/>
    <s v="No"/>
    <s v="No"/>
    <s v="No"/>
    <s v="No"/>
    <s v="Yes"/>
    <x v="0"/>
    <s v="Adenocarcinoma"/>
    <x v="1"/>
    <n v="1.6"/>
    <s v="No"/>
    <s v="Biopsy"/>
    <s v="Radiotherapy"/>
    <n v="68"/>
    <s v="Yes"/>
  </r>
  <r>
    <s v="LC-0729"/>
    <n v="2020"/>
    <d v="2020-12-28T00:00:00"/>
    <s v="Western Pacific"/>
    <s v="Vietnam"/>
    <n v="60"/>
    <x v="1"/>
    <x v="2"/>
    <n v="0"/>
    <n v="0"/>
    <x v="1"/>
    <x v="1"/>
    <x v="1"/>
    <x v="1"/>
    <x v="2"/>
    <n v="24.2"/>
    <x v="0"/>
    <s v="No"/>
    <x v="0"/>
    <x v="0"/>
    <x v="0"/>
    <s v="EGFR"/>
    <s v="No"/>
    <s v="No"/>
    <s v="Yes"/>
    <s v="No"/>
    <s v="No"/>
    <s v="Yes"/>
    <s v="Yes"/>
    <s v="No"/>
    <s v="No"/>
    <s v="No"/>
    <x v="0"/>
    <s v="Adenocarcinoma"/>
    <x v="2"/>
    <n v="5.6"/>
    <s v="No"/>
    <s v="Biopsy"/>
    <s v="Immunotherapy"/>
    <n v="26"/>
    <s v="No"/>
  </r>
  <r>
    <s v="LC-0730"/>
    <n v="2016"/>
    <d v="2016-10-14T00:00:00"/>
    <s v="Western Pacific"/>
    <s v="Philippines"/>
    <n v="65"/>
    <x v="1"/>
    <x v="0"/>
    <n v="5"/>
    <n v="39"/>
    <x v="0"/>
    <x v="0"/>
    <x v="0"/>
    <x v="1"/>
    <x v="0"/>
    <n v="27.1"/>
    <x v="1"/>
    <s v="Yes"/>
    <x v="0"/>
    <x v="0"/>
    <x v="0"/>
    <s v="TP53"/>
    <s v="No"/>
    <s v="Yes"/>
    <s v="No"/>
    <s v="Yes"/>
    <s v="No"/>
    <s v="No"/>
    <s v="No"/>
    <s v="No"/>
    <s v="No"/>
    <s v="No"/>
    <x v="0"/>
    <s v="Large Cell"/>
    <x v="2"/>
    <n v="6.3"/>
    <s v="No"/>
    <s v="Chest X-Ray"/>
    <s v="Chemotherapy"/>
    <n v="16"/>
    <s v="No"/>
  </r>
  <r>
    <s v="LC-0731"/>
    <n v="2023"/>
    <d v="2023-11-26T00:00:00"/>
    <s v="Western Pacific"/>
    <s v="China"/>
    <n v="58"/>
    <x v="1"/>
    <x v="0"/>
    <n v="25"/>
    <n v="32"/>
    <x v="1"/>
    <x v="0"/>
    <x v="0"/>
    <x v="0"/>
    <x v="2"/>
    <n v="18.600000000000001"/>
    <x v="0"/>
    <s v="No"/>
    <x v="0"/>
    <x v="0"/>
    <x v="0"/>
    <s v="TP53"/>
    <s v="Yes"/>
    <s v="Yes"/>
    <s v="Yes"/>
    <s v="No"/>
    <s v="No"/>
    <s v="Yes"/>
    <s v="Yes"/>
    <s v="No"/>
    <s v="No"/>
    <s v="No"/>
    <x v="1"/>
    <s v="Not Applicable"/>
    <x v="2"/>
    <n v="4.8"/>
    <s v="No"/>
    <s v="CT Scan"/>
    <s v="Chemotherapy"/>
    <n v="32"/>
    <s v="No"/>
  </r>
  <r>
    <s v="LC-0732"/>
    <n v="2019"/>
    <d v="2019-02-22T00:00:00"/>
    <s v="Europe"/>
    <s v="Turkey"/>
    <n v="65"/>
    <x v="1"/>
    <x v="0"/>
    <n v="28"/>
    <n v="27"/>
    <x v="1"/>
    <x v="0"/>
    <x v="0"/>
    <x v="1"/>
    <x v="1"/>
    <n v="28.3"/>
    <x v="2"/>
    <s v="Yes"/>
    <x v="0"/>
    <x v="0"/>
    <x v="0"/>
    <s v="TP53"/>
    <s v="Yes"/>
    <s v="No"/>
    <s v="No"/>
    <s v="No"/>
    <s v="Yes"/>
    <s v="Yes"/>
    <s v="Yes"/>
    <s v="No"/>
    <s v="No"/>
    <s v="Yes"/>
    <x v="0"/>
    <s v="Squamous Cell"/>
    <x v="3"/>
    <n v="5.5"/>
    <s v="No"/>
    <s v="Biopsy"/>
    <s v="Chemotherapy"/>
    <n v="33"/>
    <s v="No"/>
  </r>
  <r>
    <s v="LC-0733"/>
    <n v="2018"/>
    <d v="2018-06-17T00:00:00"/>
    <s v="Americas"/>
    <s v="Brazil"/>
    <n v="75"/>
    <x v="1"/>
    <x v="0"/>
    <n v="38"/>
    <n v="38"/>
    <x v="0"/>
    <x v="0"/>
    <x v="0"/>
    <x v="2"/>
    <x v="0"/>
    <n v="19.7"/>
    <x v="0"/>
    <s v="Yes"/>
    <x v="0"/>
    <x v="0"/>
    <x v="0"/>
    <s v="No Mutation"/>
    <s v="Yes"/>
    <s v="Yes"/>
    <s v="No"/>
    <s v="No"/>
    <s v="Yes"/>
    <s v="Yes"/>
    <s v="No"/>
    <s v="Yes"/>
    <s v="Yes"/>
    <s v="No"/>
    <x v="0"/>
    <s v="Adenocarcinoma"/>
    <x v="2"/>
    <n v="4.4000000000000004"/>
    <s v="Yes"/>
    <s v="Bronchoscopy"/>
    <s v="Chemo + Radiation"/>
    <n v="17"/>
    <s v="No"/>
  </r>
  <r>
    <s v="LC-0734"/>
    <n v="2015"/>
    <d v="2015-01-05T00:00:00"/>
    <s v="Europe"/>
    <s v="Sweden"/>
    <n v="64"/>
    <x v="1"/>
    <x v="0"/>
    <n v="31"/>
    <n v="21"/>
    <x v="0"/>
    <x v="1"/>
    <x v="0"/>
    <x v="2"/>
    <x v="0"/>
    <n v="32.299999999999997"/>
    <x v="0"/>
    <s v="Yes"/>
    <x v="0"/>
    <x v="0"/>
    <x v="0"/>
    <s v="No Mutation"/>
    <s v="No"/>
    <s v="Yes"/>
    <s v="Yes"/>
    <s v="No"/>
    <s v="Yes"/>
    <s v="Yes"/>
    <s v="Yes"/>
    <s v="Yes"/>
    <s v="No"/>
    <s v="No"/>
    <x v="0"/>
    <s v="Adenocarcinoma"/>
    <x v="0"/>
    <n v="5.0999999999999996"/>
    <s v="Yes"/>
    <s v="PET Scan"/>
    <s v="Chemotherapy"/>
    <n v="13"/>
    <s v="No"/>
  </r>
  <r>
    <s v="LC-0735"/>
    <n v="2022"/>
    <d v="2022-11-26T00:00:00"/>
    <s v="South-East Asia"/>
    <s v="Maldives"/>
    <n v="60"/>
    <x v="1"/>
    <x v="2"/>
    <n v="0"/>
    <n v="0"/>
    <x v="0"/>
    <x v="0"/>
    <x v="0"/>
    <x v="0"/>
    <x v="2"/>
    <n v="26.8"/>
    <x v="1"/>
    <s v="No"/>
    <x v="0"/>
    <x v="0"/>
    <x v="1"/>
    <s v="No Mutation"/>
    <s v="No"/>
    <s v="Yes"/>
    <s v="No"/>
    <s v="No"/>
    <s v="Yes"/>
    <s v="No"/>
    <s v="Yes"/>
    <s v="Yes"/>
    <s v="Yes"/>
    <s v="No"/>
    <x v="0"/>
    <s v="Adenocarcinoma"/>
    <x v="1"/>
    <n v="1.3"/>
    <s v="No"/>
    <s v="Biopsy"/>
    <s v="Surgery"/>
    <n v="48"/>
    <s v="No"/>
  </r>
  <r>
    <s v="LC-0736"/>
    <n v="2024"/>
    <d v="2024-01-05T00:00:00"/>
    <s v="Eastern Mediterranean"/>
    <s v="Iran"/>
    <n v="41"/>
    <x v="1"/>
    <x v="0"/>
    <n v="42"/>
    <n v="19"/>
    <x v="1"/>
    <x v="0"/>
    <x v="1"/>
    <x v="0"/>
    <x v="0"/>
    <n v="29.9"/>
    <x v="2"/>
    <s v="No"/>
    <x v="0"/>
    <x v="0"/>
    <x v="0"/>
    <s v="No Mutation"/>
    <s v="No"/>
    <s v="Yes"/>
    <s v="Yes"/>
    <s v="Yes"/>
    <s v="Yes"/>
    <s v="No"/>
    <s v="Yes"/>
    <s v="No"/>
    <s v="No"/>
    <s v="No"/>
    <x v="0"/>
    <s v="Squamous Cell"/>
    <x v="0"/>
    <n v="11.7"/>
    <s v="Yes"/>
    <s v="PET Scan"/>
    <s v="Immunotherapy"/>
    <n v="9"/>
    <s v="No"/>
  </r>
  <r>
    <s v="LC-0737"/>
    <n v="2024"/>
    <d v="2024-04-25T00:00:00"/>
    <s v="Europe"/>
    <s v="Russia"/>
    <n v="66"/>
    <x v="1"/>
    <x v="2"/>
    <n v="0"/>
    <n v="0"/>
    <x v="0"/>
    <x v="0"/>
    <x v="0"/>
    <x v="1"/>
    <x v="1"/>
    <n v="25"/>
    <x v="1"/>
    <s v="No"/>
    <x v="0"/>
    <x v="0"/>
    <x v="0"/>
    <s v="KRAS"/>
    <s v="No"/>
    <s v="No"/>
    <s v="Yes"/>
    <s v="Yes"/>
    <s v="No"/>
    <s v="No"/>
    <s v="No"/>
    <s v="No"/>
    <s v="No"/>
    <s v="No"/>
    <x v="0"/>
    <s v="Squamous Cell"/>
    <x v="1"/>
    <n v="1.1000000000000001"/>
    <s v="No"/>
    <s v="LDCT Screening"/>
    <s v="Surgery"/>
    <n v="39"/>
    <s v="Yes"/>
  </r>
  <r>
    <s v="LC-0738"/>
    <n v="2015"/>
    <d v="2015-06-13T00:00:00"/>
    <s v="Europe"/>
    <s v="Sweden"/>
    <n v="60"/>
    <x v="0"/>
    <x v="2"/>
    <n v="0"/>
    <n v="0"/>
    <x v="1"/>
    <x v="0"/>
    <x v="1"/>
    <x v="0"/>
    <x v="2"/>
    <n v="27.6"/>
    <x v="2"/>
    <s v="No"/>
    <x v="0"/>
    <x v="0"/>
    <x v="0"/>
    <s v="No Mutation"/>
    <s v="No"/>
    <s v="Yes"/>
    <s v="Yes"/>
    <s v="No"/>
    <s v="Yes"/>
    <s v="Yes"/>
    <s v="No"/>
    <s v="No"/>
    <s v="No"/>
    <s v="No"/>
    <x v="0"/>
    <s v="Adenocarcinoma"/>
    <x v="2"/>
    <n v="6.5"/>
    <s v="Yes"/>
    <s v="CT Scan"/>
    <s v="Targeted Therapy"/>
    <n v="16"/>
    <s v="No"/>
  </r>
  <r>
    <s v="LC-0739"/>
    <n v="2023"/>
    <d v="2023-01-20T00:00:00"/>
    <s v="Africa"/>
    <s v="Kenya"/>
    <n v="73"/>
    <x v="1"/>
    <x v="2"/>
    <n v="0"/>
    <n v="0"/>
    <x v="0"/>
    <x v="0"/>
    <x v="0"/>
    <x v="1"/>
    <x v="1"/>
    <n v="30.5"/>
    <x v="2"/>
    <s v="No"/>
    <x v="0"/>
    <x v="0"/>
    <x v="0"/>
    <s v="No Mutation"/>
    <s v="No"/>
    <s v="No"/>
    <s v="No"/>
    <s v="Yes"/>
    <s v="Yes"/>
    <s v="No"/>
    <s v="No"/>
    <s v="No"/>
    <s v="Yes"/>
    <s v="No"/>
    <x v="0"/>
    <s v="Large Cell"/>
    <x v="0"/>
    <n v="7.1"/>
    <s v="Yes"/>
    <s v="PET Scan"/>
    <s v="Radiotherapy"/>
    <n v="1"/>
    <s v="No"/>
  </r>
  <r>
    <s v="LC-0740"/>
    <n v="2018"/>
    <d v="2018-11-15T00:00:00"/>
    <s v="Eastern Mediterranean"/>
    <s v="Jordan"/>
    <n v="51"/>
    <x v="0"/>
    <x v="2"/>
    <n v="0"/>
    <n v="0"/>
    <x v="0"/>
    <x v="0"/>
    <x v="1"/>
    <x v="0"/>
    <x v="2"/>
    <n v="30"/>
    <x v="2"/>
    <s v="Yes"/>
    <x v="0"/>
    <x v="0"/>
    <x v="0"/>
    <s v="ALK"/>
    <s v="Yes"/>
    <s v="No"/>
    <s v="No"/>
    <s v="No"/>
    <s v="No"/>
    <s v="Yes"/>
    <s v="No"/>
    <s v="Yes"/>
    <s v="No"/>
    <s v="Yes"/>
    <x v="0"/>
    <s v="Adenocarcinoma"/>
    <x v="0"/>
    <n v="9.3000000000000007"/>
    <s v="Yes"/>
    <s v="Bronchoscopy"/>
    <s v="Immunotherapy"/>
    <n v="17"/>
    <s v="No"/>
  </r>
  <r>
    <s v="LC-0741"/>
    <n v="2023"/>
    <d v="2023-06-15T00:00:00"/>
    <s v="Europe"/>
    <s v="Germany"/>
    <n v="52"/>
    <x v="0"/>
    <x v="1"/>
    <n v="18"/>
    <n v="18"/>
    <x v="1"/>
    <x v="0"/>
    <x v="1"/>
    <x v="0"/>
    <x v="0"/>
    <n v="28.3"/>
    <x v="2"/>
    <s v="Yes"/>
    <x v="0"/>
    <x v="0"/>
    <x v="0"/>
    <s v="No Mutation"/>
    <s v="Yes"/>
    <s v="No"/>
    <s v="No"/>
    <s v="Yes"/>
    <s v="No"/>
    <s v="Yes"/>
    <s v="Yes"/>
    <s v="No"/>
    <s v="No"/>
    <s v="No"/>
    <x v="0"/>
    <s v="Large Cell"/>
    <x v="0"/>
    <n v="6.8"/>
    <s v="Yes"/>
    <s v="CT Scan"/>
    <s v="Immunotherapy"/>
    <n v="7"/>
    <s v="No"/>
  </r>
  <r>
    <s v="LC-0742"/>
    <n v="2021"/>
    <d v="2021-10-05T00:00:00"/>
    <s v="Americas"/>
    <s v="Cuba"/>
    <n v="64"/>
    <x v="0"/>
    <x v="2"/>
    <n v="0"/>
    <n v="0"/>
    <x v="0"/>
    <x v="1"/>
    <x v="0"/>
    <x v="0"/>
    <x v="0"/>
    <n v="19.7"/>
    <x v="0"/>
    <s v="No"/>
    <x v="0"/>
    <x v="0"/>
    <x v="0"/>
    <s v="No Mutation"/>
    <s v="No"/>
    <s v="No"/>
    <s v="No"/>
    <s v="No"/>
    <s v="No"/>
    <s v="Yes"/>
    <s v="No"/>
    <s v="No"/>
    <s v="No"/>
    <s v="No"/>
    <x v="1"/>
    <s v="Not Applicable"/>
    <x v="2"/>
    <n v="4.7"/>
    <s v="No"/>
    <s v="PET Scan"/>
    <s v="Targeted Therapy"/>
    <n v="10"/>
    <s v="No"/>
  </r>
  <r>
    <s v="LC-0743"/>
    <n v="2024"/>
    <d v="2024-06-13T00:00:00"/>
    <s v="Europe"/>
    <s v="Russia"/>
    <n v="65"/>
    <x v="0"/>
    <x v="1"/>
    <n v="3"/>
    <n v="22"/>
    <x v="0"/>
    <x v="0"/>
    <x v="0"/>
    <x v="2"/>
    <x v="0"/>
    <n v="25.2"/>
    <x v="1"/>
    <s v="Yes"/>
    <x v="0"/>
    <x v="0"/>
    <x v="0"/>
    <s v="TP53"/>
    <s v="Yes"/>
    <s v="No"/>
    <s v="Yes"/>
    <s v="Yes"/>
    <s v="Yes"/>
    <s v="No"/>
    <s v="No"/>
    <s v="No"/>
    <s v="No"/>
    <s v="No"/>
    <x v="0"/>
    <s v="Squamous Cell"/>
    <x v="0"/>
    <n v="8.5"/>
    <s v="Yes"/>
    <s v="PET Scan"/>
    <s v="Immunotherapy"/>
    <n v="6"/>
    <s v="No"/>
  </r>
  <r>
    <s v="LC-0744"/>
    <n v="2025"/>
    <d v="2025-11-09T00:00:00"/>
    <s v="Western Pacific"/>
    <s v="Australia"/>
    <n v="51"/>
    <x v="1"/>
    <x v="2"/>
    <n v="0"/>
    <n v="0"/>
    <x v="1"/>
    <x v="0"/>
    <x v="0"/>
    <x v="2"/>
    <x v="2"/>
    <n v="21.1"/>
    <x v="0"/>
    <s v="No"/>
    <x v="0"/>
    <x v="0"/>
    <x v="0"/>
    <s v="EGFR"/>
    <s v="No"/>
    <s v="No"/>
    <s v="No"/>
    <s v="No"/>
    <s v="Yes"/>
    <s v="No"/>
    <s v="Yes"/>
    <s v="Yes"/>
    <s v="No"/>
    <s v="No"/>
    <x v="0"/>
    <s v="Adenocarcinoma"/>
    <x v="3"/>
    <n v="4.4000000000000004"/>
    <s v="No"/>
    <s v="Bronchoscopy"/>
    <s v="Surgery + Chemotherapy"/>
    <n v="52"/>
    <s v="Yes"/>
  </r>
  <r>
    <s v="LC-0745"/>
    <n v="2019"/>
    <d v="2019-02-01T00:00:00"/>
    <s v="Americas"/>
    <s v="Brazil"/>
    <n v="69"/>
    <x v="1"/>
    <x v="0"/>
    <n v="19"/>
    <n v="31"/>
    <x v="1"/>
    <x v="0"/>
    <x v="0"/>
    <x v="1"/>
    <x v="1"/>
    <n v="22.8"/>
    <x v="1"/>
    <s v="No"/>
    <x v="0"/>
    <x v="1"/>
    <x v="0"/>
    <s v="EGFR"/>
    <s v="No"/>
    <s v="Yes"/>
    <s v="No"/>
    <s v="Yes"/>
    <s v="No"/>
    <s v="Yes"/>
    <s v="No"/>
    <s v="Yes"/>
    <s v="No"/>
    <s v="No"/>
    <x v="0"/>
    <s v="Adenocarcinoma"/>
    <x v="3"/>
    <n v="2.6"/>
    <s v="No"/>
    <s v="Chest X-Ray"/>
    <s v="Surgery + Chemotherapy"/>
    <n v="38"/>
    <s v="Yes"/>
  </r>
  <r>
    <s v="LC-0746"/>
    <n v="2022"/>
    <d v="2022-08-17T00:00:00"/>
    <s v="Europe"/>
    <s v="Turkey"/>
    <n v="40"/>
    <x v="1"/>
    <x v="2"/>
    <n v="0"/>
    <n v="0"/>
    <x v="0"/>
    <x v="0"/>
    <x v="0"/>
    <x v="0"/>
    <x v="0"/>
    <n v="29.3"/>
    <x v="0"/>
    <s v="No"/>
    <x v="0"/>
    <x v="0"/>
    <x v="0"/>
    <s v="TP53"/>
    <s v="No"/>
    <s v="Yes"/>
    <s v="No"/>
    <s v="No"/>
    <s v="No"/>
    <s v="No"/>
    <s v="No"/>
    <s v="No"/>
    <s v="No"/>
    <s v="No"/>
    <x v="0"/>
    <s v="Adenocarcinoma"/>
    <x v="2"/>
    <n v="3.6"/>
    <s v="No"/>
    <s v="CT Scan"/>
    <s v="Chemo + Radiation"/>
    <n v="8"/>
    <s v="No"/>
  </r>
  <r>
    <s v="LC-0747"/>
    <n v="2020"/>
    <d v="2020-09-04T00:00:00"/>
    <s v="Americas"/>
    <s v="Argentina"/>
    <n v="59"/>
    <x v="1"/>
    <x v="0"/>
    <n v="22"/>
    <n v="26"/>
    <x v="1"/>
    <x v="1"/>
    <x v="0"/>
    <x v="2"/>
    <x v="1"/>
    <n v="25"/>
    <x v="1"/>
    <s v="Yes"/>
    <x v="0"/>
    <x v="0"/>
    <x v="0"/>
    <s v="KRAS"/>
    <s v="Yes"/>
    <s v="Yes"/>
    <s v="Yes"/>
    <s v="Yes"/>
    <s v="No"/>
    <s v="Yes"/>
    <s v="Yes"/>
    <s v="No"/>
    <s v="No"/>
    <s v="No"/>
    <x v="0"/>
    <s v="Squamous Cell"/>
    <x v="3"/>
    <n v="3.5"/>
    <s v="No"/>
    <s v="Biopsy"/>
    <s v="Immunotherapy"/>
    <n v="24"/>
    <s v="No"/>
  </r>
  <r>
    <s v="LC-0748"/>
    <n v="2018"/>
    <d v="2018-05-23T00:00:00"/>
    <s v="Eastern Mediterranean"/>
    <s v="Oman"/>
    <n v="51"/>
    <x v="0"/>
    <x v="0"/>
    <n v="19"/>
    <n v="29"/>
    <x v="1"/>
    <x v="1"/>
    <x v="1"/>
    <x v="0"/>
    <x v="2"/>
    <n v="25.7"/>
    <x v="1"/>
    <s v="No"/>
    <x v="0"/>
    <x v="0"/>
    <x v="0"/>
    <s v="No Mutation"/>
    <s v="Yes"/>
    <s v="Yes"/>
    <s v="Yes"/>
    <s v="No"/>
    <s v="Yes"/>
    <s v="No"/>
    <s v="No"/>
    <s v="No"/>
    <s v="No"/>
    <s v="Yes"/>
    <x v="1"/>
    <s v="Not Applicable"/>
    <x v="3"/>
    <n v="4"/>
    <s v="No"/>
    <s v="Bronchoscopy"/>
    <s v="Surgery + Chemotherapy"/>
    <n v="35"/>
    <s v="No"/>
  </r>
  <r>
    <s v="LC-0749"/>
    <n v="2021"/>
    <d v="2021-04-20T00:00:00"/>
    <s v="Americas"/>
    <s v="Argentina"/>
    <n v="56"/>
    <x v="1"/>
    <x v="2"/>
    <n v="0"/>
    <n v="0"/>
    <x v="0"/>
    <x v="1"/>
    <x v="0"/>
    <x v="0"/>
    <x v="2"/>
    <n v="27.1"/>
    <x v="0"/>
    <s v="No"/>
    <x v="0"/>
    <x v="0"/>
    <x v="0"/>
    <s v="ALK"/>
    <s v="No"/>
    <s v="Yes"/>
    <s v="No"/>
    <s v="Yes"/>
    <s v="No"/>
    <s v="No"/>
    <s v="No"/>
    <s v="Yes"/>
    <s v="No"/>
    <s v="No"/>
    <x v="1"/>
    <s v="Not Applicable"/>
    <x v="0"/>
    <n v="7.2"/>
    <s v="Yes"/>
    <s v="CT Scan"/>
    <s v="Targeted Therapy"/>
    <n v="1"/>
    <s v="No"/>
  </r>
  <r>
    <s v="LC-0750"/>
    <n v="2025"/>
    <d v="2025-12-16T00:00:00"/>
    <s v="Europe"/>
    <s v="Italy"/>
    <n v="56"/>
    <x v="1"/>
    <x v="1"/>
    <n v="8"/>
    <n v="10"/>
    <x v="0"/>
    <x v="0"/>
    <x v="1"/>
    <x v="1"/>
    <x v="0"/>
    <n v="18.5"/>
    <x v="2"/>
    <s v="Yes"/>
    <x v="0"/>
    <x v="0"/>
    <x v="0"/>
    <s v="No Mutation"/>
    <s v="Yes"/>
    <s v="Yes"/>
    <s v="No"/>
    <s v="Yes"/>
    <s v="Yes"/>
    <s v="Yes"/>
    <s v="No"/>
    <s v="No"/>
    <s v="Yes"/>
    <s v="No"/>
    <x v="0"/>
    <s v="Adenocarcinoma"/>
    <x v="3"/>
    <n v="4.4000000000000004"/>
    <s v="No"/>
    <s v="PET Scan"/>
    <s v="Surgery + Chemotherapy"/>
    <n v="37"/>
    <s v="Yes"/>
  </r>
  <r>
    <s v="LC-0751"/>
    <n v="2019"/>
    <d v="2019-02-05T00:00:00"/>
    <s v="Eastern Mediterranean"/>
    <s v="Iran"/>
    <n v="72"/>
    <x v="1"/>
    <x v="2"/>
    <n v="0"/>
    <n v="0"/>
    <x v="0"/>
    <x v="0"/>
    <x v="0"/>
    <x v="2"/>
    <x v="0"/>
    <n v="30.3"/>
    <x v="1"/>
    <s v="No"/>
    <x v="0"/>
    <x v="0"/>
    <x v="0"/>
    <s v="No Mutation"/>
    <s v="No"/>
    <s v="Yes"/>
    <s v="No"/>
    <s v="No"/>
    <s v="Yes"/>
    <s v="No"/>
    <s v="No"/>
    <s v="No"/>
    <s v="No"/>
    <s v="No"/>
    <x v="0"/>
    <s v="Adenocarcinoma"/>
    <x v="1"/>
    <n v="2.2000000000000002"/>
    <s v="No"/>
    <s v="Chest X-Ray"/>
    <s v="Surgery + Chemotherapy"/>
    <n v="58"/>
    <s v="Yes"/>
  </r>
  <r>
    <s v="LC-0752"/>
    <n v="2022"/>
    <d v="2022-08-06T00:00:00"/>
    <s v="Western Pacific"/>
    <s v="New Zealand"/>
    <n v="54"/>
    <x v="1"/>
    <x v="2"/>
    <n v="0"/>
    <n v="0"/>
    <x v="1"/>
    <x v="0"/>
    <x v="1"/>
    <x v="2"/>
    <x v="2"/>
    <n v="25"/>
    <x v="1"/>
    <s v="No"/>
    <x v="0"/>
    <x v="0"/>
    <x v="1"/>
    <s v="HER2"/>
    <s v="No"/>
    <s v="No"/>
    <s v="No"/>
    <s v="No"/>
    <s v="Yes"/>
    <s v="No"/>
    <s v="Yes"/>
    <s v="No"/>
    <s v="No"/>
    <s v="No"/>
    <x v="0"/>
    <s v="Adenocarcinoma"/>
    <x v="0"/>
    <n v="6.2"/>
    <s v="Yes"/>
    <s v="CT Scan"/>
    <s v="Chemotherapy"/>
    <n v="5"/>
    <s v="No"/>
  </r>
  <r>
    <s v="LC-0753"/>
    <n v="2022"/>
    <d v="2022-02-26T00:00:00"/>
    <s v="Eastern Mediterranean"/>
    <s v="Jordan"/>
    <n v="60"/>
    <x v="0"/>
    <x v="2"/>
    <n v="0"/>
    <n v="0"/>
    <x v="0"/>
    <x v="0"/>
    <x v="0"/>
    <x v="0"/>
    <x v="0"/>
    <n v="36.6"/>
    <x v="0"/>
    <s v="No"/>
    <x v="0"/>
    <x v="0"/>
    <x v="0"/>
    <s v="MET"/>
    <s v="No"/>
    <s v="No"/>
    <s v="No"/>
    <s v="No"/>
    <s v="No"/>
    <s v="No"/>
    <s v="No"/>
    <s v="No"/>
    <s v="No"/>
    <s v="No"/>
    <x v="0"/>
    <s v="Adenocarcinoma"/>
    <x v="1"/>
    <n v="2"/>
    <s v="No"/>
    <s v="Bronchoscopy"/>
    <s v="Surgery"/>
    <n v="63"/>
    <s v="Yes"/>
  </r>
  <r>
    <s v="LC-0754"/>
    <n v="2020"/>
    <d v="2020-11-12T00:00:00"/>
    <s v="Europe"/>
    <s v="Germany"/>
    <n v="56"/>
    <x v="1"/>
    <x v="0"/>
    <n v="7"/>
    <n v="30"/>
    <x v="1"/>
    <x v="1"/>
    <x v="0"/>
    <x v="0"/>
    <x v="0"/>
    <n v="24.1"/>
    <x v="1"/>
    <s v="Yes"/>
    <x v="0"/>
    <x v="0"/>
    <x v="0"/>
    <s v="No Mutation"/>
    <s v="Yes"/>
    <s v="Yes"/>
    <s v="Yes"/>
    <s v="No"/>
    <s v="No"/>
    <s v="Yes"/>
    <s v="No"/>
    <s v="No"/>
    <s v="No"/>
    <s v="No"/>
    <x v="0"/>
    <s v="Adenocarcinoma"/>
    <x v="0"/>
    <n v="5.0999999999999996"/>
    <s v="Yes"/>
    <s v="Biopsy"/>
    <s v="Radiotherapy"/>
    <n v="7"/>
    <s v="No"/>
  </r>
  <r>
    <s v="LC-0755"/>
    <n v="2022"/>
    <d v="2022-09-18T00:00:00"/>
    <s v="Western Pacific"/>
    <s v="Philippines"/>
    <n v="69"/>
    <x v="0"/>
    <x v="2"/>
    <n v="0"/>
    <n v="0"/>
    <x v="0"/>
    <x v="0"/>
    <x v="0"/>
    <x v="0"/>
    <x v="2"/>
    <n v="32.1"/>
    <x v="0"/>
    <s v="No"/>
    <x v="0"/>
    <x v="0"/>
    <x v="0"/>
    <s v="No Mutation"/>
    <s v="Yes"/>
    <s v="Yes"/>
    <s v="No"/>
    <s v="No"/>
    <s v="Yes"/>
    <s v="No"/>
    <s v="Yes"/>
    <s v="Yes"/>
    <s v="No"/>
    <s v="No"/>
    <x v="0"/>
    <s v="Large Cell"/>
    <x v="0"/>
    <n v="9.1"/>
    <s v="Yes"/>
    <s v="CT Scan"/>
    <s v="Immunotherapy"/>
    <n v="12"/>
    <s v="No"/>
  </r>
  <r>
    <s v="LC-0756"/>
    <n v="2021"/>
    <d v="2021-05-28T00:00:00"/>
    <s v="Americas"/>
    <s v="Brazil"/>
    <n v="74"/>
    <x v="1"/>
    <x v="0"/>
    <n v="41"/>
    <n v="29"/>
    <x v="1"/>
    <x v="0"/>
    <x v="1"/>
    <x v="0"/>
    <x v="2"/>
    <n v="23.3"/>
    <x v="1"/>
    <s v="No"/>
    <x v="0"/>
    <x v="0"/>
    <x v="0"/>
    <s v="TP53"/>
    <s v="Yes"/>
    <s v="Yes"/>
    <s v="Yes"/>
    <s v="Yes"/>
    <s v="Yes"/>
    <s v="Yes"/>
    <s v="No"/>
    <s v="Yes"/>
    <s v="No"/>
    <s v="No"/>
    <x v="0"/>
    <s v="Adenocarcinoma"/>
    <x v="3"/>
    <n v="3.9"/>
    <s v="No"/>
    <s v="CT Scan"/>
    <s v="Radiotherapy"/>
    <n v="6"/>
    <s v="No"/>
  </r>
  <r>
    <s v="LC-0757"/>
    <n v="2017"/>
    <d v="2017-12-23T00:00:00"/>
    <s v="South-East Asia"/>
    <s v="Indonesia"/>
    <n v="44"/>
    <x v="1"/>
    <x v="2"/>
    <n v="0"/>
    <n v="0"/>
    <x v="1"/>
    <x v="0"/>
    <x v="0"/>
    <x v="0"/>
    <x v="0"/>
    <n v="26.5"/>
    <x v="1"/>
    <s v="No"/>
    <x v="0"/>
    <x v="0"/>
    <x v="0"/>
    <s v="No Mutation"/>
    <s v="Yes"/>
    <s v="No"/>
    <s v="No"/>
    <s v="Yes"/>
    <s v="Yes"/>
    <s v="No"/>
    <s v="No"/>
    <s v="No"/>
    <s v="No"/>
    <s v="No"/>
    <x v="0"/>
    <s v="Large Cell"/>
    <x v="1"/>
    <n v="2.9"/>
    <s v="No"/>
    <s v="LDCT Screening"/>
    <s v="Surgery"/>
    <n v="64"/>
    <s v="No"/>
  </r>
  <r>
    <s v="LC-0758"/>
    <n v="2024"/>
    <d v="2024-06-17T00:00:00"/>
    <s v="Europe"/>
    <s v="Italy"/>
    <n v="65"/>
    <x v="1"/>
    <x v="0"/>
    <n v="13"/>
    <n v="28"/>
    <x v="1"/>
    <x v="1"/>
    <x v="1"/>
    <x v="0"/>
    <x v="0"/>
    <n v="38.200000000000003"/>
    <x v="1"/>
    <s v="No"/>
    <x v="0"/>
    <x v="0"/>
    <x v="0"/>
    <s v="No Mutation"/>
    <s v="Yes"/>
    <s v="Yes"/>
    <s v="No"/>
    <s v="No"/>
    <s v="Yes"/>
    <s v="Yes"/>
    <s v="No"/>
    <s v="Yes"/>
    <s v="No"/>
    <s v="No"/>
    <x v="0"/>
    <s v="Adenocarcinoma"/>
    <x v="3"/>
    <n v="6.9"/>
    <s v="No"/>
    <s v="Chest X-Ray"/>
    <s v="Radiotherapy"/>
    <n v="20"/>
    <s v="No"/>
  </r>
  <r>
    <s v="LC-0759"/>
    <n v="2023"/>
    <d v="2023-02-07T00:00:00"/>
    <s v="South-East Asia"/>
    <s v="Indonesia"/>
    <n v="47"/>
    <x v="0"/>
    <x v="2"/>
    <n v="0"/>
    <n v="0"/>
    <x v="0"/>
    <x v="1"/>
    <x v="1"/>
    <x v="1"/>
    <x v="1"/>
    <n v="31.4"/>
    <x v="2"/>
    <s v="No"/>
    <x v="1"/>
    <x v="0"/>
    <x v="0"/>
    <s v="No Mutation"/>
    <s v="No"/>
    <s v="Yes"/>
    <s v="No"/>
    <s v="No"/>
    <s v="Yes"/>
    <s v="No"/>
    <s v="No"/>
    <s v="Yes"/>
    <s v="No"/>
    <s v="No"/>
    <x v="0"/>
    <s v="Adenocarcinoma"/>
    <x v="0"/>
    <n v="12.5"/>
    <s v="Yes"/>
    <s v="PET Scan"/>
    <s v="Chemo + Radiation"/>
    <n v="1"/>
    <s v="No"/>
  </r>
  <r>
    <s v="LC-0760"/>
    <n v="2020"/>
    <d v="2020-04-26T00:00:00"/>
    <s v="Western Pacific"/>
    <s v="New Zealand"/>
    <n v="77"/>
    <x v="1"/>
    <x v="2"/>
    <n v="0"/>
    <n v="0"/>
    <x v="0"/>
    <x v="0"/>
    <x v="0"/>
    <x v="0"/>
    <x v="0"/>
    <n v="30.3"/>
    <x v="0"/>
    <s v="No"/>
    <x v="0"/>
    <x v="0"/>
    <x v="0"/>
    <s v="EGFR"/>
    <s v="No"/>
    <s v="No"/>
    <s v="No"/>
    <s v="No"/>
    <s v="No"/>
    <s v="No"/>
    <s v="No"/>
    <s v="No"/>
    <s v="No"/>
    <s v="Yes"/>
    <x v="0"/>
    <s v="Adenocarcinoma"/>
    <x v="2"/>
    <n v="6.5"/>
    <s v="Yes"/>
    <s v="Biopsy"/>
    <s v="Surgery + Chemotherapy"/>
    <n v="12"/>
    <s v="No"/>
  </r>
  <r>
    <s v="LC-0761"/>
    <n v="2022"/>
    <d v="2022-01-12T00:00:00"/>
    <s v="Western Pacific"/>
    <s v="Singapore"/>
    <n v="66"/>
    <x v="1"/>
    <x v="2"/>
    <n v="0"/>
    <n v="0"/>
    <x v="0"/>
    <x v="0"/>
    <x v="0"/>
    <x v="0"/>
    <x v="2"/>
    <n v="28.3"/>
    <x v="0"/>
    <s v="No"/>
    <x v="0"/>
    <x v="0"/>
    <x v="0"/>
    <s v="KRAS"/>
    <s v="No"/>
    <s v="Yes"/>
    <s v="No"/>
    <s v="No"/>
    <s v="Yes"/>
    <s v="No"/>
    <s v="No"/>
    <s v="No"/>
    <s v="No"/>
    <s v="No"/>
    <x v="0"/>
    <s v="Squamous Cell"/>
    <x v="3"/>
    <n v="3.6"/>
    <s v="No"/>
    <s v="CT Scan"/>
    <s v="Surgery + Chemotherapy"/>
    <n v="30"/>
    <s v="Yes"/>
  </r>
  <r>
    <s v="LC-0762"/>
    <n v="2016"/>
    <d v="2016-10-12T00:00:00"/>
    <s v="Eastern Mediterranean"/>
    <s v="Oman"/>
    <n v="60"/>
    <x v="0"/>
    <x v="2"/>
    <n v="0"/>
    <n v="0"/>
    <x v="1"/>
    <x v="0"/>
    <x v="0"/>
    <x v="1"/>
    <x v="0"/>
    <n v="20.8"/>
    <x v="1"/>
    <s v="No"/>
    <x v="0"/>
    <x v="0"/>
    <x v="0"/>
    <s v="No Mutation"/>
    <s v="Yes"/>
    <s v="Yes"/>
    <s v="Yes"/>
    <s v="No"/>
    <s v="Yes"/>
    <s v="No"/>
    <s v="No"/>
    <s v="No"/>
    <s v="No"/>
    <s v="No"/>
    <x v="0"/>
    <s v="Squamous Cell"/>
    <x v="2"/>
    <n v="3.7"/>
    <s v="No"/>
    <s v="CT Scan"/>
    <s v="Chemotherapy"/>
    <n v="13"/>
    <s v="No"/>
  </r>
  <r>
    <s v="LC-0763"/>
    <n v="2024"/>
    <d v="2024-09-05T00:00:00"/>
    <s v="Americas"/>
    <s v="Venezuela"/>
    <n v="64"/>
    <x v="1"/>
    <x v="2"/>
    <n v="0"/>
    <n v="0"/>
    <x v="1"/>
    <x v="1"/>
    <x v="1"/>
    <x v="0"/>
    <x v="0"/>
    <n v="17.3"/>
    <x v="0"/>
    <s v="No"/>
    <x v="0"/>
    <x v="0"/>
    <x v="0"/>
    <s v="ROS1"/>
    <s v="Yes"/>
    <s v="No"/>
    <s v="Yes"/>
    <s v="No"/>
    <s v="Yes"/>
    <s v="No"/>
    <s v="No"/>
    <s v="Yes"/>
    <s v="No"/>
    <s v="No"/>
    <x v="0"/>
    <s v="Adenocarcinoma"/>
    <x v="1"/>
    <n v="1.6"/>
    <s v="No"/>
    <s v="CT Scan"/>
    <s v="Radiotherapy"/>
    <n v="54"/>
    <s v="Yes"/>
  </r>
  <r>
    <s v="LC-0764"/>
    <n v="2024"/>
    <d v="2024-02-03T00:00:00"/>
    <s v="Eastern Mediterranean"/>
    <s v="Iraq"/>
    <n v="65"/>
    <x v="1"/>
    <x v="2"/>
    <n v="0"/>
    <n v="0"/>
    <x v="1"/>
    <x v="0"/>
    <x v="0"/>
    <x v="0"/>
    <x v="0"/>
    <n v="27.8"/>
    <x v="1"/>
    <s v="No"/>
    <x v="0"/>
    <x v="0"/>
    <x v="0"/>
    <s v="No Mutation"/>
    <s v="No"/>
    <s v="No"/>
    <s v="No"/>
    <s v="No"/>
    <s v="Yes"/>
    <s v="No"/>
    <s v="Yes"/>
    <s v="No"/>
    <s v="No"/>
    <s v="No"/>
    <x v="0"/>
    <s v="Squamous Cell"/>
    <x v="0"/>
    <n v="7.7"/>
    <s v="Yes"/>
    <s v="PET Scan"/>
    <s v="Targeted Therapy"/>
    <n v="9"/>
    <s v="No"/>
  </r>
  <r>
    <s v="LC-0765"/>
    <n v="2018"/>
    <d v="2018-07-23T00:00:00"/>
    <s v="Eastern Mediterranean"/>
    <s v="Oman"/>
    <n v="41"/>
    <x v="1"/>
    <x v="2"/>
    <n v="0"/>
    <n v="0"/>
    <x v="0"/>
    <x v="0"/>
    <x v="0"/>
    <x v="1"/>
    <x v="2"/>
    <n v="22.9"/>
    <x v="2"/>
    <s v="No"/>
    <x v="0"/>
    <x v="0"/>
    <x v="0"/>
    <s v="EGFR"/>
    <s v="No"/>
    <s v="No"/>
    <s v="Yes"/>
    <s v="No"/>
    <s v="No"/>
    <s v="No"/>
    <s v="Yes"/>
    <s v="Yes"/>
    <s v="No"/>
    <s v="No"/>
    <x v="0"/>
    <s v="Adenocarcinoma"/>
    <x v="3"/>
    <n v="2.6"/>
    <s v="No"/>
    <s v="Chest X-Ray"/>
    <s v="Surgery"/>
    <n v="46"/>
    <s v="No"/>
  </r>
  <r>
    <s v="LC-0766"/>
    <n v="2019"/>
    <d v="2019-09-14T00:00:00"/>
    <s v="Europe"/>
    <s v="Turkey"/>
    <n v="72"/>
    <x v="1"/>
    <x v="1"/>
    <n v="25"/>
    <n v="8"/>
    <x v="0"/>
    <x v="1"/>
    <x v="0"/>
    <x v="2"/>
    <x v="2"/>
    <n v="21.5"/>
    <x v="2"/>
    <s v="No"/>
    <x v="0"/>
    <x v="0"/>
    <x v="0"/>
    <s v="No Mutation"/>
    <s v="No"/>
    <s v="No"/>
    <s v="Yes"/>
    <s v="No"/>
    <s v="Yes"/>
    <s v="No"/>
    <s v="No"/>
    <s v="No"/>
    <s v="No"/>
    <s v="No"/>
    <x v="0"/>
    <s v="Large Cell"/>
    <x v="0"/>
    <n v="7.9"/>
    <s v="Yes"/>
    <s v="Bronchoscopy"/>
    <s v="Chemotherapy"/>
    <n v="6"/>
    <s v="No"/>
  </r>
  <r>
    <s v="LC-0767"/>
    <n v="2017"/>
    <d v="2017-10-03T00:00:00"/>
    <s v="Europe"/>
    <s v="France"/>
    <n v="47"/>
    <x v="0"/>
    <x v="2"/>
    <n v="0"/>
    <n v="0"/>
    <x v="0"/>
    <x v="0"/>
    <x v="0"/>
    <x v="2"/>
    <x v="2"/>
    <n v="33.799999999999997"/>
    <x v="0"/>
    <s v="No"/>
    <x v="0"/>
    <x v="0"/>
    <x v="0"/>
    <s v="No Mutation"/>
    <s v="No"/>
    <s v="No"/>
    <s v="No"/>
    <s v="No"/>
    <s v="Yes"/>
    <s v="Yes"/>
    <s v="No"/>
    <s v="No"/>
    <s v="No"/>
    <s v="No"/>
    <x v="0"/>
    <s v="Adenocarcinoma"/>
    <x v="1"/>
    <n v="3.8"/>
    <s v="No"/>
    <s v="Chest X-Ray"/>
    <s v="Surgery"/>
    <n v="77"/>
    <s v="No"/>
  </r>
  <r>
    <s v="LC-0768"/>
    <n v="2024"/>
    <d v="2024-06-21T00:00:00"/>
    <s v="Europe"/>
    <s v="Germany"/>
    <n v="60"/>
    <x v="1"/>
    <x v="2"/>
    <n v="0"/>
    <n v="0"/>
    <x v="0"/>
    <x v="0"/>
    <x v="0"/>
    <x v="0"/>
    <x v="2"/>
    <n v="22"/>
    <x v="1"/>
    <s v="No"/>
    <x v="0"/>
    <x v="0"/>
    <x v="0"/>
    <s v="MET"/>
    <s v="No"/>
    <s v="No"/>
    <s v="No"/>
    <s v="No"/>
    <s v="Yes"/>
    <s v="No"/>
    <s v="No"/>
    <s v="No"/>
    <s v="No"/>
    <s v="No"/>
    <x v="0"/>
    <s v="Adenocarcinoma"/>
    <x v="0"/>
    <n v="6.1"/>
    <s v="Yes"/>
    <s v="PET Scan"/>
    <s v="Chemotherapy"/>
    <n v="9"/>
    <s v="No"/>
  </r>
  <r>
    <s v="LC-0769"/>
    <n v="2023"/>
    <d v="2023-08-15T00:00:00"/>
    <s v="Western Pacific"/>
    <s v="Singapore"/>
    <n v="83"/>
    <x v="1"/>
    <x v="2"/>
    <n v="0"/>
    <n v="0"/>
    <x v="0"/>
    <x v="0"/>
    <x v="1"/>
    <x v="1"/>
    <x v="2"/>
    <n v="30.7"/>
    <x v="2"/>
    <s v="Yes"/>
    <x v="1"/>
    <x v="1"/>
    <x v="0"/>
    <s v="HER2"/>
    <s v="No"/>
    <s v="No"/>
    <s v="Yes"/>
    <s v="No"/>
    <s v="Yes"/>
    <s v="No"/>
    <s v="No"/>
    <s v="No"/>
    <s v="No"/>
    <s v="Yes"/>
    <x v="0"/>
    <s v="Adenocarcinoma"/>
    <x v="0"/>
    <n v="9.5"/>
    <s v="Yes"/>
    <s v="CT Scan"/>
    <s v="Chemotherapy"/>
    <n v="13"/>
    <s v="No"/>
  </r>
  <r>
    <s v="LC-0770"/>
    <n v="2024"/>
    <d v="2024-06-05T00:00:00"/>
    <s v="Americas"/>
    <s v="Cuba"/>
    <n v="47"/>
    <x v="0"/>
    <x v="2"/>
    <n v="0"/>
    <n v="0"/>
    <x v="1"/>
    <x v="0"/>
    <x v="0"/>
    <x v="2"/>
    <x v="0"/>
    <n v="24.3"/>
    <x v="2"/>
    <s v="No"/>
    <x v="0"/>
    <x v="0"/>
    <x v="0"/>
    <s v="EGFR"/>
    <s v="No"/>
    <s v="No"/>
    <s v="Yes"/>
    <s v="Yes"/>
    <s v="No"/>
    <s v="No"/>
    <s v="No"/>
    <s v="No"/>
    <s v="No"/>
    <s v="No"/>
    <x v="0"/>
    <s v="Adenocarcinoma"/>
    <x v="1"/>
    <n v="0.8"/>
    <s v="No"/>
    <s v="CT Scan"/>
    <s v="Surgery + Chemotherapy"/>
    <n v="57"/>
    <s v="Yes"/>
  </r>
  <r>
    <s v="LC-0771"/>
    <n v="2022"/>
    <d v="2022-11-19T00:00:00"/>
    <s v="Europe"/>
    <s v="France"/>
    <n v="71"/>
    <x v="1"/>
    <x v="2"/>
    <n v="0"/>
    <n v="0"/>
    <x v="1"/>
    <x v="0"/>
    <x v="0"/>
    <x v="2"/>
    <x v="0"/>
    <n v="16.8"/>
    <x v="0"/>
    <s v="No"/>
    <x v="0"/>
    <x v="1"/>
    <x v="0"/>
    <s v="ALK"/>
    <s v="No"/>
    <s v="No"/>
    <s v="No"/>
    <s v="No"/>
    <s v="Yes"/>
    <s v="Yes"/>
    <s v="No"/>
    <s v="No"/>
    <s v="No"/>
    <s v="No"/>
    <x v="0"/>
    <s v="Adenocarcinoma"/>
    <x v="3"/>
    <n v="4.8"/>
    <s v="No"/>
    <s v="PET Scan"/>
    <s v="Surgery + Chemotherapy"/>
    <n v="37"/>
    <s v="No"/>
  </r>
  <r>
    <s v="LC-0772"/>
    <n v="2023"/>
    <d v="2023-03-14T00:00:00"/>
    <s v="Europe"/>
    <s v="Netherlands"/>
    <n v="47"/>
    <x v="1"/>
    <x v="0"/>
    <n v="37"/>
    <n v="29"/>
    <x v="1"/>
    <x v="0"/>
    <x v="0"/>
    <x v="1"/>
    <x v="0"/>
    <n v="24.9"/>
    <x v="0"/>
    <s v="Yes"/>
    <x v="0"/>
    <x v="0"/>
    <x v="0"/>
    <s v="TP53"/>
    <s v="No"/>
    <s v="No"/>
    <s v="Yes"/>
    <s v="No"/>
    <s v="Yes"/>
    <s v="Yes"/>
    <s v="No"/>
    <s v="No"/>
    <s v="No"/>
    <s v="No"/>
    <x v="1"/>
    <s v="Not Applicable"/>
    <x v="0"/>
    <n v="9.1999999999999993"/>
    <s v="Yes"/>
    <s v="Chest X-Ray"/>
    <s v="Targeted Therapy"/>
    <n v="8"/>
    <s v="No"/>
  </r>
  <r>
    <s v="LC-0773"/>
    <n v="2024"/>
    <d v="2024-01-27T00:00:00"/>
    <s v="Europe"/>
    <s v="Germany"/>
    <n v="75"/>
    <x v="1"/>
    <x v="0"/>
    <n v="10"/>
    <n v="30"/>
    <x v="0"/>
    <x v="0"/>
    <x v="0"/>
    <x v="2"/>
    <x v="2"/>
    <n v="23.4"/>
    <x v="2"/>
    <s v="Yes"/>
    <x v="0"/>
    <x v="0"/>
    <x v="0"/>
    <s v="No Mutation"/>
    <s v="Yes"/>
    <s v="Yes"/>
    <s v="Yes"/>
    <s v="Yes"/>
    <s v="No"/>
    <s v="No"/>
    <s v="No"/>
    <s v="No"/>
    <s v="No"/>
    <s v="No"/>
    <x v="1"/>
    <s v="Not Applicable"/>
    <x v="3"/>
    <n v="5"/>
    <s v="No"/>
    <s v="PET Scan"/>
    <s v="Chemotherapy"/>
    <n v="40"/>
    <s v="No"/>
  </r>
  <r>
    <s v="LC-0774"/>
    <n v="2023"/>
    <d v="2023-09-05T00:00:00"/>
    <s v="Western Pacific"/>
    <s v="Philippines"/>
    <n v="63"/>
    <x v="1"/>
    <x v="2"/>
    <n v="0"/>
    <n v="0"/>
    <x v="1"/>
    <x v="0"/>
    <x v="0"/>
    <x v="1"/>
    <x v="0"/>
    <n v="29.7"/>
    <x v="1"/>
    <s v="No"/>
    <x v="0"/>
    <x v="0"/>
    <x v="0"/>
    <s v="No Mutation"/>
    <s v="No"/>
    <s v="No"/>
    <s v="No"/>
    <s v="No"/>
    <s v="Yes"/>
    <s v="Yes"/>
    <s v="No"/>
    <s v="No"/>
    <s v="No"/>
    <s v="No"/>
    <x v="0"/>
    <s v="Adenocarcinoma"/>
    <x v="2"/>
    <n v="6.1"/>
    <s v="No"/>
    <s v="CT Scan"/>
    <s v="Chemo + Radiation"/>
    <n v="8"/>
    <s v="Yes"/>
  </r>
  <r>
    <s v="LC-0775"/>
    <n v="2021"/>
    <d v="2021-03-06T00:00:00"/>
    <s v="Americas"/>
    <s v="Colombia"/>
    <n v="62"/>
    <x v="1"/>
    <x v="2"/>
    <n v="0"/>
    <n v="0"/>
    <x v="1"/>
    <x v="1"/>
    <x v="0"/>
    <x v="0"/>
    <x v="2"/>
    <n v="22.3"/>
    <x v="2"/>
    <s v="No"/>
    <x v="0"/>
    <x v="0"/>
    <x v="0"/>
    <s v="ALK"/>
    <s v="No"/>
    <s v="No"/>
    <s v="No"/>
    <s v="No"/>
    <s v="Yes"/>
    <s v="Yes"/>
    <s v="No"/>
    <s v="Yes"/>
    <s v="No"/>
    <s v="Yes"/>
    <x v="0"/>
    <s v="Adenocarcinoma"/>
    <x v="0"/>
    <n v="6.8"/>
    <s v="Yes"/>
    <s v="Chest X-Ray"/>
    <s v="Radiotherapy"/>
    <n v="5"/>
    <s v="No"/>
  </r>
  <r>
    <s v="LC-0776"/>
    <n v="2023"/>
    <d v="2023-12-08T00:00:00"/>
    <s v="Americas"/>
    <s v="Colombia"/>
    <n v="62"/>
    <x v="1"/>
    <x v="0"/>
    <n v="18"/>
    <n v="26"/>
    <x v="0"/>
    <x v="0"/>
    <x v="0"/>
    <x v="2"/>
    <x v="2"/>
    <n v="23.2"/>
    <x v="0"/>
    <s v="No"/>
    <x v="0"/>
    <x v="0"/>
    <x v="0"/>
    <s v="ROS1"/>
    <s v="Yes"/>
    <s v="Yes"/>
    <s v="Yes"/>
    <s v="Yes"/>
    <s v="Yes"/>
    <s v="Yes"/>
    <s v="No"/>
    <s v="No"/>
    <s v="Yes"/>
    <s v="No"/>
    <x v="0"/>
    <s v="Adenocarcinoma"/>
    <x v="1"/>
    <n v="2.6"/>
    <s v="No"/>
    <s v="Chest X-Ray"/>
    <s v="Surgery"/>
    <n v="43"/>
    <s v="No"/>
  </r>
  <r>
    <s v="LC-0777"/>
    <n v="2016"/>
    <d v="2016-09-10T00:00:00"/>
    <s v="South-East Asia"/>
    <s v="Bangladesh"/>
    <n v="56"/>
    <x v="1"/>
    <x v="2"/>
    <n v="0"/>
    <n v="0"/>
    <x v="1"/>
    <x v="0"/>
    <x v="0"/>
    <x v="2"/>
    <x v="2"/>
    <n v="30.3"/>
    <x v="0"/>
    <s v="No"/>
    <x v="0"/>
    <x v="0"/>
    <x v="0"/>
    <s v="HER2"/>
    <s v="Yes"/>
    <s v="Yes"/>
    <s v="No"/>
    <s v="Yes"/>
    <s v="Yes"/>
    <s v="No"/>
    <s v="No"/>
    <s v="No"/>
    <s v="No"/>
    <s v="No"/>
    <x v="0"/>
    <s v="Adenocarcinoma"/>
    <x v="2"/>
    <n v="8.1999999999999993"/>
    <s v="No"/>
    <s v="MRI"/>
    <s v="Chemotherapy"/>
    <n v="10"/>
    <s v="Yes"/>
  </r>
  <r>
    <s v="LC-0778"/>
    <n v="2016"/>
    <d v="2016-05-07T00:00:00"/>
    <s v="Europe"/>
    <s v="Netherlands"/>
    <n v="61"/>
    <x v="1"/>
    <x v="0"/>
    <n v="5"/>
    <n v="15"/>
    <x v="1"/>
    <x v="0"/>
    <x v="0"/>
    <x v="0"/>
    <x v="2"/>
    <n v="27.8"/>
    <x v="1"/>
    <s v="No"/>
    <x v="0"/>
    <x v="1"/>
    <x v="0"/>
    <s v="TP53"/>
    <s v="Yes"/>
    <s v="Yes"/>
    <s v="No"/>
    <s v="No"/>
    <s v="Yes"/>
    <s v="No"/>
    <s v="No"/>
    <s v="No"/>
    <s v="No"/>
    <s v="No"/>
    <x v="1"/>
    <s v="Not Applicable"/>
    <x v="2"/>
    <n v="4.3"/>
    <s v="No"/>
    <s v="Biopsy"/>
    <s v="Chemo + Radiation"/>
    <n v="5"/>
    <s v="No"/>
  </r>
  <r>
    <s v="LC-0779"/>
    <n v="2017"/>
    <d v="2017-05-05T00:00:00"/>
    <s v="South-East Asia"/>
    <s v="Myanmar"/>
    <n v="49"/>
    <x v="0"/>
    <x v="2"/>
    <n v="0"/>
    <n v="0"/>
    <x v="0"/>
    <x v="1"/>
    <x v="1"/>
    <x v="0"/>
    <x v="0"/>
    <n v="31.4"/>
    <x v="1"/>
    <s v="No"/>
    <x v="0"/>
    <x v="0"/>
    <x v="0"/>
    <s v="EGFR"/>
    <s v="No"/>
    <s v="No"/>
    <s v="No"/>
    <s v="No"/>
    <s v="Yes"/>
    <s v="No"/>
    <s v="No"/>
    <s v="Yes"/>
    <s v="No"/>
    <s v="Yes"/>
    <x v="1"/>
    <s v="Not Applicable"/>
    <x v="1"/>
    <n v="1.9"/>
    <s v="No"/>
    <s v="LDCT Screening"/>
    <s v="Surgery"/>
    <n v="44"/>
    <s v="No"/>
  </r>
  <r>
    <s v="LC-0780"/>
    <n v="2018"/>
    <d v="2018-10-18T00:00:00"/>
    <s v="Eastern Mediterranean"/>
    <s v="Iran"/>
    <n v="47"/>
    <x v="1"/>
    <x v="0"/>
    <n v="16"/>
    <n v="13"/>
    <x v="1"/>
    <x v="0"/>
    <x v="0"/>
    <x v="1"/>
    <x v="1"/>
    <n v="27.9"/>
    <x v="1"/>
    <s v="No"/>
    <x v="0"/>
    <x v="0"/>
    <x v="0"/>
    <s v="No Mutation"/>
    <s v="Yes"/>
    <s v="Yes"/>
    <s v="Yes"/>
    <s v="No"/>
    <s v="Yes"/>
    <s v="Yes"/>
    <s v="Yes"/>
    <s v="Yes"/>
    <s v="No"/>
    <s v="No"/>
    <x v="0"/>
    <s v="Squamous Cell"/>
    <x v="0"/>
    <n v="7.3"/>
    <s v="Yes"/>
    <s v="MRI"/>
    <s v="Targeted Therapy"/>
    <n v="1"/>
    <s v="No"/>
  </r>
  <r>
    <s v="LC-0781"/>
    <n v="2018"/>
    <d v="2018-09-21T00:00:00"/>
    <s v="Europe"/>
    <s v="France"/>
    <n v="57"/>
    <x v="1"/>
    <x v="2"/>
    <n v="0"/>
    <n v="0"/>
    <x v="1"/>
    <x v="0"/>
    <x v="0"/>
    <x v="1"/>
    <x v="0"/>
    <n v="25.7"/>
    <x v="0"/>
    <s v="No"/>
    <x v="0"/>
    <x v="0"/>
    <x v="0"/>
    <s v="TP53"/>
    <s v="No"/>
    <s v="Yes"/>
    <s v="No"/>
    <s v="No"/>
    <s v="Yes"/>
    <s v="Yes"/>
    <s v="No"/>
    <s v="Yes"/>
    <s v="No"/>
    <s v="No"/>
    <x v="1"/>
    <s v="Not Applicable"/>
    <x v="2"/>
    <n v="3.2"/>
    <s v="No"/>
    <s v="CT Scan"/>
    <s v="Immunotherapy"/>
    <n v="10"/>
    <s v="No"/>
  </r>
  <r>
    <s v="LC-0782"/>
    <n v="2023"/>
    <d v="2023-10-19T00:00:00"/>
    <s v="Western Pacific"/>
    <s v="South Korea"/>
    <n v="81"/>
    <x v="1"/>
    <x v="0"/>
    <n v="9"/>
    <n v="43"/>
    <x v="1"/>
    <x v="1"/>
    <x v="0"/>
    <x v="1"/>
    <x v="0"/>
    <n v="21.9"/>
    <x v="1"/>
    <s v="Yes"/>
    <x v="0"/>
    <x v="0"/>
    <x v="1"/>
    <s v="KRAS"/>
    <s v="Yes"/>
    <s v="Yes"/>
    <s v="No"/>
    <s v="Yes"/>
    <s v="Yes"/>
    <s v="No"/>
    <s v="Yes"/>
    <s v="No"/>
    <s v="No"/>
    <s v="No"/>
    <x v="1"/>
    <s v="Not Applicable"/>
    <x v="0"/>
    <n v="5.6"/>
    <s v="Yes"/>
    <s v="CT Scan"/>
    <s v="Chemo + Radiation"/>
    <n v="4"/>
    <s v="No"/>
  </r>
  <r>
    <s v="LC-0783"/>
    <n v="2023"/>
    <d v="2023-03-22T00:00:00"/>
    <s v="Africa"/>
    <s v="Uganda"/>
    <n v="67"/>
    <x v="1"/>
    <x v="2"/>
    <n v="0"/>
    <n v="0"/>
    <x v="0"/>
    <x v="0"/>
    <x v="0"/>
    <x v="0"/>
    <x v="0"/>
    <n v="28"/>
    <x v="0"/>
    <s v="No"/>
    <x v="0"/>
    <x v="0"/>
    <x v="0"/>
    <s v="EGFR"/>
    <s v="No"/>
    <s v="Yes"/>
    <s v="No"/>
    <s v="No"/>
    <s v="Yes"/>
    <s v="No"/>
    <s v="No"/>
    <s v="No"/>
    <s v="No"/>
    <s v="No"/>
    <x v="0"/>
    <s v="Adenocarcinoma"/>
    <x v="0"/>
    <n v="10.3"/>
    <s v="Yes"/>
    <s v="LDCT Screening"/>
    <s v="Targeted Therapy"/>
    <n v="8"/>
    <s v="No"/>
  </r>
  <r>
    <s v="LC-0784"/>
    <n v="2024"/>
    <d v="2024-12-20T00:00:00"/>
    <s v="Eastern Mediterranean"/>
    <s v="Jordan"/>
    <n v="72"/>
    <x v="1"/>
    <x v="2"/>
    <n v="0"/>
    <n v="0"/>
    <x v="0"/>
    <x v="0"/>
    <x v="0"/>
    <x v="1"/>
    <x v="1"/>
    <n v="28.1"/>
    <x v="2"/>
    <s v="No"/>
    <x v="0"/>
    <x v="0"/>
    <x v="0"/>
    <s v="BRAF"/>
    <s v="No"/>
    <s v="No"/>
    <s v="No"/>
    <s v="No"/>
    <s v="Yes"/>
    <s v="No"/>
    <s v="No"/>
    <s v="No"/>
    <s v="No"/>
    <s v="No"/>
    <x v="0"/>
    <s v="Adenocarcinoma"/>
    <x v="3"/>
    <n v="2.2999999999999998"/>
    <s v="No"/>
    <s v="CT Scan"/>
    <s v="Radiotherapy"/>
    <n v="42"/>
    <s v="Yes"/>
  </r>
  <r>
    <s v="LC-0785"/>
    <n v="2021"/>
    <d v="2021-10-02T00:00:00"/>
    <s v="Western Pacific"/>
    <s v="China"/>
    <n v="66"/>
    <x v="0"/>
    <x v="0"/>
    <n v="30"/>
    <n v="20"/>
    <x v="1"/>
    <x v="0"/>
    <x v="0"/>
    <x v="2"/>
    <x v="0"/>
    <n v="30"/>
    <x v="0"/>
    <s v="Yes"/>
    <x v="0"/>
    <x v="0"/>
    <x v="0"/>
    <s v="MET"/>
    <s v="Yes"/>
    <s v="Yes"/>
    <s v="No"/>
    <s v="No"/>
    <s v="Yes"/>
    <s v="Yes"/>
    <s v="Yes"/>
    <s v="No"/>
    <s v="No"/>
    <s v="No"/>
    <x v="0"/>
    <s v="Adenocarcinoma"/>
    <x v="0"/>
    <n v="6.8"/>
    <s v="Yes"/>
    <s v="PET Scan"/>
    <s v="Immunotherapy"/>
    <n v="9"/>
    <s v="No"/>
  </r>
  <r>
    <s v="LC-0786"/>
    <n v="2024"/>
    <d v="2024-02-02T00:00:00"/>
    <s v="South-East Asia"/>
    <s v="Bhutan"/>
    <n v="52"/>
    <x v="0"/>
    <x v="2"/>
    <n v="0"/>
    <n v="0"/>
    <x v="0"/>
    <x v="0"/>
    <x v="1"/>
    <x v="1"/>
    <x v="1"/>
    <n v="28.2"/>
    <x v="1"/>
    <s v="No"/>
    <x v="0"/>
    <x v="0"/>
    <x v="0"/>
    <s v="KRAS"/>
    <s v="No"/>
    <s v="No"/>
    <s v="No"/>
    <s v="No"/>
    <s v="Yes"/>
    <s v="No"/>
    <s v="No"/>
    <s v="No"/>
    <s v="No"/>
    <s v="No"/>
    <x v="0"/>
    <s v="Adenocarcinoma"/>
    <x v="3"/>
    <n v="5.0999999999999996"/>
    <s v="No"/>
    <s v="PET Scan"/>
    <s v="Surgery"/>
    <n v="27"/>
    <s v="No"/>
  </r>
  <r>
    <s v="LC-0787"/>
    <n v="2023"/>
    <d v="2023-05-21T00:00:00"/>
    <s v="Western Pacific"/>
    <s v="Australia"/>
    <n v="68"/>
    <x v="1"/>
    <x v="0"/>
    <n v="25"/>
    <n v="26"/>
    <x v="1"/>
    <x v="1"/>
    <x v="0"/>
    <x v="0"/>
    <x v="1"/>
    <n v="23.4"/>
    <x v="0"/>
    <s v="Yes"/>
    <x v="0"/>
    <x v="0"/>
    <x v="0"/>
    <s v="No Mutation"/>
    <s v="Yes"/>
    <s v="Yes"/>
    <s v="Yes"/>
    <s v="Yes"/>
    <s v="Yes"/>
    <s v="Yes"/>
    <s v="No"/>
    <s v="No"/>
    <s v="No"/>
    <s v="No"/>
    <x v="0"/>
    <s v="Squamous Cell"/>
    <x v="0"/>
    <n v="3.6"/>
    <s v="Yes"/>
    <s v="Bronchoscopy"/>
    <s v="Chemotherapy"/>
    <n v="8"/>
    <s v="No"/>
  </r>
  <r>
    <s v="LC-0788"/>
    <n v="2025"/>
    <d v="2025-10-14T00:00:00"/>
    <s v="South-East Asia"/>
    <s v="Bhutan"/>
    <n v="56"/>
    <x v="0"/>
    <x v="2"/>
    <n v="0"/>
    <n v="0"/>
    <x v="0"/>
    <x v="0"/>
    <x v="1"/>
    <x v="1"/>
    <x v="1"/>
    <n v="27.7"/>
    <x v="1"/>
    <s v="No"/>
    <x v="0"/>
    <x v="0"/>
    <x v="0"/>
    <s v="MET"/>
    <s v="Yes"/>
    <s v="No"/>
    <s v="No"/>
    <s v="No"/>
    <s v="No"/>
    <s v="No"/>
    <s v="No"/>
    <s v="No"/>
    <s v="No"/>
    <s v="No"/>
    <x v="0"/>
    <s v="Squamous Cell"/>
    <x v="1"/>
    <n v="1.1000000000000001"/>
    <s v="No"/>
    <s v="Bronchoscopy"/>
    <s v="Radiotherapy"/>
    <n v="93"/>
    <s v="Yes"/>
  </r>
  <r>
    <s v="LC-0789"/>
    <n v="2021"/>
    <d v="2021-11-01T00:00:00"/>
    <s v="Western Pacific"/>
    <s v="New Zealand"/>
    <n v="67"/>
    <x v="1"/>
    <x v="0"/>
    <n v="18"/>
    <n v="32"/>
    <x v="1"/>
    <x v="0"/>
    <x v="1"/>
    <x v="2"/>
    <x v="2"/>
    <n v="31.1"/>
    <x v="1"/>
    <s v="Yes"/>
    <x v="1"/>
    <x v="0"/>
    <x v="1"/>
    <s v="No Mutation"/>
    <s v="No"/>
    <s v="No"/>
    <s v="Yes"/>
    <s v="Yes"/>
    <s v="Yes"/>
    <s v="No"/>
    <s v="Yes"/>
    <s v="No"/>
    <s v="Yes"/>
    <s v="No"/>
    <x v="0"/>
    <s v="Adenocarcinoma"/>
    <x v="2"/>
    <n v="6.3"/>
    <s v="No"/>
    <s v="Biopsy"/>
    <s v="Chemo + Radiation"/>
    <n v="25"/>
    <s v="No"/>
  </r>
  <r>
    <s v="LC-0790"/>
    <n v="2024"/>
    <d v="2024-11-18T00:00:00"/>
    <s v="Western Pacific"/>
    <s v="Philippines"/>
    <n v="67"/>
    <x v="1"/>
    <x v="0"/>
    <n v="20"/>
    <n v="31"/>
    <x v="1"/>
    <x v="0"/>
    <x v="0"/>
    <x v="0"/>
    <x v="0"/>
    <n v="29.5"/>
    <x v="0"/>
    <s v="No"/>
    <x v="0"/>
    <x v="0"/>
    <x v="0"/>
    <s v="No Mutation"/>
    <s v="Yes"/>
    <s v="Yes"/>
    <s v="No"/>
    <s v="No"/>
    <s v="Yes"/>
    <s v="Yes"/>
    <s v="Yes"/>
    <s v="No"/>
    <s v="No"/>
    <s v="No"/>
    <x v="1"/>
    <s v="Not Applicable"/>
    <x v="2"/>
    <n v="3.5"/>
    <s v="Yes"/>
    <s v="Bronchoscopy"/>
    <s v="Chemo + Radiation"/>
    <n v="22"/>
    <s v="No"/>
  </r>
  <r>
    <s v="LC-0791"/>
    <n v="2021"/>
    <d v="2021-11-10T00:00:00"/>
    <s v="Africa"/>
    <s v="Morocco"/>
    <n v="73"/>
    <x v="1"/>
    <x v="2"/>
    <n v="0"/>
    <n v="0"/>
    <x v="0"/>
    <x v="0"/>
    <x v="0"/>
    <x v="1"/>
    <x v="2"/>
    <n v="28"/>
    <x v="2"/>
    <s v="No"/>
    <x v="0"/>
    <x v="0"/>
    <x v="0"/>
    <s v="No Mutation"/>
    <s v="No"/>
    <s v="No"/>
    <s v="Yes"/>
    <s v="No"/>
    <s v="Yes"/>
    <s v="No"/>
    <s v="No"/>
    <s v="Yes"/>
    <s v="No"/>
    <s v="No"/>
    <x v="0"/>
    <s v="Adenocarcinoma"/>
    <x v="0"/>
    <n v="8.1"/>
    <s v="Yes"/>
    <s v="Bronchoscopy"/>
    <s v="Immunotherapy"/>
    <n v="3"/>
    <s v="No"/>
  </r>
  <r>
    <s v="LC-0792"/>
    <n v="2020"/>
    <d v="2020-04-26T00:00:00"/>
    <s v="South-East Asia"/>
    <s v="Nepal"/>
    <n v="46"/>
    <x v="0"/>
    <x v="2"/>
    <n v="0"/>
    <n v="0"/>
    <x v="0"/>
    <x v="0"/>
    <x v="0"/>
    <x v="0"/>
    <x v="2"/>
    <n v="30.3"/>
    <x v="1"/>
    <s v="No"/>
    <x v="0"/>
    <x v="0"/>
    <x v="0"/>
    <s v="ROS1"/>
    <s v="Yes"/>
    <s v="Yes"/>
    <s v="No"/>
    <s v="No"/>
    <s v="No"/>
    <s v="No"/>
    <s v="No"/>
    <s v="No"/>
    <s v="No"/>
    <s v="Yes"/>
    <x v="0"/>
    <s v="Adenocarcinoma"/>
    <x v="1"/>
    <n v="0.7"/>
    <s v="No"/>
    <s v="LDCT Screening"/>
    <s v="Surgery"/>
    <n v="36"/>
    <s v="Yes"/>
  </r>
  <r>
    <s v="LC-0793"/>
    <n v="2018"/>
    <d v="2018-05-15T00:00:00"/>
    <s v="Americas"/>
    <s v="Canada"/>
    <n v="64"/>
    <x v="1"/>
    <x v="1"/>
    <n v="11"/>
    <n v="11"/>
    <x v="0"/>
    <x v="1"/>
    <x v="0"/>
    <x v="1"/>
    <x v="0"/>
    <n v="25"/>
    <x v="1"/>
    <s v="Yes"/>
    <x v="0"/>
    <x v="0"/>
    <x v="0"/>
    <s v="TP53"/>
    <s v="No"/>
    <s v="No"/>
    <s v="No"/>
    <s v="No"/>
    <s v="No"/>
    <s v="Yes"/>
    <s v="Yes"/>
    <s v="No"/>
    <s v="No"/>
    <s v="No"/>
    <x v="1"/>
    <s v="Not Applicable"/>
    <x v="1"/>
    <n v="1.9"/>
    <s v="No"/>
    <s v="LDCT Screening"/>
    <s v="Surgery"/>
    <n v="85"/>
    <s v="Yes"/>
  </r>
  <r>
    <s v="LC-0794"/>
    <n v="2022"/>
    <d v="2022-12-02T00:00:00"/>
    <s v="Europe"/>
    <s v="France"/>
    <n v="60"/>
    <x v="0"/>
    <x v="1"/>
    <n v="12"/>
    <n v="19"/>
    <x v="1"/>
    <x v="0"/>
    <x v="0"/>
    <x v="0"/>
    <x v="0"/>
    <n v="20.3"/>
    <x v="2"/>
    <s v="No"/>
    <x v="0"/>
    <x v="0"/>
    <x v="0"/>
    <s v="KRAS"/>
    <s v="Yes"/>
    <s v="Yes"/>
    <s v="No"/>
    <s v="No"/>
    <s v="Yes"/>
    <s v="Yes"/>
    <s v="No"/>
    <s v="Yes"/>
    <s v="No"/>
    <s v="No"/>
    <x v="0"/>
    <s v="Adenocarcinoma"/>
    <x v="0"/>
    <n v="5.4"/>
    <s v="Yes"/>
    <s v="Chest X-Ray"/>
    <s v="Chemo + Radiation"/>
    <n v="5"/>
    <s v="No"/>
  </r>
  <r>
    <s v="LC-0795"/>
    <n v="2020"/>
    <d v="2020-08-14T00:00:00"/>
    <s v="Western Pacific"/>
    <s v="New Zealand"/>
    <n v="70"/>
    <x v="1"/>
    <x v="2"/>
    <n v="0"/>
    <n v="0"/>
    <x v="0"/>
    <x v="0"/>
    <x v="0"/>
    <x v="1"/>
    <x v="1"/>
    <n v="25.7"/>
    <x v="2"/>
    <s v="No"/>
    <x v="0"/>
    <x v="0"/>
    <x v="0"/>
    <s v="No Mutation"/>
    <s v="No"/>
    <s v="Yes"/>
    <s v="No"/>
    <s v="No"/>
    <s v="No"/>
    <s v="No"/>
    <s v="No"/>
    <s v="Yes"/>
    <s v="No"/>
    <s v="No"/>
    <x v="0"/>
    <s v="Adenocarcinoma"/>
    <x v="1"/>
    <n v="2.1"/>
    <s v="No"/>
    <s v="LDCT Screening"/>
    <s v="Radiotherapy"/>
    <n v="51"/>
    <s v="Yes"/>
  </r>
  <r>
    <s v="LC-0796"/>
    <n v="2016"/>
    <d v="2016-08-07T00:00:00"/>
    <s v="Americas"/>
    <s v="Colombia"/>
    <n v="58"/>
    <x v="1"/>
    <x v="2"/>
    <n v="0"/>
    <n v="0"/>
    <x v="0"/>
    <x v="0"/>
    <x v="1"/>
    <x v="0"/>
    <x v="0"/>
    <n v="29.2"/>
    <x v="1"/>
    <s v="No"/>
    <x v="0"/>
    <x v="0"/>
    <x v="0"/>
    <s v="EGFR"/>
    <s v="No"/>
    <s v="No"/>
    <s v="Yes"/>
    <s v="No"/>
    <s v="Yes"/>
    <s v="No"/>
    <s v="No"/>
    <s v="Yes"/>
    <s v="Yes"/>
    <s v="No"/>
    <x v="1"/>
    <s v="Not Applicable"/>
    <x v="2"/>
    <n v="3.5"/>
    <s v="No"/>
    <s v="CT Scan"/>
    <s v="Chemo + Radiation"/>
    <n v="24"/>
    <s v="No"/>
  </r>
  <r>
    <s v="LC-0797"/>
    <n v="2018"/>
    <d v="2018-10-05T00:00:00"/>
    <s v="Europe"/>
    <s v="Russia"/>
    <n v="54"/>
    <x v="0"/>
    <x v="2"/>
    <n v="0"/>
    <n v="0"/>
    <x v="0"/>
    <x v="0"/>
    <x v="0"/>
    <x v="1"/>
    <x v="2"/>
    <n v="31.3"/>
    <x v="0"/>
    <s v="No"/>
    <x v="1"/>
    <x v="0"/>
    <x v="0"/>
    <s v="ALK"/>
    <s v="No"/>
    <s v="No"/>
    <s v="No"/>
    <s v="No"/>
    <s v="No"/>
    <s v="No"/>
    <s v="No"/>
    <s v="No"/>
    <s v="No"/>
    <s v="No"/>
    <x v="0"/>
    <s v="Adenocarcinoma"/>
    <x v="0"/>
    <n v="6.9"/>
    <s v="Yes"/>
    <s v="Biopsy"/>
    <s v="Radiotherapy"/>
    <n v="8"/>
    <s v="No"/>
  </r>
  <r>
    <s v="LC-0798"/>
    <n v="2015"/>
    <d v="2015-12-11T00:00:00"/>
    <s v="Africa"/>
    <s v="Ghana"/>
    <n v="63"/>
    <x v="1"/>
    <x v="2"/>
    <n v="0"/>
    <n v="0"/>
    <x v="0"/>
    <x v="0"/>
    <x v="1"/>
    <x v="1"/>
    <x v="2"/>
    <n v="23.1"/>
    <x v="2"/>
    <s v="No"/>
    <x v="0"/>
    <x v="0"/>
    <x v="0"/>
    <s v="EGFR"/>
    <s v="No"/>
    <s v="No"/>
    <s v="Yes"/>
    <s v="No"/>
    <s v="No"/>
    <s v="No"/>
    <s v="Yes"/>
    <s v="No"/>
    <s v="Yes"/>
    <s v="No"/>
    <x v="0"/>
    <s v="Adenocarcinoma"/>
    <x v="1"/>
    <n v="1.7"/>
    <s v="No"/>
    <s v="Chest X-Ray"/>
    <s v="Immunotherapy"/>
    <n v="79"/>
    <s v="Yes"/>
  </r>
  <r>
    <s v="LC-0799"/>
    <n v="2022"/>
    <d v="2022-07-05T00:00:00"/>
    <s v="South-East Asia"/>
    <s v="Sri Lanka"/>
    <n v="73"/>
    <x v="1"/>
    <x v="2"/>
    <n v="0"/>
    <n v="0"/>
    <x v="1"/>
    <x v="0"/>
    <x v="0"/>
    <x v="0"/>
    <x v="2"/>
    <n v="24.2"/>
    <x v="1"/>
    <s v="No"/>
    <x v="0"/>
    <x v="0"/>
    <x v="0"/>
    <s v="ALK"/>
    <s v="No"/>
    <s v="No"/>
    <s v="No"/>
    <s v="No"/>
    <s v="Yes"/>
    <s v="No"/>
    <s v="No"/>
    <s v="No"/>
    <s v="No"/>
    <s v="Yes"/>
    <x v="0"/>
    <s v="Squamous Cell"/>
    <x v="1"/>
    <n v="1.9"/>
    <s v="No"/>
    <s v="LDCT Screening"/>
    <s v="Surgery"/>
    <n v="36"/>
    <s v="Yes"/>
  </r>
  <r>
    <s v="LC-0800"/>
    <n v="2023"/>
    <d v="2023-09-18T00:00:00"/>
    <s v="Americas"/>
    <s v="Canada"/>
    <n v="59"/>
    <x v="1"/>
    <x v="2"/>
    <n v="0"/>
    <n v="0"/>
    <x v="0"/>
    <x v="1"/>
    <x v="0"/>
    <x v="2"/>
    <x v="2"/>
    <n v="24.9"/>
    <x v="0"/>
    <s v="No"/>
    <x v="0"/>
    <x v="0"/>
    <x v="0"/>
    <s v="No Mutation"/>
    <s v="Yes"/>
    <s v="Yes"/>
    <s v="Yes"/>
    <s v="No"/>
    <s v="Yes"/>
    <s v="No"/>
    <s v="No"/>
    <s v="No"/>
    <s v="No"/>
    <s v="No"/>
    <x v="0"/>
    <s v="Large Cell"/>
    <x v="0"/>
    <n v="9.1"/>
    <s v="Yes"/>
    <s v="PET Scan"/>
    <s v="Immunotherapy"/>
    <n v="3"/>
    <s v="No"/>
  </r>
  <r>
    <s v="LC-0801"/>
    <n v="2016"/>
    <d v="2016-06-08T00:00:00"/>
    <s v="Europe"/>
    <s v="Poland"/>
    <n v="52"/>
    <x v="1"/>
    <x v="2"/>
    <n v="0"/>
    <n v="0"/>
    <x v="0"/>
    <x v="0"/>
    <x v="0"/>
    <x v="0"/>
    <x v="0"/>
    <n v="23"/>
    <x v="0"/>
    <s v="No"/>
    <x v="1"/>
    <x v="0"/>
    <x v="0"/>
    <s v="EGFR"/>
    <s v="No"/>
    <s v="No"/>
    <s v="No"/>
    <s v="No"/>
    <s v="No"/>
    <s v="No"/>
    <s v="No"/>
    <s v="No"/>
    <s v="No"/>
    <s v="No"/>
    <x v="0"/>
    <s v="Adenocarcinoma"/>
    <x v="1"/>
    <n v="1.9"/>
    <s v="No"/>
    <s v="Chest X-Ray"/>
    <s v="Radiotherapy"/>
    <n v="43"/>
    <s v="No"/>
  </r>
  <r>
    <s v="LC-0802"/>
    <n v="2016"/>
    <d v="2016-02-09T00:00:00"/>
    <s v="Eastern Mediterranean"/>
    <s v="Oman"/>
    <n v="61"/>
    <x v="1"/>
    <x v="2"/>
    <n v="0"/>
    <n v="0"/>
    <x v="1"/>
    <x v="0"/>
    <x v="1"/>
    <x v="1"/>
    <x v="1"/>
    <n v="24.4"/>
    <x v="1"/>
    <s v="No"/>
    <x v="0"/>
    <x v="0"/>
    <x v="0"/>
    <s v="No Mutation"/>
    <s v="No"/>
    <s v="No"/>
    <s v="No"/>
    <s v="No"/>
    <s v="No"/>
    <s v="Yes"/>
    <s v="No"/>
    <s v="No"/>
    <s v="No"/>
    <s v="No"/>
    <x v="0"/>
    <s v="Adenocarcinoma"/>
    <x v="3"/>
    <n v="3.4"/>
    <s v="No"/>
    <s v="Biopsy"/>
    <s v="Surgery"/>
    <n v="32"/>
    <s v="Yes"/>
  </r>
  <r>
    <s v="LC-0803"/>
    <n v="2022"/>
    <d v="2022-04-05T00:00:00"/>
    <s v="Western Pacific"/>
    <s v="Japan"/>
    <n v="42"/>
    <x v="1"/>
    <x v="2"/>
    <n v="0"/>
    <n v="0"/>
    <x v="1"/>
    <x v="0"/>
    <x v="1"/>
    <x v="1"/>
    <x v="2"/>
    <n v="25.8"/>
    <x v="2"/>
    <s v="No"/>
    <x v="0"/>
    <x v="1"/>
    <x v="0"/>
    <s v="ALK"/>
    <s v="Yes"/>
    <s v="Yes"/>
    <s v="No"/>
    <s v="No"/>
    <s v="No"/>
    <s v="No"/>
    <s v="No"/>
    <s v="No"/>
    <s v="No"/>
    <s v="No"/>
    <x v="0"/>
    <s v="Adenocarcinoma"/>
    <x v="3"/>
    <n v="4.2"/>
    <s v="No"/>
    <s v="CT Scan"/>
    <s v="Chemotherapy"/>
    <n v="51"/>
    <s v="No"/>
  </r>
  <r>
    <s v="LC-0804"/>
    <n v="2020"/>
    <d v="2020-01-10T00:00:00"/>
    <s v="Europe"/>
    <s v="Turkey"/>
    <n v="56"/>
    <x v="0"/>
    <x v="2"/>
    <n v="0"/>
    <n v="0"/>
    <x v="0"/>
    <x v="0"/>
    <x v="0"/>
    <x v="2"/>
    <x v="0"/>
    <n v="22.1"/>
    <x v="2"/>
    <s v="No"/>
    <x v="0"/>
    <x v="0"/>
    <x v="0"/>
    <s v="No Mutation"/>
    <s v="No"/>
    <s v="No"/>
    <s v="No"/>
    <s v="No"/>
    <s v="Yes"/>
    <s v="Yes"/>
    <s v="Yes"/>
    <s v="No"/>
    <s v="No"/>
    <s v="No"/>
    <x v="0"/>
    <s v="Adenocarcinoma"/>
    <x v="1"/>
    <n v="2.9"/>
    <s v="No"/>
    <s v="Biopsy"/>
    <s v="Surgery"/>
    <n v="52"/>
    <s v="Yes"/>
  </r>
  <r>
    <s v="LC-0805"/>
    <n v="2025"/>
    <d v="2025-10-14T00:00:00"/>
    <s v="Western Pacific"/>
    <s v="Australia"/>
    <n v="70"/>
    <x v="0"/>
    <x v="2"/>
    <n v="0"/>
    <n v="0"/>
    <x v="0"/>
    <x v="0"/>
    <x v="1"/>
    <x v="0"/>
    <x v="0"/>
    <n v="25"/>
    <x v="2"/>
    <s v="No"/>
    <x v="0"/>
    <x v="0"/>
    <x v="0"/>
    <s v="EGFR"/>
    <s v="No"/>
    <s v="No"/>
    <s v="Yes"/>
    <s v="No"/>
    <s v="Yes"/>
    <s v="No"/>
    <s v="No"/>
    <s v="No"/>
    <s v="No"/>
    <s v="No"/>
    <x v="0"/>
    <s v="Large Cell"/>
    <x v="2"/>
    <n v="6.6"/>
    <s v="No"/>
    <s v="CT Scan"/>
    <s v="Chemotherapy"/>
    <n v="20"/>
    <s v="No"/>
  </r>
  <r>
    <s v="LC-0806"/>
    <n v="2019"/>
    <d v="2019-03-27T00:00:00"/>
    <s v="South-East Asia"/>
    <s v="Sri Lanka"/>
    <n v="59"/>
    <x v="1"/>
    <x v="2"/>
    <n v="0"/>
    <n v="0"/>
    <x v="0"/>
    <x v="1"/>
    <x v="0"/>
    <x v="1"/>
    <x v="2"/>
    <n v="20.100000000000001"/>
    <x v="1"/>
    <s v="No"/>
    <x v="0"/>
    <x v="0"/>
    <x v="0"/>
    <s v="ALK"/>
    <s v="Yes"/>
    <s v="No"/>
    <s v="No"/>
    <s v="No"/>
    <s v="Yes"/>
    <s v="No"/>
    <s v="No"/>
    <s v="No"/>
    <s v="No"/>
    <s v="No"/>
    <x v="0"/>
    <s v="Adenocarcinoma"/>
    <x v="0"/>
    <n v="4.9000000000000004"/>
    <s v="Yes"/>
    <s v="CT Scan"/>
    <s v="Chemo + Radiation"/>
    <n v="6"/>
    <s v="No"/>
  </r>
  <r>
    <s v="LC-0807"/>
    <n v="2017"/>
    <d v="2017-10-24T00:00:00"/>
    <s v="Western Pacific"/>
    <s v="Vietnam"/>
    <n v="61"/>
    <x v="0"/>
    <x v="2"/>
    <n v="0"/>
    <n v="0"/>
    <x v="1"/>
    <x v="0"/>
    <x v="0"/>
    <x v="1"/>
    <x v="0"/>
    <n v="27.9"/>
    <x v="2"/>
    <s v="No"/>
    <x v="0"/>
    <x v="0"/>
    <x v="0"/>
    <s v="No Mutation"/>
    <s v="No"/>
    <s v="No"/>
    <s v="No"/>
    <s v="No"/>
    <s v="No"/>
    <s v="Yes"/>
    <s v="No"/>
    <s v="No"/>
    <s v="No"/>
    <s v="No"/>
    <x v="0"/>
    <s v="Adenocarcinoma"/>
    <x v="0"/>
    <n v="7.4"/>
    <s v="Yes"/>
    <s v="Bronchoscopy"/>
    <s v="Targeted Therapy"/>
    <n v="11"/>
    <s v="No"/>
  </r>
  <r>
    <s v="LC-0808"/>
    <n v="2023"/>
    <d v="2023-04-25T00:00:00"/>
    <s v="Africa"/>
    <s v="Kenya"/>
    <n v="56"/>
    <x v="1"/>
    <x v="2"/>
    <n v="0"/>
    <n v="0"/>
    <x v="1"/>
    <x v="0"/>
    <x v="1"/>
    <x v="1"/>
    <x v="1"/>
    <n v="23.6"/>
    <x v="0"/>
    <s v="No"/>
    <x v="0"/>
    <x v="0"/>
    <x v="0"/>
    <s v="No Mutation"/>
    <s v="No"/>
    <s v="Yes"/>
    <s v="Yes"/>
    <s v="No"/>
    <s v="No"/>
    <s v="No"/>
    <s v="No"/>
    <s v="No"/>
    <s v="No"/>
    <s v="Yes"/>
    <x v="0"/>
    <s v="Squamous Cell"/>
    <x v="1"/>
    <n v="2.2999999999999998"/>
    <s v="No"/>
    <s v="LDCT Screening"/>
    <s v="Targeted Therapy"/>
    <n v="55"/>
    <s v="No"/>
  </r>
  <r>
    <s v="LC-0809"/>
    <n v="2019"/>
    <d v="2019-08-17T00:00:00"/>
    <s v="Eastern Mediterranean"/>
    <s v="Oman"/>
    <n v="48"/>
    <x v="0"/>
    <x v="0"/>
    <n v="41"/>
    <n v="30"/>
    <x v="1"/>
    <x v="0"/>
    <x v="0"/>
    <x v="0"/>
    <x v="0"/>
    <n v="31.2"/>
    <x v="0"/>
    <s v="No"/>
    <x v="0"/>
    <x v="0"/>
    <x v="0"/>
    <s v="BRAF"/>
    <s v="Yes"/>
    <s v="Yes"/>
    <s v="No"/>
    <s v="No"/>
    <s v="Yes"/>
    <s v="Yes"/>
    <s v="Yes"/>
    <s v="No"/>
    <s v="No"/>
    <s v="No"/>
    <x v="0"/>
    <s v="Adenocarcinoma"/>
    <x v="2"/>
    <n v="5.5"/>
    <s v="No"/>
    <s v="Bronchoscopy"/>
    <s v="Radiotherapy"/>
    <n v="7"/>
    <s v="No"/>
  </r>
  <r>
    <s v="LC-0810"/>
    <n v="2016"/>
    <d v="2016-08-10T00:00:00"/>
    <s v="Western Pacific"/>
    <s v="New Zealand"/>
    <n v="83"/>
    <x v="0"/>
    <x v="2"/>
    <n v="0"/>
    <n v="0"/>
    <x v="1"/>
    <x v="1"/>
    <x v="1"/>
    <x v="0"/>
    <x v="2"/>
    <n v="21.8"/>
    <x v="1"/>
    <s v="No"/>
    <x v="0"/>
    <x v="0"/>
    <x v="0"/>
    <s v="KRAS"/>
    <s v="No"/>
    <s v="No"/>
    <s v="No"/>
    <s v="No"/>
    <s v="Yes"/>
    <s v="No"/>
    <s v="No"/>
    <s v="Yes"/>
    <s v="Yes"/>
    <s v="No"/>
    <x v="0"/>
    <s v="Adenocarcinoma"/>
    <x v="1"/>
    <n v="1.5"/>
    <s v="No"/>
    <s v="CT Scan"/>
    <s v="Surgery"/>
    <n v="60"/>
    <s v="Yes"/>
  </r>
  <r>
    <s v="LC-0811"/>
    <n v="2025"/>
    <d v="2025-01-03T00:00:00"/>
    <s v="Americas"/>
    <s v="Chile"/>
    <n v="62"/>
    <x v="1"/>
    <x v="2"/>
    <n v="0"/>
    <n v="0"/>
    <x v="1"/>
    <x v="0"/>
    <x v="0"/>
    <x v="2"/>
    <x v="0"/>
    <n v="23.3"/>
    <x v="1"/>
    <s v="No"/>
    <x v="0"/>
    <x v="0"/>
    <x v="0"/>
    <s v="KRAS"/>
    <s v="No"/>
    <s v="Yes"/>
    <s v="Yes"/>
    <s v="No"/>
    <s v="Yes"/>
    <s v="Yes"/>
    <s v="No"/>
    <s v="No"/>
    <s v="No"/>
    <s v="No"/>
    <x v="0"/>
    <s v="Adenocarcinoma"/>
    <x v="1"/>
    <n v="2.5"/>
    <s v="No"/>
    <s v="Bronchoscopy"/>
    <s v="Surgery"/>
    <n v="58"/>
    <s v="No"/>
  </r>
  <r>
    <s v="LC-0812"/>
    <n v="2024"/>
    <d v="2024-09-15T00:00:00"/>
    <s v="Africa"/>
    <s v="Egypt"/>
    <n v="71"/>
    <x v="1"/>
    <x v="0"/>
    <n v="32"/>
    <n v="18"/>
    <x v="0"/>
    <x v="0"/>
    <x v="0"/>
    <x v="0"/>
    <x v="2"/>
    <n v="19.600000000000001"/>
    <x v="2"/>
    <s v="Yes"/>
    <x v="0"/>
    <x v="0"/>
    <x v="0"/>
    <s v="No Mutation"/>
    <s v="Yes"/>
    <s v="Yes"/>
    <s v="Yes"/>
    <s v="No"/>
    <s v="Yes"/>
    <s v="Yes"/>
    <s v="No"/>
    <s v="No"/>
    <s v="No"/>
    <s v="No"/>
    <x v="1"/>
    <s v="Not Applicable"/>
    <x v="0"/>
    <n v="9.3000000000000007"/>
    <s v="Yes"/>
    <s v="LDCT Screening"/>
    <s v="Immunotherapy"/>
    <n v="11"/>
    <s v="No"/>
  </r>
  <r>
    <s v="LC-0813"/>
    <n v="2024"/>
    <d v="2024-04-19T00:00:00"/>
    <s v="Americas"/>
    <s v="Colombia"/>
    <n v="70"/>
    <x v="1"/>
    <x v="2"/>
    <n v="0"/>
    <n v="0"/>
    <x v="0"/>
    <x v="0"/>
    <x v="0"/>
    <x v="2"/>
    <x v="0"/>
    <n v="24.2"/>
    <x v="1"/>
    <s v="No"/>
    <x v="0"/>
    <x v="0"/>
    <x v="1"/>
    <s v="RET"/>
    <s v="No"/>
    <s v="No"/>
    <s v="No"/>
    <s v="Yes"/>
    <s v="No"/>
    <s v="No"/>
    <s v="No"/>
    <s v="No"/>
    <s v="No"/>
    <s v="No"/>
    <x v="0"/>
    <s v="Adenocarcinoma"/>
    <x v="1"/>
    <n v="0.9"/>
    <s v="No"/>
    <s v="LDCT Screening"/>
    <s v="Radiotherapy"/>
    <n v="61"/>
    <s v="Yes"/>
  </r>
  <r>
    <s v="LC-0814"/>
    <n v="2019"/>
    <d v="2019-01-02T00:00:00"/>
    <s v="Western Pacific"/>
    <s v="Philippines"/>
    <n v="72"/>
    <x v="1"/>
    <x v="0"/>
    <n v="39"/>
    <n v="39"/>
    <x v="1"/>
    <x v="0"/>
    <x v="1"/>
    <x v="2"/>
    <x v="0"/>
    <n v="35"/>
    <x v="2"/>
    <s v="Yes"/>
    <x v="0"/>
    <x v="0"/>
    <x v="0"/>
    <s v="KRAS"/>
    <s v="Yes"/>
    <s v="Yes"/>
    <s v="Yes"/>
    <s v="Yes"/>
    <s v="Yes"/>
    <s v="No"/>
    <s v="Yes"/>
    <s v="Yes"/>
    <s v="No"/>
    <s v="No"/>
    <x v="0"/>
    <s v="Adenocarcinoma"/>
    <x v="0"/>
    <n v="8.8000000000000007"/>
    <s v="Yes"/>
    <s v="CT Scan"/>
    <s v="Palliative Care"/>
    <n v="10"/>
    <s v="No"/>
  </r>
  <r>
    <s v="LC-0815"/>
    <n v="2017"/>
    <d v="2017-08-20T00:00:00"/>
    <s v="Americas"/>
    <s v="Peru"/>
    <n v="54"/>
    <x v="1"/>
    <x v="2"/>
    <n v="0"/>
    <n v="0"/>
    <x v="0"/>
    <x v="0"/>
    <x v="0"/>
    <x v="0"/>
    <x v="1"/>
    <n v="22.2"/>
    <x v="1"/>
    <s v="No"/>
    <x v="0"/>
    <x v="0"/>
    <x v="0"/>
    <s v="No Mutation"/>
    <s v="No"/>
    <s v="Yes"/>
    <s v="No"/>
    <s v="No"/>
    <s v="Yes"/>
    <s v="Yes"/>
    <s v="No"/>
    <s v="No"/>
    <s v="No"/>
    <s v="No"/>
    <x v="0"/>
    <s v="Squamous Cell"/>
    <x v="1"/>
    <n v="1.5"/>
    <s v="No"/>
    <s v="Bronchoscopy"/>
    <s v="Surgery"/>
    <n v="63"/>
    <s v="No"/>
  </r>
  <r>
    <s v="LC-0816"/>
    <n v="2024"/>
    <d v="2024-05-18T00:00:00"/>
    <s v="Americas"/>
    <s v="USA"/>
    <n v="76"/>
    <x v="0"/>
    <x v="2"/>
    <n v="0"/>
    <n v="0"/>
    <x v="1"/>
    <x v="1"/>
    <x v="0"/>
    <x v="2"/>
    <x v="2"/>
    <n v="34.4"/>
    <x v="2"/>
    <s v="No"/>
    <x v="0"/>
    <x v="0"/>
    <x v="0"/>
    <s v="MET"/>
    <s v="Yes"/>
    <s v="No"/>
    <s v="No"/>
    <s v="No"/>
    <s v="Yes"/>
    <s v="No"/>
    <s v="Yes"/>
    <s v="Yes"/>
    <s v="No"/>
    <s v="No"/>
    <x v="0"/>
    <s v="Squamous Cell"/>
    <x v="3"/>
    <n v="5.3"/>
    <s v="No"/>
    <s v="Bronchoscopy"/>
    <s v="Chemotherapy"/>
    <n v="23"/>
    <s v="Yes"/>
  </r>
  <r>
    <s v="LC-0817"/>
    <n v="2018"/>
    <d v="2018-02-14T00:00:00"/>
    <s v="Western Pacific"/>
    <s v="South Korea"/>
    <n v="68"/>
    <x v="1"/>
    <x v="2"/>
    <n v="0"/>
    <n v="0"/>
    <x v="0"/>
    <x v="1"/>
    <x v="0"/>
    <x v="2"/>
    <x v="0"/>
    <n v="21.3"/>
    <x v="0"/>
    <s v="No"/>
    <x v="0"/>
    <x v="0"/>
    <x v="0"/>
    <s v="No Mutation"/>
    <s v="No"/>
    <s v="No"/>
    <s v="Yes"/>
    <s v="No"/>
    <s v="Yes"/>
    <s v="No"/>
    <s v="Yes"/>
    <s v="No"/>
    <s v="No"/>
    <s v="No"/>
    <x v="0"/>
    <s v="Adenocarcinoma"/>
    <x v="3"/>
    <n v="2.7"/>
    <s v="No"/>
    <s v="CT Scan"/>
    <s v="Chemotherapy"/>
    <n v="15"/>
    <s v="No"/>
  </r>
  <r>
    <s v="LC-0818"/>
    <n v="2017"/>
    <d v="2017-05-24T00:00:00"/>
    <s v="Western Pacific"/>
    <s v="Vietnam"/>
    <n v="49"/>
    <x v="0"/>
    <x v="2"/>
    <n v="0"/>
    <n v="0"/>
    <x v="0"/>
    <x v="1"/>
    <x v="0"/>
    <x v="0"/>
    <x v="0"/>
    <n v="24.2"/>
    <x v="2"/>
    <s v="No"/>
    <x v="0"/>
    <x v="0"/>
    <x v="0"/>
    <s v="KRAS"/>
    <s v="Yes"/>
    <s v="No"/>
    <s v="No"/>
    <s v="No"/>
    <s v="No"/>
    <s v="No"/>
    <s v="No"/>
    <s v="No"/>
    <s v="Yes"/>
    <s v="No"/>
    <x v="0"/>
    <s v="Large Cell"/>
    <x v="1"/>
    <n v="3.2"/>
    <s v="No"/>
    <s v="Chest X-Ray"/>
    <s v="Surgery"/>
    <n v="73"/>
    <s v="No"/>
  </r>
  <r>
    <s v="LC-0819"/>
    <n v="2017"/>
    <d v="2017-07-12T00:00:00"/>
    <s v="South-East Asia"/>
    <s v="India"/>
    <n v="62"/>
    <x v="0"/>
    <x v="2"/>
    <n v="0"/>
    <n v="0"/>
    <x v="1"/>
    <x v="1"/>
    <x v="1"/>
    <x v="1"/>
    <x v="0"/>
    <n v="23.5"/>
    <x v="1"/>
    <s v="No"/>
    <x v="0"/>
    <x v="0"/>
    <x v="0"/>
    <s v="KRAS"/>
    <s v="No"/>
    <s v="No"/>
    <s v="No"/>
    <s v="No"/>
    <s v="Yes"/>
    <s v="No"/>
    <s v="No"/>
    <s v="No"/>
    <s v="No"/>
    <s v="No"/>
    <x v="0"/>
    <s v="Squamous Cell"/>
    <x v="1"/>
    <n v="2.2999999999999998"/>
    <s v="No"/>
    <s v="Biopsy"/>
    <s v="Surgery"/>
    <n v="55"/>
    <s v="Yes"/>
  </r>
  <r>
    <s v="LC-0820"/>
    <n v="2018"/>
    <d v="2018-07-02T00:00:00"/>
    <s v="Europe"/>
    <s v="Sweden"/>
    <n v="83"/>
    <x v="1"/>
    <x v="0"/>
    <n v="5"/>
    <n v="43"/>
    <x v="0"/>
    <x v="1"/>
    <x v="1"/>
    <x v="2"/>
    <x v="0"/>
    <n v="35.700000000000003"/>
    <x v="0"/>
    <s v="No"/>
    <x v="0"/>
    <x v="0"/>
    <x v="0"/>
    <s v="MET"/>
    <s v="Yes"/>
    <s v="Yes"/>
    <s v="No"/>
    <s v="No"/>
    <s v="Yes"/>
    <s v="Yes"/>
    <s v="Yes"/>
    <s v="No"/>
    <s v="No"/>
    <s v="No"/>
    <x v="1"/>
    <s v="Not Applicable"/>
    <x v="2"/>
    <n v="5.7"/>
    <s v="No"/>
    <s v="PET Scan"/>
    <s v="Chemotherapy"/>
    <n v="26"/>
    <s v="No"/>
  </r>
  <r>
    <s v="LC-0821"/>
    <n v="2020"/>
    <d v="2020-09-07T00:00:00"/>
    <s v="Eastern Mediterranean"/>
    <s v="Jordan"/>
    <n v="51"/>
    <x v="0"/>
    <x v="2"/>
    <n v="0"/>
    <n v="0"/>
    <x v="1"/>
    <x v="0"/>
    <x v="1"/>
    <x v="2"/>
    <x v="1"/>
    <n v="16.399999999999999"/>
    <x v="2"/>
    <s v="No"/>
    <x v="0"/>
    <x v="0"/>
    <x v="0"/>
    <s v="No Mutation"/>
    <s v="Yes"/>
    <s v="No"/>
    <s v="Yes"/>
    <s v="No"/>
    <s v="Yes"/>
    <s v="No"/>
    <s v="No"/>
    <s v="No"/>
    <s v="No"/>
    <s v="Yes"/>
    <x v="0"/>
    <s v="Adenocarcinoma"/>
    <x v="1"/>
    <n v="3.5"/>
    <s v="No"/>
    <s v="PET Scan"/>
    <s v="Radiotherapy"/>
    <n v="64"/>
    <s v="No"/>
  </r>
  <r>
    <s v="LC-0822"/>
    <n v="2023"/>
    <d v="2023-09-10T00:00:00"/>
    <s v="Western Pacific"/>
    <s v="Japan"/>
    <n v="72"/>
    <x v="1"/>
    <x v="1"/>
    <n v="20"/>
    <n v="20"/>
    <x v="0"/>
    <x v="0"/>
    <x v="0"/>
    <x v="2"/>
    <x v="1"/>
    <n v="26.3"/>
    <x v="0"/>
    <s v="Yes"/>
    <x v="0"/>
    <x v="0"/>
    <x v="0"/>
    <s v="No Mutation"/>
    <s v="No"/>
    <s v="No"/>
    <s v="Yes"/>
    <s v="Yes"/>
    <s v="Yes"/>
    <s v="Yes"/>
    <s v="No"/>
    <s v="No"/>
    <s v="No"/>
    <s v="No"/>
    <x v="0"/>
    <s v="Adenocarcinoma"/>
    <x v="1"/>
    <n v="2.1"/>
    <s v="No"/>
    <s v="Chest X-Ray"/>
    <s v="Radiotherapy"/>
    <n v="61"/>
    <s v="No"/>
  </r>
  <r>
    <s v="LC-0823"/>
    <n v="2015"/>
    <d v="2015-07-17T00:00:00"/>
    <s v="Americas"/>
    <s v="Peru"/>
    <n v="51"/>
    <x v="0"/>
    <x v="1"/>
    <n v="5"/>
    <n v="16"/>
    <x v="0"/>
    <x v="0"/>
    <x v="1"/>
    <x v="0"/>
    <x v="2"/>
    <n v="23.9"/>
    <x v="0"/>
    <s v="No"/>
    <x v="0"/>
    <x v="0"/>
    <x v="0"/>
    <s v="No Mutation"/>
    <s v="Yes"/>
    <s v="Yes"/>
    <s v="Yes"/>
    <s v="Yes"/>
    <s v="Yes"/>
    <s v="Yes"/>
    <s v="No"/>
    <s v="No"/>
    <s v="No"/>
    <s v="No"/>
    <x v="0"/>
    <s v="Large Cell"/>
    <x v="0"/>
    <n v="3.5"/>
    <s v="Yes"/>
    <s v="Bronchoscopy"/>
    <s v="Chemo + Radiation"/>
    <n v="10"/>
    <s v="No"/>
  </r>
  <r>
    <s v="LC-0824"/>
    <n v="2020"/>
    <d v="2020-09-09T00:00:00"/>
    <s v="Africa"/>
    <s v="Uganda"/>
    <n v="70"/>
    <x v="0"/>
    <x v="0"/>
    <n v="27"/>
    <n v="20"/>
    <x v="1"/>
    <x v="1"/>
    <x v="0"/>
    <x v="2"/>
    <x v="0"/>
    <n v="29.1"/>
    <x v="0"/>
    <s v="Yes"/>
    <x v="0"/>
    <x v="0"/>
    <x v="0"/>
    <s v="KRAS"/>
    <s v="No"/>
    <s v="Yes"/>
    <s v="Yes"/>
    <s v="No"/>
    <s v="No"/>
    <s v="No"/>
    <s v="No"/>
    <s v="Yes"/>
    <s v="No"/>
    <s v="No"/>
    <x v="1"/>
    <s v="Not Applicable"/>
    <x v="2"/>
    <n v="8.3000000000000007"/>
    <s v="No"/>
    <s v="Chest X-Ray"/>
    <s v="Chemo + Radiation"/>
    <n v="9"/>
    <s v="No"/>
  </r>
  <r>
    <s v="LC-0825"/>
    <n v="2019"/>
    <d v="2019-11-20T00:00:00"/>
    <s v="Western Pacific"/>
    <s v="Japan"/>
    <n v="47"/>
    <x v="0"/>
    <x v="2"/>
    <n v="0"/>
    <n v="0"/>
    <x v="1"/>
    <x v="1"/>
    <x v="0"/>
    <x v="0"/>
    <x v="0"/>
    <n v="29.5"/>
    <x v="1"/>
    <s v="No"/>
    <x v="0"/>
    <x v="0"/>
    <x v="0"/>
    <s v="ALK"/>
    <s v="Yes"/>
    <s v="No"/>
    <s v="No"/>
    <s v="No"/>
    <s v="Yes"/>
    <s v="No"/>
    <s v="No"/>
    <s v="No"/>
    <s v="No"/>
    <s v="No"/>
    <x v="1"/>
    <s v="Not Applicable"/>
    <x v="0"/>
    <n v="3.6"/>
    <s v="Yes"/>
    <s v="CT Scan"/>
    <s v="Chemo + Radiation"/>
    <n v="14"/>
    <s v="No"/>
  </r>
  <r>
    <s v="LC-0826"/>
    <n v="2020"/>
    <d v="2020-03-04T00:00:00"/>
    <s v="Americas"/>
    <s v="Chile"/>
    <n v="49"/>
    <x v="1"/>
    <x v="2"/>
    <n v="0"/>
    <n v="0"/>
    <x v="1"/>
    <x v="0"/>
    <x v="0"/>
    <x v="1"/>
    <x v="2"/>
    <n v="27.3"/>
    <x v="0"/>
    <s v="No"/>
    <x v="0"/>
    <x v="0"/>
    <x v="0"/>
    <s v="ALK"/>
    <s v="No"/>
    <s v="No"/>
    <s v="No"/>
    <s v="No"/>
    <s v="Yes"/>
    <s v="Yes"/>
    <s v="No"/>
    <s v="Yes"/>
    <s v="No"/>
    <s v="No"/>
    <x v="0"/>
    <s v="Adenocarcinoma"/>
    <x v="1"/>
    <n v="2.7"/>
    <s v="No"/>
    <s v="Biopsy"/>
    <s v="Surgery"/>
    <n v="62"/>
    <s v="No"/>
  </r>
  <r>
    <s v="LC-0827"/>
    <n v="2021"/>
    <d v="2021-06-26T00:00:00"/>
    <s v="Europe"/>
    <s v="Russia"/>
    <n v="62"/>
    <x v="0"/>
    <x v="2"/>
    <n v="0"/>
    <n v="0"/>
    <x v="1"/>
    <x v="1"/>
    <x v="0"/>
    <x v="2"/>
    <x v="1"/>
    <n v="25"/>
    <x v="1"/>
    <s v="No"/>
    <x v="0"/>
    <x v="0"/>
    <x v="0"/>
    <s v="ALK"/>
    <s v="No"/>
    <s v="No"/>
    <s v="No"/>
    <s v="Yes"/>
    <s v="Yes"/>
    <s v="No"/>
    <s v="No"/>
    <s v="No"/>
    <s v="No"/>
    <s v="No"/>
    <x v="0"/>
    <s v="Squamous Cell"/>
    <x v="3"/>
    <n v="4.3"/>
    <s v="No"/>
    <s v="Chest X-Ray"/>
    <s v="Surgery"/>
    <n v="27"/>
    <s v="No"/>
  </r>
  <r>
    <s v="LC-0828"/>
    <n v="2017"/>
    <d v="2017-09-12T00:00:00"/>
    <s v="Western Pacific"/>
    <s v="South Korea"/>
    <n v="55"/>
    <x v="1"/>
    <x v="2"/>
    <n v="0"/>
    <n v="0"/>
    <x v="0"/>
    <x v="0"/>
    <x v="0"/>
    <x v="0"/>
    <x v="0"/>
    <n v="25.3"/>
    <x v="0"/>
    <s v="Yes"/>
    <x v="0"/>
    <x v="0"/>
    <x v="0"/>
    <s v="No Mutation"/>
    <s v="No"/>
    <s v="Yes"/>
    <s v="No"/>
    <s v="No"/>
    <s v="Yes"/>
    <s v="No"/>
    <s v="No"/>
    <s v="No"/>
    <s v="No"/>
    <s v="No"/>
    <x v="0"/>
    <s v="Adenocarcinoma"/>
    <x v="1"/>
    <n v="2"/>
    <s v="No"/>
    <s v="LDCT Screening"/>
    <s v="Surgery"/>
    <n v="88"/>
    <s v="No"/>
  </r>
  <r>
    <s v="LC-0829"/>
    <n v="2022"/>
    <d v="2022-04-20T00:00:00"/>
    <s v="Africa"/>
    <s v="Algeria"/>
    <n v="57"/>
    <x v="1"/>
    <x v="2"/>
    <n v="0"/>
    <n v="0"/>
    <x v="1"/>
    <x v="0"/>
    <x v="1"/>
    <x v="0"/>
    <x v="0"/>
    <n v="32.1"/>
    <x v="1"/>
    <s v="No"/>
    <x v="0"/>
    <x v="0"/>
    <x v="0"/>
    <s v="No Mutation"/>
    <s v="Yes"/>
    <s v="No"/>
    <s v="No"/>
    <s v="No"/>
    <s v="No"/>
    <s v="No"/>
    <s v="No"/>
    <s v="No"/>
    <s v="No"/>
    <s v="No"/>
    <x v="0"/>
    <s v="Adenocarcinoma"/>
    <x v="3"/>
    <n v="2"/>
    <s v="No"/>
    <s v="CT Scan"/>
    <s v="Chemotherapy"/>
    <n v="16"/>
    <s v="Yes"/>
  </r>
  <r>
    <s v="LC-0830"/>
    <n v="2019"/>
    <d v="2019-07-17T00:00:00"/>
    <s v="Americas"/>
    <s v="USA"/>
    <n v="61"/>
    <x v="1"/>
    <x v="2"/>
    <n v="0"/>
    <n v="0"/>
    <x v="0"/>
    <x v="0"/>
    <x v="0"/>
    <x v="1"/>
    <x v="2"/>
    <n v="27.5"/>
    <x v="1"/>
    <s v="No"/>
    <x v="0"/>
    <x v="0"/>
    <x v="0"/>
    <s v="EGFR"/>
    <s v="Yes"/>
    <s v="No"/>
    <s v="Yes"/>
    <s v="No"/>
    <s v="Yes"/>
    <s v="No"/>
    <s v="Yes"/>
    <s v="No"/>
    <s v="No"/>
    <s v="No"/>
    <x v="0"/>
    <s v="Adenocarcinoma"/>
    <x v="1"/>
    <n v="1.2"/>
    <s v="No"/>
    <s v="LDCT Screening"/>
    <s v="Surgery"/>
    <n v="68"/>
    <s v="Yes"/>
  </r>
  <r>
    <s v="LC-0831"/>
    <n v="2015"/>
    <d v="2015-01-02T00:00:00"/>
    <s v="Western Pacific"/>
    <s v="South Korea"/>
    <n v="56"/>
    <x v="1"/>
    <x v="0"/>
    <n v="22"/>
    <n v="35"/>
    <x v="1"/>
    <x v="0"/>
    <x v="0"/>
    <x v="1"/>
    <x v="2"/>
    <n v="30.8"/>
    <x v="0"/>
    <s v="Yes"/>
    <x v="0"/>
    <x v="0"/>
    <x v="0"/>
    <s v="KRAS"/>
    <s v="No"/>
    <s v="No"/>
    <s v="Yes"/>
    <s v="No"/>
    <s v="No"/>
    <s v="No"/>
    <s v="Yes"/>
    <s v="No"/>
    <s v="No"/>
    <s v="No"/>
    <x v="0"/>
    <s v="Squamous Cell"/>
    <x v="3"/>
    <n v="2.2000000000000002"/>
    <s v="No"/>
    <s v="Bronchoscopy"/>
    <s v="Surgery"/>
    <n v="39"/>
    <s v="No"/>
  </r>
  <r>
    <s v="LC-0832"/>
    <n v="2024"/>
    <d v="2024-12-11T00:00:00"/>
    <s v="Africa"/>
    <s v="Morocco"/>
    <n v="47"/>
    <x v="1"/>
    <x v="0"/>
    <n v="13"/>
    <n v="23"/>
    <x v="1"/>
    <x v="0"/>
    <x v="0"/>
    <x v="0"/>
    <x v="2"/>
    <n v="30.1"/>
    <x v="1"/>
    <s v="No"/>
    <x v="0"/>
    <x v="0"/>
    <x v="0"/>
    <s v="KRAS"/>
    <s v="No"/>
    <s v="No"/>
    <s v="No"/>
    <s v="No"/>
    <s v="Yes"/>
    <s v="Yes"/>
    <s v="Yes"/>
    <s v="Yes"/>
    <s v="No"/>
    <s v="No"/>
    <x v="1"/>
    <s v="Not Applicable"/>
    <x v="2"/>
    <n v="5.8"/>
    <s v="No"/>
    <s v="PET Scan"/>
    <s v="Chemotherapy"/>
    <n v="10"/>
    <s v="No"/>
  </r>
  <r>
    <s v="LC-0833"/>
    <n v="2022"/>
    <d v="2022-09-15T00:00:00"/>
    <s v="Americas"/>
    <s v="Brazil"/>
    <n v="47"/>
    <x v="0"/>
    <x v="2"/>
    <n v="0"/>
    <n v="0"/>
    <x v="1"/>
    <x v="0"/>
    <x v="0"/>
    <x v="2"/>
    <x v="0"/>
    <n v="23.6"/>
    <x v="1"/>
    <s v="No"/>
    <x v="0"/>
    <x v="0"/>
    <x v="0"/>
    <s v="ALK"/>
    <s v="No"/>
    <s v="No"/>
    <s v="No"/>
    <s v="No"/>
    <s v="No"/>
    <s v="No"/>
    <s v="No"/>
    <s v="Yes"/>
    <s v="No"/>
    <s v="No"/>
    <x v="0"/>
    <s v="Large Cell"/>
    <x v="3"/>
    <n v="4"/>
    <s v="No"/>
    <s v="PET Scan"/>
    <s v="Radiotherapy"/>
    <n v="36"/>
    <s v="No"/>
  </r>
  <r>
    <s v="LC-0834"/>
    <n v="2016"/>
    <d v="2016-10-17T00:00:00"/>
    <s v="South-East Asia"/>
    <s v="Indonesia"/>
    <n v="59"/>
    <x v="1"/>
    <x v="0"/>
    <n v="28"/>
    <n v="26"/>
    <x v="1"/>
    <x v="1"/>
    <x v="1"/>
    <x v="1"/>
    <x v="1"/>
    <n v="23.3"/>
    <x v="2"/>
    <s v="No"/>
    <x v="1"/>
    <x v="0"/>
    <x v="0"/>
    <s v="No Mutation"/>
    <s v="Yes"/>
    <s v="No"/>
    <s v="No"/>
    <s v="No"/>
    <s v="Yes"/>
    <s v="No"/>
    <s v="No"/>
    <s v="No"/>
    <s v="No"/>
    <s v="No"/>
    <x v="0"/>
    <s v="Adenocarcinoma"/>
    <x v="0"/>
    <n v="8.1999999999999993"/>
    <s v="Yes"/>
    <s v="PET Scan"/>
    <s v="Chemotherapy"/>
    <n v="7"/>
    <s v="No"/>
  </r>
  <r>
    <s v="LC-0835"/>
    <n v="2022"/>
    <d v="2022-06-20T00:00:00"/>
    <s v="Americas"/>
    <s v="Colombia"/>
    <n v="58"/>
    <x v="1"/>
    <x v="2"/>
    <n v="0"/>
    <n v="0"/>
    <x v="0"/>
    <x v="0"/>
    <x v="0"/>
    <x v="0"/>
    <x v="1"/>
    <n v="28.9"/>
    <x v="0"/>
    <s v="Yes"/>
    <x v="1"/>
    <x v="0"/>
    <x v="0"/>
    <s v="No Mutation"/>
    <s v="No"/>
    <s v="Yes"/>
    <s v="No"/>
    <s v="No"/>
    <s v="No"/>
    <s v="Yes"/>
    <s v="Yes"/>
    <s v="No"/>
    <s v="Yes"/>
    <s v="Yes"/>
    <x v="0"/>
    <s v="Adenocarcinoma"/>
    <x v="1"/>
    <n v="1.8"/>
    <s v="No"/>
    <s v="LDCT Screening"/>
    <s v="Surgery"/>
    <n v="41"/>
    <s v="Yes"/>
  </r>
  <r>
    <s v="LC-0836"/>
    <n v="2023"/>
    <d v="2023-03-13T00:00:00"/>
    <s v="Europe"/>
    <s v="Sweden"/>
    <n v="72"/>
    <x v="1"/>
    <x v="1"/>
    <n v="14"/>
    <n v="11"/>
    <x v="1"/>
    <x v="1"/>
    <x v="0"/>
    <x v="0"/>
    <x v="0"/>
    <n v="22.4"/>
    <x v="0"/>
    <s v="Yes"/>
    <x v="0"/>
    <x v="0"/>
    <x v="0"/>
    <s v="TP53"/>
    <s v="No"/>
    <s v="No"/>
    <s v="No"/>
    <s v="No"/>
    <s v="Yes"/>
    <s v="No"/>
    <s v="No"/>
    <s v="No"/>
    <s v="No"/>
    <s v="No"/>
    <x v="0"/>
    <s v="Adenocarcinoma"/>
    <x v="2"/>
    <n v="7.9"/>
    <s v="No"/>
    <s v="MRI"/>
    <s v="Immunotherapy"/>
    <n v="23"/>
    <s v="Yes"/>
  </r>
  <r>
    <s v="LC-0837"/>
    <n v="2018"/>
    <d v="2018-12-27T00:00:00"/>
    <s v="Western Pacific"/>
    <s v="Philippines"/>
    <n v="69"/>
    <x v="1"/>
    <x v="2"/>
    <n v="0"/>
    <n v="0"/>
    <x v="0"/>
    <x v="1"/>
    <x v="0"/>
    <x v="0"/>
    <x v="0"/>
    <n v="21.2"/>
    <x v="1"/>
    <s v="No"/>
    <x v="0"/>
    <x v="0"/>
    <x v="0"/>
    <s v="EGFR"/>
    <s v="No"/>
    <s v="No"/>
    <s v="Yes"/>
    <s v="No"/>
    <s v="No"/>
    <s v="No"/>
    <s v="No"/>
    <s v="No"/>
    <s v="No"/>
    <s v="No"/>
    <x v="0"/>
    <s v="Adenocarcinoma"/>
    <x v="2"/>
    <n v="6.5"/>
    <s v="No"/>
    <s v="CT Scan"/>
    <s v="Chemo + Radiation"/>
    <n v="31"/>
    <s v="No"/>
  </r>
  <r>
    <s v="LC-0838"/>
    <n v="2017"/>
    <d v="2017-10-11T00:00:00"/>
    <s v="Eastern Mediterranean"/>
    <s v="Qatar"/>
    <n v="59"/>
    <x v="0"/>
    <x v="2"/>
    <n v="0"/>
    <n v="0"/>
    <x v="0"/>
    <x v="0"/>
    <x v="0"/>
    <x v="0"/>
    <x v="1"/>
    <n v="30.3"/>
    <x v="2"/>
    <s v="Yes"/>
    <x v="0"/>
    <x v="0"/>
    <x v="0"/>
    <s v="TP53"/>
    <s v="No"/>
    <s v="Yes"/>
    <s v="No"/>
    <s v="No"/>
    <s v="Yes"/>
    <s v="No"/>
    <s v="No"/>
    <s v="No"/>
    <s v="No"/>
    <s v="No"/>
    <x v="0"/>
    <s v="Adenocarcinoma"/>
    <x v="1"/>
    <n v="2.2999999999999998"/>
    <s v="No"/>
    <s v="Chest X-Ray"/>
    <s v="Surgery"/>
    <n v="98"/>
    <s v="Yes"/>
  </r>
  <r>
    <s v="LC-0839"/>
    <n v="2021"/>
    <d v="2021-09-18T00:00:00"/>
    <s v="South-East Asia"/>
    <s v="Maldives"/>
    <n v="70"/>
    <x v="1"/>
    <x v="2"/>
    <n v="0"/>
    <n v="0"/>
    <x v="0"/>
    <x v="0"/>
    <x v="0"/>
    <x v="1"/>
    <x v="0"/>
    <n v="21.5"/>
    <x v="2"/>
    <s v="No"/>
    <x v="0"/>
    <x v="0"/>
    <x v="0"/>
    <s v="No Mutation"/>
    <s v="No"/>
    <s v="No"/>
    <s v="No"/>
    <s v="No"/>
    <s v="No"/>
    <s v="Yes"/>
    <s v="No"/>
    <s v="No"/>
    <s v="No"/>
    <s v="No"/>
    <x v="0"/>
    <s v="Squamous Cell"/>
    <x v="2"/>
    <n v="3.2"/>
    <s v="No"/>
    <s v="MRI"/>
    <s v="Surgery + Chemotherapy"/>
    <n v="20"/>
    <s v="No"/>
  </r>
  <r>
    <s v="LC-0840"/>
    <n v="2016"/>
    <d v="2016-12-19T00:00:00"/>
    <s v="South-East Asia"/>
    <s v="Myanmar"/>
    <n v="43"/>
    <x v="0"/>
    <x v="2"/>
    <n v="0"/>
    <n v="0"/>
    <x v="0"/>
    <x v="0"/>
    <x v="0"/>
    <x v="2"/>
    <x v="2"/>
    <n v="20.9"/>
    <x v="0"/>
    <s v="Yes"/>
    <x v="0"/>
    <x v="0"/>
    <x v="0"/>
    <s v="ALK"/>
    <s v="No"/>
    <s v="No"/>
    <s v="No"/>
    <s v="No"/>
    <s v="No"/>
    <s v="No"/>
    <s v="Yes"/>
    <s v="Yes"/>
    <s v="No"/>
    <s v="No"/>
    <x v="0"/>
    <s v="Large Cell"/>
    <x v="1"/>
    <n v="1.4"/>
    <s v="No"/>
    <s v="Bronchoscopy"/>
    <s v="Immunotherapy"/>
    <n v="67"/>
    <s v="Yes"/>
  </r>
  <r>
    <s v="LC-0841"/>
    <n v="2019"/>
    <d v="2019-08-27T00:00:00"/>
    <s v="South-East Asia"/>
    <s v="India"/>
    <n v="75"/>
    <x v="0"/>
    <x v="2"/>
    <n v="0"/>
    <n v="0"/>
    <x v="1"/>
    <x v="0"/>
    <x v="1"/>
    <x v="1"/>
    <x v="2"/>
    <n v="23.8"/>
    <x v="1"/>
    <s v="No"/>
    <x v="1"/>
    <x v="1"/>
    <x v="0"/>
    <s v="ALK"/>
    <s v="Yes"/>
    <s v="No"/>
    <s v="Yes"/>
    <s v="No"/>
    <s v="No"/>
    <s v="No"/>
    <s v="No"/>
    <s v="No"/>
    <s v="No"/>
    <s v="No"/>
    <x v="0"/>
    <s v="Large Cell"/>
    <x v="3"/>
    <n v="4.5"/>
    <s v="No"/>
    <s v="CT Scan"/>
    <s v="Immunotherapy"/>
    <n v="34"/>
    <s v="No"/>
  </r>
  <r>
    <s v="LC-0842"/>
    <n v="2023"/>
    <d v="2023-06-11T00:00:00"/>
    <s v="Americas"/>
    <s v="Canada"/>
    <n v="57"/>
    <x v="1"/>
    <x v="0"/>
    <n v="37"/>
    <n v="14"/>
    <x v="1"/>
    <x v="1"/>
    <x v="0"/>
    <x v="2"/>
    <x v="0"/>
    <n v="24.7"/>
    <x v="0"/>
    <s v="No"/>
    <x v="0"/>
    <x v="0"/>
    <x v="0"/>
    <s v="No Mutation"/>
    <s v="Yes"/>
    <s v="No"/>
    <s v="Yes"/>
    <s v="Yes"/>
    <s v="Yes"/>
    <s v="Yes"/>
    <s v="No"/>
    <s v="No"/>
    <s v="Yes"/>
    <s v="No"/>
    <x v="0"/>
    <s v="Adenocarcinoma"/>
    <x v="2"/>
    <n v="6.7"/>
    <s v="No"/>
    <s v="Chest X-Ray"/>
    <s v="Chemotherapy"/>
    <n v="12"/>
    <s v="No"/>
  </r>
  <r>
    <s v="LC-0843"/>
    <n v="2019"/>
    <d v="2019-07-19T00:00:00"/>
    <s v="Americas"/>
    <s v="Argentina"/>
    <n v="71"/>
    <x v="1"/>
    <x v="0"/>
    <n v="19"/>
    <n v="24"/>
    <x v="1"/>
    <x v="0"/>
    <x v="1"/>
    <x v="1"/>
    <x v="0"/>
    <n v="30.5"/>
    <x v="1"/>
    <s v="No"/>
    <x v="0"/>
    <x v="0"/>
    <x v="0"/>
    <s v="No Mutation"/>
    <s v="No"/>
    <s v="Yes"/>
    <s v="Yes"/>
    <s v="No"/>
    <s v="Yes"/>
    <s v="Yes"/>
    <s v="Yes"/>
    <s v="No"/>
    <s v="No"/>
    <s v="No"/>
    <x v="0"/>
    <s v="Adenocarcinoma"/>
    <x v="0"/>
    <n v="3.9"/>
    <s v="Yes"/>
    <s v="MRI"/>
    <s v="Chemotherapy"/>
    <n v="3"/>
    <s v="No"/>
  </r>
  <r>
    <s v="LC-0844"/>
    <n v="2015"/>
    <d v="2015-12-28T00:00:00"/>
    <s v="Americas"/>
    <s v="USA"/>
    <n v="41"/>
    <x v="0"/>
    <x v="2"/>
    <n v="0"/>
    <n v="0"/>
    <x v="1"/>
    <x v="0"/>
    <x v="0"/>
    <x v="1"/>
    <x v="2"/>
    <n v="22.7"/>
    <x v="0"/>
    <s v="No"/>
    <x v="1"/>
    <x v="0"/>
    <x v="0"/>
    <s v="No Mutation"/>
    <s v="Yes"/>
    <s v="No"/>
    <s v="Yes"/>
    <s v="No"/>
    <s v="No"/>
    <s v="Yes"/>
    <s v="Yes"/>
    <s v="No"/>
    <s v="No"/>
    <s v="No"/>
    <x v="0"/>
    <s v="Adenocarcinoma"/>
    <x v="1"/>
    <n v="2.1"/>
    <s v="No"/>
    <s v="CT Scan"/>
    <s v="Immunotherapy"/>
    <n v="51"/>
    <s v="No"/>
  </r>
  <r>
    <s v="LC-0845"/>
    <n v="2023"/>
    <d v="2023-10-16T00:00:00"/>
    <s v="Europe"/>
    <s v="Spain"/>
    <n v="58"/>
    <x v="1"/>
    <x v="2"/>
    <n v="0"/>
    <n v="0"/>
    <x v="1"/>
    <x v="0"/>
    <x v="1"/>
    <x v="1"/>
    <x v="2"/>
    <n v="24.8"/>
    <x v="1"/>
    <s v="No"/>
    <x v="0"/>
    <x v="0"/>
    <x v="0"/>
    <s v="KRAS"/>
    <s v="No"/>
    <s v="No"/>
    <s v="No"/>
    <s v="No"/>
    <s v="No"/>
    <s v="Yes"/>
    <s v="Yes"/>
    <s v="No"/>
    <s v="No"/>
    <s v="No"/>
    <x v="1"/>
    <s v="Not Applicable"/>
    <x v="3"/>
    <n v="5.3"/>
    <s v="No"/>
    <s v="CT Scan"/>
    <s v="Surgery + Chemotherapy"/>
    <n v="29"/>
    <s v="No"/>
  </r>
  <r>
    <s v="LC-0846"/>
    <n v="2021"/>
    <d v="2021-11-26T00:00:00"/>
    <s v="Western Pacific"/>
    <s v="Mongolia"/>
    <n v="82"/>
    <x v="1"/>
    <x v="0"/>
    <n v="26"/>
    <n v="43"/>
    <x v="1"/>
    <x v="0"/>
    <x v="0"/>
    <x v="0"/>
    <x v="1"/>
    <n v="21.3"/>
    <x v="1"/>
    <s v="Yes"/>
    <x v="0"/>
    <x v="0"/>
    <x v="0"/>
    <s v="BRAF"/>
    <s v="Yes"/>
    <s v="Yes"/>
    <s v="Yes"/>
    <s v="No"/>
    <s v="Yes"/>
    <s v="No"/>
    <s v="No"/>
    <s v="No"/>
    <s v="No"/>
    <s v="No"/>
    <x v="1"/>
    <s v="Not Applicable"/>
    <x v="1"/>
    <n v="2.1"/>
    <s v="No"/>
    <s v="CT Scan"/>
    <s v="Targeted Therapy"/>
    <n v="43"/>
    <s v="Yes"/>
  </r>
  <r>
    <s v="LC-0847"/>
    <n v="2019"/>
    <d v="2019-10-08T00:00:00"/>
    <s v="Europe"/>
    <s v="UK"/>
    <n v="54"/>
    <x v="1"/>
    <x v="2"/>
    <n v="0"/>
    <n v="0"/>
    <x v="0"/>
    <x v="0"/>
    <x v="0"/>
    <x v="2"/>
    <x v="0"/>
    <n v="26.3"/>
    <x v="2"/>
    <s v="No"/>
    <x v="0"/>
    <x v="0"/>
    <x v="1"/>
    <s v="EGFR"/>
    <s v="No"/>
    <s v="Yes"/>
    <s v="No"/>
    <s v="No"/>
    <s v="Yes"/>
    <s v="Yes"/>
    <s v="No"/>
    <s v="No"/>
    <s v="No"/>
    <s v="No"/>
    <x v="0"/>
    <s v="Adenocarcinoma"/>
    <x v="0"/>
    <n v="7.7"/>
    <s v="Yes"/>
    <s v="LDCT Screening"/>
    <s v="Targeted Therapy"/>
    <n v="3"/>
    <s v="No"/>
  </r>
  <r>
    <s v="LC-0848"/>
    <n v="2025"/>
    <d v="2025-10-16T00:00:00"/>
    <s v="Western Pacific"/>
    <s v="South Korea"/>
    <n v="70"/>
    <x v="1"/>
    <x v="0"/>
    <n v="26"/>
    <n v="12"/>
    <x v="0"/>
    <x v="0"/>
    <x v="0"/>
    <x v="0"/>
    <x v="0"/>
    <n v="22.1"/>
    <x v="1"/>
    <s v="Yes"/>
    <x v="0"/>
    <x v="0"/>
    <x v="0"/>
    <s v="No Mutation"/>
    <s v="Yes"/>
    <s v="Yes"/>
    <s v="Yes"/>
    <s v="No"/>
    <s v="Yes"/>
    <s v="Yes"/>
    <s v="No"/>
    <s v="No"/>
    <s v="No"/>
    <s v="Yes"/>
    <x v="0"/>
    <s v="Squamous Cell"/>
    <x v="3"/>
    <n v="4.4000000000000004"/>
    <s v="No"/>
    <s v="PET Scan"/>
    <s v="Immunotherapy"/>
    <n v="40"/>
    <s v="No"/>
  </r>
  <r>
    <s v="LC-0849"/>
    <n v="2024"/>
    <d v="2024-09-21T00:00:00"/>
    <s v="South-East Asia"/>
    <s v="Bhutan"/>
    <n v="64"/>
    <x v="0"/>
    <x v="2"/>
    <n v="0"/>
    <n v="0"/>
    <x v="0"/>
    <x v="0"/>
    <x v="0"/>
    <x v="1"/>
    <x v="2"/>
    <n v="20.100000000000001"/>
    <x v="1"/>
    <s v="No"/>
    <x v="0"/>
    <x v="0"/>
    <x v="0"/>
    <s v="KRAS"/>
    <s v="No"/>
    <s v="No"/>
    <s v="No"/>
    <s v="Yes"/>
    <s v="No"/>
    <s v="No"/>
    <s v="No"/>
    <s v="No"/>
    <s v="No"/>
    <s v="No"/>
    <x v="0"/>
    <s v="Large Cell"/>
    <x v="0"/>
    <n v="8.3000000000000007"/>
    <s v="Yes"/>
    <s v="PET Scan"/>
    <s v="Palliative Care"/>
    <n v="18"/>
    <s v="No"/>
  </r>
  <r>
    <s v="LC-0850"/>
    <n v="2021"/>
    <d v="2021-07-05T00:00:00"/>
    <s v="Americas"/>
    <s v="Mexico"/>
    <n v="67"/>
    <x v="1"/>
    <x v="1"/>
    <n v="20"/>
    <n v="20"/>
    <x v="1"/>
    <x v="0"/>
    <x v="0"/>
    <x v="2"/>
    <x v="2"/>
    <n v="30.6"/>
    <x v="1"/>
    <s v="No"/>
    <x v="0"/>
    <x v="0"/>
    <x v="0"/>
    <s v="No Mutation"/>
    <s v="No"/>
    <s v="Yes"/>
    <s v="Yes"/>
    <s v="Yes"/>
    <s v="Yes"/>
    <s v="Yes"/>
    <s v="No"/>
    <s v="No"/>
    <s v="No"/>
    <s v="No"/>
    <x v="0"/>
    <s v="Large Cell"/>
    <x v="0"/>
    <n v="6"/>
    <s v="Yes"/>
    <s v="CT Scan"/>
    <s v="Chemotherapy"/>
    <n v="8"/>
    <s v="No"/>
  </r>
  <r>
    <s v="LC-0851"/>
    <n v="2019"/>
    <d v="2019-01-19T00:00:00"/>
    <s v="Western Pacific"/>
    <s v="Japan"/>
    <n v="59"/>
    <x v="1"/>
    <x v="0"/>
    <n v="18"/>
    <n v="31"/>
    <x v="1"/>
    <x v="0"/>
    <x v="0"/>
    <x v="1"/>
    <x v="2"/>
    <n v="24.6"/>
    <x v="2"/>
    <s v="Yes"/>
    <x v="0"/>
    <x v="0"/>
    <x v="0"/>
    <s v="ALK"/>
    <s v="Yes"/>
    <s v="No"/>
    <s v="No"/>
    <s v="No"/>
    <s v="No"/>
    <s v="Yes"/>
    <s v="No"/>
    <s v="No"/>
    <s v="No"/>
    <s v="No"/>
    <x v="0"/>
    <s v="Adenocarcinoma"/>
    <x v="0"/>
    <n v="7.5"/>
    <s v="Yes"/>
    <s v="CT Scan"/>
    <s v="Immunotherapy"/>
    <n v="13"/>
    <s v="Yes"/>
  </r>
  <r>
    <s v="LC-0852"/>
    <n v="2017"/>
    <d v="2017-04-01T00:00:00"/>
    <s v="Europe"/>
    <s v="Poland"/>
    <n v="71"/>
    <x v="0"/>
    <x v="0"/>
    <n v="25"/>
    <n v="42"/>
    <x v="0"/>
    <x v="1"/>
    <x v="0"/>
    <x v="1"/>
    <x v="0"/>
    <n v="21.6"/>
    <x v="1"/>
    <s v="No"/>
    <x v="0"/>
    <x v="1"/>
    <x v="0"/>
    <s v="No Mutation"/>
    <s v="No"/>
    <s v="Yes"/>
    <s v="Yes"/>
    <s v="No"/>
    <s v="Yes"/>
    <s v="No"/>
    <s v="No"/>
    <s v="No"/>
    <s v="No"/>
    <s v="No"/>
    <x v="1"/>
    <s v="Not Applicable"/>
    <x v="0"/>
    <n v="7.3"/>
    <s v="Yes"/>
    <s v="Bronchoscopy"/>
    <s v="Targeted Therapy"/>
    <n v="1"/>
    <s v="No"/>
  </r>
  <r>
    <s v="LC-0853"/>
    <n v="2021"/>
    <d v="2021-06-14T00:00:00"/>
    <s v="Americas"/>
    <s v="Brazil"/>
    <n v="66"/>
    <x v="1"/>
    <x v="0"/>
    <n v="46"/>
    <n v="19"/>
    <x v="0"/>
    <x v="0"/>
    <x v="0"/>
    <x v="2"/>
    <x v="1"/>
    <n v="22.6"/>
    <x v="2"/>
    <s v="Yes"/>
    <x v="0"/>
    <x v="0"/>
    <x v="0"/>
    <s v="No Mutation"/>
    <s v="Yes"/>
    <s v="Yes"/>
    <s v="Yes"/>
    <s v="No"/>
    <s v="No"/>
    <s v="Yes"/>
    <s v="Yes"/>
    <s v="No"/>
    <s v="No"/>
    <s v="Yes"/>
    <x v="0"/>
    <s v="Adenocarcinoma"/>
    <x v="2"/>
    <n v="5.6"/>
    <s v="No"/>
    <s v="CT Scan"/>
    <s v="Chemotherapy"/>
    <n v="14"/>
    <s v="No"/>
  </r>
  <r>
    <s v="LC-0854"/>
    <n v="2023"/>
    <d v="2023-07-23T00:00:00"/>
    <s v="Western Pacific"/>
    <s v="Australia"/>
    <n v="69"/>
    <x v="1"/>
    <x v="0"/>
    <n v="30"/>
    <n v="36"/>
    <x v="0"/>
    <x v="0"/>
    <x v="0"/>
    <x v="1"/>
    <x v="2"/>
    <n v="23.8"/>
    <x v="2"/>
    <s v="No"/>
    <x v="0"/>
    <x v="0"/>
    <x v="0"/>
    <s v="TP53"/>
    <s v="Yes"/>
    <s v="Yes"/>
    <s v="Yes"/>
    <s v="No"/>
    <s v="Yes"/>
    <s v="Yes"/>
    <s v="No"/>
    <s v="No"/>
    <s v="No"/>
    <s v="Yes"/>
    <x v="0"/>
    <s v="Adenocarcinoma"/>
    <x v="1"/>
    <n v="2.9"/>
    <s v="No"/>
    <s v="Chest X-Ray"/>
    <s v="Surgery"/>
    <n v="60"/>
    <s v="Yes"/>
  </r>
  <r>
    <s v="LC-0855"/>
    <n v="2022"/>
    <d v="2022-07-17T00:00:00"/>
    <s v="Western Pacific"/>
    <s v="Mongolia"/>
    <n v="62"/>
    <x v="0"/>
    <x v="2"/>
    <n v="0"/>
    <n v="0"/>
    <x v="0"/>
    <x v="0"/>
    <x v="0"/>
    <x v="1"/>
    <x v="0"/>
    <n v="22.7"/>
    <x v="0"/>
    <s v="No"/>
    <x v="0"/>
    <x v="0"/>
    <x v="0"/>
    <s v="No Mutation"/>
    <s v="Yes"/>
    <s v="Yes"/>
    <s v="No"/>
    <s v="No"/>
    <s v="Yes"/>
    <s v="No"/>
    <s v="Yes"/>
    <s v="Yes"/>
    <s v="No"/>
    <s v="No"/>
    <x v="0"/>
    <s v="Adenocarcinoma"/>
    <x v="1"/>
    <n v="2.5"/>
    <s v="No"/>
    <s v="LDCT Screening"/>
    <s v="Surgery + Chemotherapy"/>
    <n v="12"/>
    <s v="Yes"/>
  </r>
  <r>
    <s v="LC-0856"/>
    <n v="2016"/>
    <d v="2016-08-28T00:00:00"/>
    <s v="Western Pacific"/>
    <s v="China"/>
    <n v="63"/>
    <x v="0"/>
    <x v="2"/>
    <n v="0"/>
    <n v="0"/>
    <x v="0"/>
    <x v="1"/>
    <x v="0"/>
    <x v="1"/>
    <x v="2"/>
    <n v="24.7"/>
    <x v="0"/>
    <s v="No"/>
    <x v="0"/>
    <x v="0"/>
    <x v="0"/>
    <s v="No Mutation"/>
    <s v="Yes"/>
    <s v="Yes"/>
    <s v="Yes"/>
    <s v="Yes"/>
    <s v="Yes"/>
    <s v="No"/>
    <s v="No"/>
    <s v="No"/>
    <s v="No"/>
    <s v="Yes"/>
    <x v="1"/>
    <s v="Not Applicable"/>
    <x v="1"/>
    <n v="2.6"/>
    <s v="No"/>
    <s v="Chest X-Ray"/>
    <s v="Targeted Therapy"/>
    <n v="42"/>
    <s v="Yes"/>
  </r>
  <r>
    <s v="LC-0857"/>
    <n v="2022"/>
    <d v="2022-12-05T00:00:00"/>
    <s v="Eastern Mediterranean"/>
    <s v="Qatar"/>
    <n v="51"/>
    <x v="0"/>
    <x v="2"/>
    <n v="0"/>
    <n v="0"/>
    <x v="1"/>
    <x v="0"/>
    <x v="1"/>
    <x v="2"/>
    <x v="2"/>
    <n v="28.2"/>
    <x v="0"/>
    <s v="No"/>
    <x v="0"/>
    <x v="0"/>
    <x v="0"/>
    <s v="KRAS"/>
    <s v="No"/>
    <s v="No"/>
    <s v="No"/>
    <s v="No"/>
    <s v="Yes"/>
    <s v="Yes"/>
    <s v="No"/>
    <s v="No"/>
    <s v="Yes"/>
    <s v="No"/>
    <x v="0"/>
    <s v="Adenocarcinoma"/>
    <x v="0"/>
    <n v="10.6"/>
    <s v="Yes"/>
    <s v="Biopsy"/>
    <s v="Chemotherapy"/>
    <n v="6"/>
    <s v="No"/>
  </r>
  <r>
    <s v="LC-0858"/>
    <n v="2023"/>
    <d v="2023-04-18T00:00:00"/>
    <s v="Europe"/>
    <s v="Russia"/>
    <n v="47"/>
    <x v="0"/>
    <x v="2"/>
    <n v="0"/>
    <n v="0"/>
    <x v="1"/>
    <x v="0"/>
    <x v="1"/>
    <x v="2"/>
    <x v="0"/>
    <n v="29.7"/>
    <x v="0"/>
    <s v="No"/>
    <x v="0"/>
    <x v="0"/>
    <x v="0"/>
    <s v="No Mutation"/>
    <s v="No"/>
    <s v="No"/>
    <s v="No"/>
    <s v="No"/>
    <s v="No"/>
    <s v="No"/>
    <s v="No"/>
    <s v="Yes"/>
    <s v="No"/>
    <s v="No"/>
    <x v="0"/>
    <s v="Adenocarcinoma"/>
    <x v="1"/>
    <n v="2.2000000000000002"/>
    <s v="No"/>
    <s v="Chest X-Ray"/>
    <s v="Surgery"/>
    <n v="54"/>
    <s v="Yes"/>
  </r>
  <r>
    <s v="LC-0859"/>
    <n v="2022"/>
    <d v="2022-11-16T00:00:00"/>
    <s v="Americas"/>
    <s v="Cuba"/>
    <n v="67"/>
    <x v="0"/>
    <x v="2"/>
    <n v="0"/>
    <n v="0"/>
    <x v="0"/>
    <x v="0"/>
    <x v="0"/>
    <x v="1"/>
    <x v="1"/>
    <n v="27.6"/>
    <x v="2"/>
    <s v="No"/>
    <x v="0"/>
    <x v="0"/>
    <x v="0"/>
    <s v="ALK"/>
    <s v="Yes"/>
    <s v="No"/>
    <s v="No"/>
    <s v="Yes"/>
    <s v="Yes"/>
    <s v="No"/>
    <s v="No"/>
    <s v="No"/>
    <s v="No"/>
    <s v="No"/>
    <x v="0"/>
    <s v="Adenocarcinoma"/>
    <x v="3"/>
    <n v="3.6"/>
    <s v="No"/>
    <s v="Bronchoscopy"/>
    <s v="Surgery + Chemotherapy"/>
    <n v="49"/>
    <s v="No"/>
  </r>
  <r>
    <s v="LC-0860"/>
    <n v="2016"/>
    <d v="2016-07-11T00:00:00"/>
    <s v="South-East Asia"/>
    <s v="Indonesia"/>
    <n v="62"/>
    <x v="1"/>
    <x v="2"/>
    <n v="0"/>
    <n v="0"/>
    <x v="0"/>
    <x v="0"/>
    <x v="0"/>
    <x v="1"/>
    <x v="1"/>
    <n v="20.100000000000001"/>
    <x v="1"/>
    <s v="No"/>
    <x v="0"/>
    <x v="0"/>
    <x v="0"/>
    <s v="KRAS"/>
    <s v="Yes"/>
    <s v="No"/>
    <s v="Yes"/>
    <s v="No"/>
    <s v="Yes"/>
    <s v="No"/>
    <s v="No"/>
    <s v="No"/>
    <s v="No"/>
    <s v="No"/>
    <x v="0"/>
    <s v="Adenocarcinoma"/>
    <x v="3"/>
    <n v="4.7"/>
    <s v="No"/>
    <s v="Bronchoscopy"/>
    <s v="Radiotherapy"/>
    <n v="28"/>
    <s v="Yes"/>
  </r>
  <r>
    <s v="LC-0861"/>
    <n v="2021"/>
    <d v="2021-08-18T00:00:00"/>
    <s v="Western Pacific"/>
    <s v="Vietnam"/>
    <n v="66"/>
    <x v="1"/>
    <x v="2"/>
    <n v="0"/>
    <n v="0"/>
    <x v="1"/>
    <x v="0"/>
    <x v="0"/>
    <x v="1"/>
    <x v="1"/>
    <n v="23.2"/>
    <x v="1"/>
    <s v="No"/>
    <x v="0"/>
    <x v="0"/>
    <x v="0"/>
    <s v="MET"/>
    <s v="No"/>
    <s v="No"/>
    <s v="No"/>
    <s v="No"/>
    <s v="Yes"/>
    <s v="No"/>
    <s v="No"/>
    <s v="No"/>
    <s v="No"/>
    <s v="No"/>
    <x v="0"/>
    <s v="Squamous Cell"/>
    <x v="1"/>
    <n v="2.2999999999999998"/>
    <s v="No"/>
    <s v="Chest X-Ray"/>
    <s v="Radiotherapy"/>
    <n v="40"/>
    <s v="Yes"/>
  </r>
  <r>
    <s v="LC-0862"/>
    <n v="2022"/>
    <d v="2022-09-12T00:00:00"/>
    <s v="Western Pacific"/>
    <s v="Philippines"/>
    <n v="50"/>
    <x v="0"/>
    <x v="0"/>
    <n v="14"/>
    <n v="31"/>
    <x v="1"/>
    <x v="1"/>
    <x v="0"/>
    <x v="0"/>
    <x v="0"/>
    <n v="25.1"/>
    <x v="2"/>
    <s v="No"/>
    <x v="0"/>
    <x v="0"/>
    <x v="0"/>
    <s v="KRAS"/>
    <s v="Yes"/>
    <s v="No"/>
    <s v="No"/>
    <s v="No"/>
    <s v="Yes"/>
    <s v="No"/>
    <s v="Yes"/>
    <s v="Yes"/>
    <s v="No"/>
    <s v="No"/>
    <x v="1"/>
    <s v="Not Applicable"/>
    <x v="0"/>
    <n v="6.2"/>
    <s v="Yes"/>
    <s v="CT Scan"/>
    <s v="Chemotherapy"/>
    <n v="4"/>
    <s v="No"/>
  </r>
  <r>
    <s v="LC-0863"/>
    <n v="2023"/>
    <d v="2023-10-16T00:00:00"/>
    <s v="South-East Asia"/>
    <s v="Thailand"/>
    <n v="38"/>
    <x v="0"/>
    <x v="2"/>
    <n v="0"/>
    <n v="0"/>
    <x v="1"/>
    <x v="0"/>
    <x v="1"/>
    <x v="1"/>
    <x v="0"/>
    <n v="25.1"/>
    <x v="2"/>
    <s v="Yes"/>
    <x v="0"/>
    <x v="0"/>
    <x v="0"/>
    <s v="EGFR"/>
    <s v="Yes"/>
    <s v="No"/>
    <s v="No"/>
    <s v="No"/>
    <s v="Yes"/>
    <s v="Yes"/>
    <s v="No"/>
    <s v="Yes"/>
    <s v="Yes"/>
    <s v="No"/>
    <x v="0"/>
    <s v="Adenocarcinoma"/>
    <x v="1"/>
    <n v="2.6"/>
    <s v="No"/>
    <s v="Chest X-Ray"/>
    <s v="Surgery"/>
    <n v="52"/>
    <s v="Yes"/>
  </r>
  <r>
    <s v="LC-0864"/>
    <n v="2021"/>
    <d v="2021-04-09T00:00:00"/>
    <s v="South-East Asia"/>
    <s v="Timor-Leste"/>
    <n v="76"/>
    <x v="1"/>
    <x v="2"/>
    <n v="0"/>
    <n v="0"/>
    <x v="1"/>
    <x v="0"/>
    <x v="0"/>
    <x v="1"/>
    <x v="0"/>
    <n v="23"/>
    <x v="0"/>
    <s v="No"/>
    <x v="0"/>
    <x v="0"/>
    <x v="0"/>
    <s v="MET"/>
    <s v="No"/>
    <s v="Yes"/>
    <s v="No"/>
    <s v="No"/>
    <s v="Yes"/>
    <s v="No"/>
    <s v="No"/>
    <s v="No"/>
    <s v="No"/>
    <s v="No"/>
    <x v="0"/>
    <s v="Large Cell"/>
    <x v="0"/>
    <n v="5.9"/>
    <s v="Yes"/>
    <s v="Biopsy"/>
    <s v="Chemotherapy"/>
    <n v="5"/>
    <s v="No"/>
  </r>
  <r>
    <s v="LC-0865"/>
    <n v="2018"/>
    <d v="2018-05-08T00:00:00"/>
    <s v="Western Pacific"/>
    <s v="Philippines"/>
    <n v="67"/>
    <x v="1"/>
    <x v="1"/>
    <n v="11"/>
    <n v="11"/>
    <x v="1"/>
    <x v="0"/>
    <x v="0"/>
    <x v="1"/>
    <x v="2"/>
    <n v="25.8"/>
    <x v="2"/>
    <s v="Yes"/>
    <x v="0"/>
    <x v="0"/>
    <x v="0"/>
    <s v="No Mutation"/>
    <s v="Yes"/>
    <s v="No"/>
    <s v="No"/>
    <s v="No"/>
    <s v="Yes"/>
    <s v="Yes"/>
    <s v="Yes"/>
    <s v="No"/>
    <s v="No"/>
    <s v="No"/>
    <x v="0"/>
    <s v="Adenocarcinoma"/>
    <x v="1"/>
    <n v="1.4"/>
    <s v="No"/>
    <s v="Biopsy"/>
    <s v="Surgery"/>
    <n v="77"/>
    <s v="No"/>
  </r>
  <r>
    <s v="LC-0866"/>
    <n v="2017"/>
    <d v="2017-05-23T00:00:00"/>
    <s v="Europe"/>
    <s v="Italy"/>
    <n v="64"/>
    <x v="1"/>
    <x v="2"/>
    <n v="0"/>
    <n v="0"/>
    <x v="1"/>
    <x v="1"/>
    <x v="0"/>
    <x v="1"/>
    <x v="2"/>
    <n v="25.9"/>
    <x v="0"/>
    <s v="No"/>
    <x v="0"/>
    <x v="0"/>
    <x v="0"/>
    <s v="ROS1"/>
    <s v="No"/>
    <s v="No"/>
    <s v="No"/>
    <s v="No"/>
    <s v="Yes"/>
    <s v="Yes"/>
    <s v="No"/>
    <s v="No"/>
    <s v="No"/>
    <s v="No"/>
    <x v="0"/>
    <s v="Large Cell"/>
    <x v="1"/>
    <n v="1.6"/>
    <s v="No"/>
    <s v="Biopsy"/>
    <s v="Surgery"/>
    <n v="51"/>
    <s v="Yes"/>
  </r>
  <r>
    <s v="LC-0867"/>
    <n v="2019"/>
    <d v="2019-12-23T00:00:00"/>
    <s v="Europe"/>
    <s v="Poland"/>
    <n v="63"/>
    <x v="1"/>
    <x v="1"/>
    <n v="12"/>
    <n v="22"/>
    <x v="1"/>
    <x v="0"/>
    <x v="1"/>
    <x v="0"/>
    <x v="2"/>
    <n v="31.9"/>
    <x v="1"/>
    <s v="No"/>
    <x v="0"/>
    <x v="0"/>
    <x v="0"/>
    <s v="KRAS"/>
    <s v="Yes"/>
    <s v="No"/>
    <s v="No"/>
    <s v="No"/>
    <s v="Yes"/>
    <s v="No"/>
    <s v="No"/>
    <s v="No"/>
    <s v="No"/>
    <s v="Yes"/>
    <x v="0"/>
    <s v="Adenocarcinoma"/>
    <x v="3"/>
    <n v="5.6"/>
    <s v="No"/>
    <s v="PET Scan"/>
    <s v="Chemotherapy"/>
    <n v="52"/>
    <s v="No"/>
  </r>
  <r>
    <s v="LC-0868"/>
    <n v="2022"/>
    <d v="2022-06-16T00:00:00"/>
    <s v="Americas"/>
    <s v="Colombia"/>
    <n v="49"/>
    <x v="1"/>
    <x v="1"/>
    <n v="18"/>
    <n v="10"/>
    <x v="1"/>
    <x v="0"/>
    <x v="0"/>
    <x v="0"/>
    <x v="1"/>
    <n v="27.6"/>
    <x v="0"/>
    <s v="Yes"/>
    <x v="0"/>
    <x v="0"/>
    <x v="1"/>
    <s v="KRAS"/>
    <s v="Yes"/>
    <s v="No"/>
    <s v="No"/>
    <s v="No"/>
    <s v="No"/>
    <s v="No"/>
    <s v="No"/>
    <s v="No"/>
    <s v="Yes"/>
    <s v="No"/>
    <x v="0"/>
    <s v="Adenocarcinoma"/>
    <x v="2"/>
    <n v="5"/>
    <s v="No"/>
    <s v="PET Scan"/>
    <s v="Targeted Therapy"/>
    <n v="9"/>
    <s v="No"/>
  </r>
  <r>
    <s v="LC-0869"/>
    <n v="2024"/>
    <d v="2024-09-26T00:00:00"/>
    <s v="Americas"/>
    <s v="Argentina"/>
    <n v="54"/>
    <x v="1"/>
    <x v="2"/>
    <n v="0"/>
    <n v="0"/>
    <x v="0"/>
    <x v="1"/>
    <x v="0"/>
    <x v="2"/>
    <x v="2"/>
    <n v="23"/>
    <x v="1"/>
    <s v="No"/>
    <x v="0"/>
    <x v="0"/>
    <x v="0"/>
    <s v="BRAF"/>
    <s v="No"/>
    <s v="No"/>
    <s v="Yes"/>
    <s v="Yes"/>
    <s v="Yes"/>
    <s v="No"/>
    <s v="No"/>
    <s v="No"/>
    <s v="No"/>
    <s v="No"/>
    <x v="0"/>
    <s v="Adenocarcinoma"/>
    <x v="0"/>
    <n v="6.1"/>
    <s v="Yes"/>
    <s v="CT Scan"/>
    <s v="Immunotherapy"/>
    <n v="1"/>
    <s v="No"/>
  </r>
  <r>
    <s v="LC-0870"/>
    <n v="2018"/>
    <d v="2018-05-04T00:00:00"/>
    <s v="Western Pacific"/>
    <s v="Mongolia"/>
    <n v="50"/>
    <x v="1"/>
    <x v="2"/>
    <n v="0"/>
    <n v="0"/>
    <x v="1"/>
    <x v="0"/>
    <x v="0"/>
    <x v="2"/>
    <x v="1"/>
    <n v="31.7"/>
    <x v="1"/>
    <s v="No"/>
    <x v="0"/>
    <x v="0"/>
    <x v="0"/>
    <s v="EGFR"/>
    <s v="No"/>
    <s v="No"/>
    <s v="Yes"/>
    <s v="No"/>
    <s v="No"/>
    <s v="No"/>
    <s v="No"/>
    <s v="No"/>
    <s v="No"/>
    <s v="Yes"/>
    <x v="0"/>
    <s v="Large Cell"/>
    <x v="2"/>
    <n v="5.4"/>
    <s v="No"/>
    <s v="LDCT Screening"/>
    <s v="Immunotherapy"/>
    <n v="21"/>
    <s v="No"/>
  </r>
  <r>
    <s v="LC-0871"/>
    <n v="2020"/>
    <d v="2020-11-18T00:00:00"/>
    <s v="Eastern Mediterranean"/>
    <s v="Lebanon"/>
    <n v="60"/>
    <x v="0"/>
    <x v="2"/>
    <n v="0"/>
    <n v="0"/>
    <x v="1"/>
    <x v="0"/>
    <x v="1"/>
    <x v="2"/>
    <x v="0"/>
    <n v="35.799999999999997"/>
    <x v="2"/>
    <s v="No"/>
    <x v="0"/>
    <x v="0"/>
    <x v="0"/>
    <s v="No Mutation"/>
    <s v="Yes"/>
    <s v="No"/>
    <s v="No"/>
    <s v="No"/>
    <s v="Yes"/>
    <s v="Yes"/>
    <s v="Yes"/>
    <s v="No"/>
    <s v="No"/>
    <s v="No"/>
    <x v="0"/>
    <s v="Adenocarcinoma"/>
    <x v="3"/>
    <n v="5"/>
    <s v="No"/>
    <s v="Biopsy"/>
    <s v="Targeted Therapy"/>
    <n v="27"/>
    <s v="Yes"/>
  </r>
  <r>
    <s v="LC-0872"/>
    <n v="2025"/>
    <d v="2025-07-27T00:00:00"/>
    <s v="Eastern Mediterranean"/>
    <s v="Jordan"/>
    <n v="62"/>
    <x v="1"/>
    <x v="0"/>
    <n v="13"/>
    <n v="30"/>
    <x v="1"/>
    <x v="0"/>
    <x v="0"/>
    <x v="1"/>
    <x v="2"/>
    <n v="31.8"/>
    <x v="0"/>
    <s v="No"/>
    <x v="0"/>
    <x v="0"/>
    <x v="0"/>
    <s v="KRAS"/>
    <s v="Yes"/>
    <s v="Yes"/>
    <s v="No"/>
    <s v="Yes"/>
    <s v="Yes"/>
    <s v="No"/>
    <s v="No"/>
    <s v="No"/>
    <s v="No"/>
    <s v="No"/>
    <x v="0"/>
    <s v="Adenocarcinoma"/>
    <x v="1"/>
    <n v="1.9"/>
    <s v="No"/>
    <s v="LDCT Screening"/>
    <s v="Surgery"/>
    <n v="67"/>
    <s v="No"/>
  </r>
  <r>
    <s v="LC-0873"/>
    <n v="2025"/>
    <d v="2025-03-10T00:00:00"/>
    <s v="Europe"/>
    <s v="UK"/>
    <n v="73"/>
    <x v="1"/>
    <x v="1"/>
    <n v="16"/>
    <n v="11"/>
    <x v="1"/>
    <x v="0"/>
    <x v="0"/>
    <x v="1"/>
    <x v="0"/>
    <n v="26.6"/>
    <x v="2"/>
    <s v="Yes"/>
    <x v="0"/>
    <x v="0"/>
    <x v="0"/>
    <s v="KRAS"/>
    <s v="No"/>
    <s v="No"/>
    <s v="Yes"/>
    <s v="Yes"/>
    <s v="Yes"/>
    <s v="Yes"/>
    <s v="Yes"/>
    <s v="No"/>
    <s v="No"/>
    <s v="No"/>
    <x v="0"/>
    <s v="Squamous Cell"/>
    <x v="1"/>
    <n v="1.1000000000000001"/>
    <s v="No"/>
    <s v="CT Scan"/>
    <s v="Surgery"/>
    <n v="36"/>
    <s v="No"/>
  </r>
  <r>
    <s v="LC-0874"/>
    <n v="2017"/>
    <d v="2017-05-23T00:00:00"/>
    <s v="Europe"/>
    <s v="Germany"/>
    <n v="51"/>
    <x v="1"/>
    <x v="2"/>
    <n v="0"/>
    <n v="0"/>
    <x v="0"/>
    <x v="1"/>
    <x v="0"/>
    <x v="2"/>
    <x v="2"/>
    <n v="21.1"/>
    <x v="0"/>
    <s v="No"/>
    <x v="0"/>
    <x v="0"/>
    <x v="0"/>
    <s v="KRAS"/>
    <s v="Yes"/>
    <s v="Yes"/>
    <s v="Yes"/>
    <s v="Yes"/>
    <s v="No"/>
    <s v="No"/>
    <s v="Yes"/>
    <s v="No"/>
    <s v="No"/>
    <s v="No"/>
    <x v="0"/>
    <s v="Adenocarcinoma"/>
    <x v="3"/>
    <n v="4.0999999999999996"/>
    <s v="No"/>
    <s v="Chest X-Ray"/>
    <s v="Surgery + Chemotherapy"/>
    <n v="43"/>
    <s v="No"/>
  </r>
  <r>
    <s v="LC-0875"/>
    <n v="2023"/>
    <d v="2023-06-15T00:00:00"/>
    <s v="Western Pacific"/>
    <s v="Philippines"/>
    <n v="63"/>
    <x v="1"/>
    <x v="2"/>
    <n v="0"/>
    <n v="0"/>
    <x v="1"/>
    <x v="0"/>
    <x v="0"/>
    <x v="1"/>
    <x v="2"/>
    <n v="30.8"/>
    <x v="2"/>
    <s v="Yes"/>
    <x v="0"/>
    <x v="0"/>
    <x v="0"/>
    <s v="No Mutation"/>
    <s v="Yes"/>
    <s v="No"/>
    <s v="No"/>
    <s v="No"/>
    <s v="Yes"/>
    <s v="No"/>
    <s v="No"/>
    <s v="No"/>
    <s v="No"/>
    <s v="Yes"/>
    <x v="0"/>
    <s v="Squamous Cell"/>
    <x v="2"/>
    <n v="5.7"/>
    <s v="No"/>
    <s v="Bronchoscopy"/>
    <s v="Chemo + Radiation"/>
    <n v="23"/>
    <s v="No"/>
  </r>
  <r>
    <s v="LC-0876"/>
    <n v="2022"/>
    <d v="2022-12-16T00:00:00"/>
    <s v="Europe"/>
    <s v="Italy"/>
    <n v="63"/>
    <x v="1"/>
    <x v="2"/>
    <n v="0"/>
    <n v="0"/>
    <x v="0"/>
    <x v="0"/>
    <x v="0"/>
    <x v="0"/>
    <x v="2"/>
    <n v="19.8"/>
    <x v="0"/>
    <s v="No"/>
    <x v="0"/>
    <x v="0"/>
    <x v="0"/>
    <s v="MET"/>
    <s v="No"/>
    <s v="Yes"/>
    <s v="No"/>
    <s v="No"/>
    <s v="No"/>
    <s v="No"/>
    <s v="No"/>
    <s v="Yes"/>
    <s v="No"/>
    <s v="No"/>
    <x v="0"/>
    <s v="Adenocarcinoma"/>
    <x v="1"/>
    <n v="1.9"/>
    <s v="No"/>
    <s v="CT Scan"/>
    <s v="Surgery"/>
    <n v="69"/>
    <s v="Yes"/>
  </r>
  <r>
    <s v="LC-0877"/>
    <n v="2019"/>
    <d v="2019-04-27T00:00:00"/>
    <s v="Americas"/>
    <s v="Cuba"/>
    <n v="57"/>
    <x v="0"/>
    <x v="2"/>
    <n v="0"/>
    <n v="0"/>
    <x v="1"/>
    <x v="0"/>
    <x v="0"/>
    <x v="2"/>
    <x v="0"/>
    <n v="29.8"/>
    <x v="1"/>
    <s v="No"/>
    <x v="0"/>
    <x v="0"/>
    <x v="0"/>
    <s v="ALK"/>
    <s v="No"/>
    <s v="No"/>
    <s v="No"/>
    <s v="No"/>
    <s v="No"/>
    <s v="Yes"/>
    <s v="No"/>
    <s v="No"/>
    <s v="No"/>
    <s v="No"/>
    <x v="0"/>
    <s v="Adenocarcinoma"/>
    <x v="3"/>
    <n v="5.0999999999999996"/>
    <s v="No"/>
    <s v="PET Scan"/>
    <s v="Surgery + Chemotherapy"/>
    <n v="50"/>
    <s v="No"/>
  </r>
  <r>
    <s v="LC-0878"/>
    <n v="2023"/>
    <d v="2023-05-18T00:00:00"/>
    <s v="South-East Asia"/>
    <s v="Myanmar"/>
    <n v="65"/>
    <x v="0"/>
    <x v="1"/>
    <n v="12"/>
    <n v="16"/>
    <x v="1"/>
    <x v="0"/>
    <x v="1"/>
    <x v="0"/>
    <x v="0"/>
    <n v="18.5"/>
    <x v="1"/>
    <s v="No"/>
    <x v="0"/>
    <x v="0"/>
    <x v="0"/>
    <s v="No Mutation"/>
    <s v="Yes"/>
    <s v="No"/>
    <s v="No"/>
    <s v="No"/>
    <s v="Yes"/>
    <s v="Yes"/>
    <s v="Yes"/>
    <s v="No"/>
    <s v="No"/>
    <s v="No"/>
    <x v="0"/>
    <s v="Adenocarcinoma"/>
    <x v="1"/>
    <n v="2.1"/>
    <s v="No"/>
    <s v="LDCT Screening"/>
    <s v="Radiotherapy"/>
    <n v="65"/>
    <s v="Yes"/>
  </r>
  <r>
    <s v="LC-0879"/>
    <n v="2015"/>
    <d v="2015-03-04T00:00:00"/>
    <s v="Europe"/>
    <s v="Sweden"/>
    <n v="71"/>
    <x v="0"/>
    <x v="2"/>
    <n v="0"/>
    <n v="0"/>
    <x v="1"/>
    <x v="1"/>
    <x v="1"/>
    <x v="2"/>
    <x v="0"/>
    <n v="24.8"/>
    <x v="2"/>
    <s v="No"/>
    <x v="0"/>
    <x v="0"/>
    <x v="0"/>
    <s v="EGFR"/>
    <s v="Yes"/>
    <s v="No"/>
    <s v="No"/>
    <s v="No"/>
    <s v="Yes"/>
    <s v="Yes"/>
    <s v="No"/>
    <s v="Yes"/>
    <s v="No"/>
    <s v="No"/>
    <x v="0"/>
    <s v="Adenocarcinoma"/>
    <x v="0"/>
    <n v="5.0999999999999996"/>
    <s v="Yes"/>
    <s v="PET Scan"/>
    <s v="Chemotherapy"/>
    <n v="9"/>
    <s v="No"/>
  </r>
  <r>
    <s v="LC-0880"/>
    <n v="2024"/>
    <d v="2024-12-19T00:00:00"/>
    <s v="Western Pacific"/>
    <s v="Australia"/>
    <n v="59"/>
    <x v="0"/>
    <x v="0"/>
    <n v="15"/>
    <n v="36"/>
    <x v="1"/>
    <x v="0"/>
    <x v="0"/>
    <x v="0"/>
    <x v="2"/>
    <n v="27.7"/>
    <x v="0"/>
    <s v="No"/>
    <x v="0"/>
    <x v="0"/>
    <x v="0"/>
    <s v="No Mutation"/>
    <s v="Yes"/>
    <s v="No"/>
    <s v="No"/>
    <s v="Yes"/>
    <s v="No"/>
    <s v="Yes"/>
    <s v="No"/>
    <s v="Yes"/>
    <s v="No"/>
    <s v="No"/>
    <x v="0"/>
    <s v="Adenocarcinoma"/>
    <x v="3"/>
    <n v="4.0999999999999996"/>
    <s v="No"/>
    <s v="CT Scan"/>
    <s v="Surgery + Chemotherapy"/>
    <n v="47"/>
    <s v="Yes"/>
  </r>
  <r>
    <s v="LC-0881"/>
    <n v="2022"/>
    <d v="2022-04-02T00:00:00"/>
    <s v="South-East Asia"/>
    <s v="Timor-Leste"/>
    <n v="56"/>
    <x v="0"/>
    <x v="2"/>
    <n v="0"/>
    <n v="0"/>
    <x v="1"/>
    <x v="0"/>
    <x v="0"/>
    <x v="0"/>
    <x v="1"/>
    <n v="17"/>
    <x v="2"/>
    <s v="Yes"/>
    <x v="0"/>
    <x v="0"/>
    <x v="0"/>
    <s v="EGFR"/>
    <s v="No"/>
    <s v="Yes"/>
    <s v="No"/>
    <s v="Yes"/>
    <s v="No"/>
    <s v="Yes"/>
    <s v="No"/>
    <s v="Yes"/>
    <s v="No"/>
    <s v="No"/>
    <x v="0"/>
    <s v="Large Cell"/>
    <x v="3"/>
    <n v="3.7"/>
    <s v="No"/>
    <s v="Biopsy"/>
    <s v="Surgery + Chemotherapy"/>
    <n v="22"/>
    <s v="No"/>
  </r>
  <r>
    <s v="LC-0882"/>
    <n v="2024"/>
    <d v="2024-04-21T00:00:00"/>
    <s v="Europe"/>
    <s v="Italy"/>
    <n v="63"/>
    <x v="0"/>
    <x v="2"/>
    <n v="0"/>
    <n v="0"/>
    <x v="0"/>
    <x v="0"/>
    <x v="0"/>
    <x v="2"/>
    <x v="0"/>
    <n v="27"/>
    <x v="2"/>
    <s v="No"/>
    <x v="0"/>
    <x v="0"/>
    <x v="0"/>
    <s v="TP53"/>
    <s v="No"/>
    <s v="No"/>
    <s v="No"/>
    <s v="No"/>
    <s v="Yes"/>
    <s v="Yes"/>
    <s v="No"/>
    <s v="No"/>
    <s v="No"/>
    <s v="No"/>
    <x v="0"/>
    <s v="Adenocarcinoma"/>
    <x v="3"/>
    <n v="5.9"/>
    <s v="No"/>
    <s v="Bronchoscopy"/>
    <s v="Surgery + Chemotherapy"/>
    <n v="30"/>
    <s v="Yes"/>
  </r>
  <r>
    <s v="LC-0883"/>
    <n v="2023"/>
    <d v="2023-01-04T00:00:00"/>
    <s v="Europe"/>
    <s v="Turkey"/>
    <n v="37"/>
    <x v="0"/>
    <x v="2"/>
    <n v="0"/>
    <n v="0"/>
    <x v="0"/>
    <x v="0"/>
    <x v="0"/>
    <x v="0"/>
    <x v="0"/>
    <n v="28.7"/>
    <x v="0"/>
    <s v="Yes"/>
    <x v="0"/>
    <x v="0"/>
    <x v="0"/>
    <s v="No Mutation"/>
    <s v="No"/>
    <s v="No"/>
    <s v="Yes"/>
    <s v="No"/>
    <s v="Yes"/>
    <s v="No"/>
    <s v="No"/>
    <s v="No"/>
    <s v="No"/>
    <s v="No"/>
    <x v="0"/>
    <s v="Adenocarcinoma"/>
    <x v="1"/>
    <n v="3"/>
    <s v="No"/>
    <s v="Bronchoscopy"/>
    <s v="Surgery"/>
    <n v="45"/>
    <s v="Yes"/>
  </r>
  <r>
    <s v="LC-0884"/>
    <n v="2025"/>
    <d v="2025-06-23T00:00:00"/>
    <s v="Americas"/>
    <s v="Peru"/>
    <n v="57"/>
    <x v="1"/>
    <x v="2"/>
    <n v="0"/>
    <n v="0"/>
    <x v="1"/>
    <x v="0"/>
    <x v="0"/>
    <x v="1"/>
    <x v="2"/>
    <n v="26"/>
    <x v="2"/>
    <s v="No"/>
    <x v="0"/>
    <x v="0"/>
    <x v="0"/>
    <s v="No Mutation"/>
    <s v="Yes"/>
    <s v="No"/>
    <s v="No"/>
    <s v="No"/>
    <s v="Yes"/>
    <s v="No"/>
    <s v="No"/>
    <s v="No"/>
    <s v="No"/>
    <s v="No"/>
    <x v="1"/>
    <s v="Not Applicable"/>
    <x v="3"/>
    <n v="3.6"/>
    <s v="No"/>
    <s v="CT Scan"/>
    <s v="Surgery + Chemotherapy"/>
    <n v="44"/>
    <s v="No"/>
  </r>
  <r>
    <s v="LC-0885"/>
    <n v="2025"/>
    <d v="2025-02-22T00:00:00"/>
    <s v="Europe"/>
    <s v="France"/>
    <n v="60"/>
    <x v="0"/>
    <x v="2"/>
    <n v="0"/>
    <n v="0"/>
    <x v="0"/>
    <x v="0"/>
    <x v="0"/>
    <x v="2"/>
    <x v="2"/>
    <n v="25"/>
    <x v="2"/>
    <s v="No"/>
    <x v="0"/>
    <x v="1"/>
    <x v="0"/>
    <s v="KRAS"/>
    <s v="No"/>
    <s v="No"/>
    <s v="No"/>
    <s v="No"/>
    <s v="Yes"/>
    <s v="No"/>
    <s v="No"/>
    <s v="No"/>
    <s v="Yes"/>
    <s v="No"/>
    <x v="0"/>
    <s v="Adenocarcinoma"/>
    <x v="0"/>
    <n v="4.0999999999999996"/>
    <s v="Yes"/>
    <s v="PET Scan"/>
    <s v="Chemotherapy"/>
    <n v="10"/>
    <s v="No"/>
  </r>
  <r>
    <s v="LC-0886"/>
    <n v="2020"/>
    <d v="2020-01-18T00:00:00"/>
    <s v="South-East Asia"/>
    <s v="Indonesia"/>
    <n v="61"/>
    <x v="0"/>
    <x v="2"/>
    <n v="0"/>
    <n v="0"/>
    <x v="1"/>
    <x v="1"/>
    <x v="0"/>
    <x v="1"/>
    <x v="0"/>
    <n v="23.7"/>
    <x v="2"/>
    <s v="No"/>
    <x v="0"/>
    <x v="0"/>
    <x v="0"/>
    <s v="EGFR"/>
    <s v="Yes"/>
    <s v="No"/>
    <s v="No"/>
    <s v="No"/>
    <s v="No"/>
    <s v="Yes"/>
    <s v="Yes"/>
    <s v="No"/>
    <s v="No"/>
    <s v="No"/>
    <x v="0"/>
    <s v="Squamous Cell"/>
    <x v="2"/>
    <n v="4.7"/>
    <s v="No"/>
    <s v="CT Scan"/>
    <s v="Chemotherapy"/>
    <n v="25"/>
    <s v="Yes"/>
  </r>
  <r>
    <s v="LC-0887"/>
    <n v="2017"/>
    <d v="2017-07-21T00:00:00"/>
    <s v="Americas"/>
    <s v="Peru"/>
    <n v="42"/>
    <x v="0"/>
    <x v="2"/>
    <n v="0"/>
    <n v="0"/>
    <x v="1"/>
    <x v="1"/>
    <x v="0"/>
    <x v="0"/>
    <x v="2"/>
    <n v="28.5"/>
    <x v="1"/>
    <s v="No"/>
    <x v="0"/>
    <x v="0"/>
    <x v="0"/>
    <s v="ALK"/>
    <s v="Yes"/>
    <s v="No"/>
    <s v="No"/>
    <s v="No"/>
    <s v="Yes"/>
    <s v="No"/>
    <s v="No"/>
    <s v="No"/>
    <s v="Yes"/>
    <s v="No"/>
    <x v="1"/>
    <s v="Not Applicable"/>
    <x v="0"/>
    <n v="5.7"/>
    <s v="Yes"/>
    <s v="Chest X-Ray"/>
    <s v="Targeted Therapy"/>
    <n v="6"/>
    <s v="No"/>
  </r>
  <r>
    <s v="LC-0888"/>
    <n v="2025"/>
    <d v="2025-08-21T00:00:00"/>
    <s v="Europe"/>
    <s v="Italy"/>
    <n v="53"/>
    <x v="1"/>
    <x v="2"/>
    <n v="0"/>
    <n v="0"/>
    <x v="0"/>
    <x v="0"/>
    <x v="0"/>
    <x v="0"/>
    <x v="2"/>
    <n v="28.7"/>
    <x v="1"/>
    <s v="No"/>
    <x v="0"/>
    <x v="0"/>
    <x v="0"/>
    <s v="TP53"/>
    <s v="No"/>
    <s v="No"/>
    <s v="No"/>
    <s v="No"/>
    <s v="No"/>
    <s v="No"/>
    <s v="No"/>
    <s v="No"/>
    <s v="Yes"/>
    <s v="No"/>
    <x v="0"/>
    <s v="Squamous Cell"/>
    <x v="1"/>
    <n v="2.5"/>
    <s v="No"/>
    <s v="CT Scan"/>
    <s v="Surgery + Chemotherapy"/>
    <n v="52"/>
    <s v="No"/>
  </r>
  <r>
    <s v="LC-0889"/>
    <n v="2017"/>
    <d v="2017-05-11T00:00:00"/>
    <s v="Americas"/>
    <s v="Argentina"/>
    <n v="62"/>
    <x v="0"/>
    <x v="2"/>
    <n v="0"/>
    <n v="0"/>
    <x v="0"/>
    <x v="0"/>
    <x v="1"/>
    <x v="2"/>
    <x v="0"/>
    <n v="20.399999999999999"/>
    <x v="1"/>
    <s v="No"/>
    <x v="0"/>
    <x v="0"/>
    <x v="0"/>
    <s v="EGFR"/>
    <s v="Yes"/>
    <s v="No"/>
    <s v="Yes"/>
    <s v="No"/>
    <s v="Yes"/>
    <s v="No"/>
    <s v="No"/>
    <s v="Yes"/>
    <s v="Yes"/>
    <s v="No"/>
    <x v="0"/>
    <s v="Adenocarcinoma"/>
    <x v="0"/>
    <n v="6.2"/>
    <s v="Yes"/>
    <s v="PET Scan"/>
    <s v="Immunotherapy"/>
    <n v="4"/>
    <s v="No"/>
  </r>
  <r>
    <s v="LC-0890"/>
    <n v="2025"/>
    <d v="2025-11-02T00:00:00"/>
    <s v="Americas"/>
    <s v="Canada"/>
    <n v="76"/>
    <x v="1"/>
    <x v="2"/>
    <n v="0"/>
    <n v="0"/>
    <x v="1"/>
    <x v="0"/>
    <x v="0"/>
    <x v="0"/>
    <x v="2"/>
    <n v="30.4"/>
    <x v="0"/>
    <s v="No"/>
    <x v="0"/>
    <x v="0"/>
    <x v="0"/>
    <s v="EGFR"/>
    <s v="No"/>
    <s v="No"/>
    <s v="No"/>
    <s v="No"/>
    <s v="No"/>
    <s v="No"/>
    <s v="Yes"/>
    <s v="No"/>
    <s v="No"/>
    <s v="No"/>
    <x v="0"/>
    <s v="Adenocarcinoma"/>
    <x v="2"/>
    <n v="6.6"/>
    <s v="No"/>
    <s v="PET Scan"/>
    <s v="Immunotherapy"/>
    <n v="12"/>
    <s v="No"/>
  </r>
  <r>
    <s v="LC-0891"/>
    <n v="2015"/>
    <d v="2015-11-19T00:00:00"/>
    <s v="Americas"/>
    <s v="Mexico"/>
    <n v="79"/>
    <x v="1"/>
    <x v="0"/>
    <n v="12"/>
    <n v="34"/>
    <x v="1"/>
    <x v="0"/>
    <x v="0"/>
    <x v="0"/>
    <x v="0"/>
    <n v="24"/>
    <x v="2"/>
    <s v="Yes"/>
    <x v="0"/>
    <x v="0"/>
    <x v="0"/>
    <s v="TP53"/>
    <s v="Yes"/>
    <s v="Yes"/>
    <s v="Yes"/>
    <s v="No"/>
    <s v="Yes"/>
    <s v="No"/>
    <s v="No"/>
    <s v="No"/>
    <s v="No"/>
    <s v="No"/>
    <x v="0"/>
    <s v="Squamous Cell"/>
    <x v="1"/>
    <n v="3.3"/>
    <s v="No"/>
    <s v="Bronchoscopy"/>
    <s v="Radiotherapy"/>
    <n v="49"/>
    <s v="No"/>
  </r>
  <r>
    <s v="LC-0892"/>
    <n v="2017"/>
    <d v="2017-09-24T00:00:00"/>
    <s v="Europe"/>
    <s v="UK"/>
    <n v="79"/>
    <x v="1"/>
    <x v="0"/>
    <n v="29"/>
    <n v="54"/>
    <x v="0"/>
    <x v="0"/>
    <x v="0"/>
    <x v="2"/>
    <x v="0"/>
    <n v="27.8"/>
    <x v="1"/>
    <s v="No"/>
    <x v="0"/>
    <x v="1"/>
    <x v="0"/>
    <s v="RET"/>
    <s v="Yes"/>
    <s v="Yes"/>
    <s v="No"/>
    <s v="No"/>
    <s v="No"/>
    <s v="No"/>
    <s v="Yes"/>
    <s v="Yes"/>
    <s v="No"/>
    <s v="No"/>
    <x v="1"/>
    <s v="Not Applicable"/>
    <x v="3"/>
    <n v="2"/>
    <s v="No"/>
    <s v="PET Scan"/>
    <s v="Chemotherapy"/>
    <n v="10"/>
    <s v="Yes"/>
  </r>
  <r>
    <s v="LC-0893"/>
    <n v="2021"/>
    <d v="2021-03-14T00:00:00"/>
    <s v="Europe"/>
    <s v="France"/>
    <n v="46"/>
    <x v="1"/>
    <x v="0"/>
    <n v="25"/>
    <n v="5"/>
    <x v="1"/>
    <x v="1"/>
    <x v="1"/>
    <x v="1"/>
    <x v="0"/>
    <n v="31.4"/>
    <x v="0"/>
    <s v="Yes"/>
    <x v="0"/>
    <x v="0"/>
    <x v="0"/>
    <s v="No Mutation"/>
    <s v="Yes"/>
    <s v="No"/>
    <s v="Yes"/>
    <s v="No"/>
    <s v="Yes"/>
    <s v="Yes"/>
    <s v="Yes"/>
    <s v="No"/>
    <s v="No"/>
    <s v="No"/>
    <x v="0"/>
    <s v="Squamous Cell"/>
    <x v="0"/>
    <n v="4.7"/>
    <s v="Yes"/>
    <s v="CT Scan"/>
    <s v="Immunotherapy"/>
    <n v="6"/>
    <s v="No"/>
  </r>
  <r>
    <s v="LC-0894"/>
    <n v="2023"/>
    <d v="2023-01-27T00:00:00"/>
    <s v="Western Pacific"/>
    <s v="Malaysia"/>
    <n v="51"/>
    <x v="1"/>
    <x v="2"/>
    <n v="0"/>
    <n v="0"/>
    <x v="0"/>
    <x v="0"/>
    <x v="0"/>
    <x v="1"/>
    <x v="2"/>
    <n v="32.299999999999997"/>
    <x v="0"/>
    <s v="No"/>
    <x v="0"/>
    <x v="0"/>
    <x v="0"/>
    <s v="EGFR"/>
    <s v="No"/>
    <s v="No"/>
    <s v="Yes"/>
    <s v="No"/>
    <s v="No"/>
    <s v="No"/>
    <s v="No"/>
    <s v="Yes"/>
    <s v="Yes"/>
    <s v="No"/>
    <x v="0"/>
    <s v="Adenocarcinoma"/>
    <x v="2"/>
    <n v="5.3"/>
    <s v="No"/>
    <s v="Bronchoscopy"/>
    <s v="Targeted Therapy"/>
    <n v="17"/>
    <s v="No"/>
  </r>
  <r>
    <s v="LC-0895"/>
    <n v="2024"/>
    <d v="2024-08-06T00:00:00"/>
    <s v="Western Pacific"/>
    <s v="Philippines"/>
    <n v="38"/>
    <x v="0"/>
    <x v="2"/>
    <n v="0"/>
    <n v="0"/>
    <x v="1"/>
    <x v="0"/>
    <x v="0"/>
    <x v="2"/>
    <x v="2"/>
    <n v="27.3"/>
    <x v="0"/>
    <s v="No"/>
    <x v="0"/>
    <x v="0"/>
    <x v="0"/>
    <s v="EGFR"/>
    <s v="No"/>
    <s v="No"/>
    <s v="No"/>
    <s v="No"/>
    <s v="No"/>
    <s v="Yes"/>
    <s v="No"/>
    <s v="No"/>
    <s v="No"/>
    <s v="No"/>
    <x v="0"/>
    <s v="Adenocarcinoma"/>
    <x v="3"/>
    <n v="4.5999999999999996"/>
    <s v="No"/>
    <s v="CT Scan"/>
    <s v="Chemotherapy"/>
    <n v="58"/>
    <s v="Yes"/>
  </r>
  <r>
    <s v="LC-0896"/>
    <n v="2015"/>
    <d v="2015-01-01T00:00:00"/>
    <s v="South-East Asia"/>
    <s v="Myanmar"/>
    <n v="59"/>
    <x v="0"/>
    <x v="2"/>
    <n v="0"/>
    <n v="0"/>
    <x v="1"/>
    <x v="0"/>
    <x v="0"/>
    <x v="2"/>
    <x v="0"/>
    <n v="23.5"/>
    <x v="2"/>
    <s v="No"/>
    <x v="0"/>
    <x v="0"/>
    <x v="0"/>
    <s v="No Mutation"/>
    <s v="Yes"/>
    <s v="No"/>
    <s v="No"/>
    <s v="No"/>
    <s v="Yes"/>
    <s v="No"/>
    <s v="No"/>
    <s v="Yes"/>
    <s v="No"/>
    <s v="No"/>
    <x v="0"/>
    <s v="Large Cell"/>
    <x v="3"/>
    <n v="3.1"/>
    <s v="No"/>
    <s v="PET Scan"/>
    <s v="Radiotherapy"/>
    <n v="21"/>
    <s v="Yes"/>
  </r>
  <r>
    <s v="LC-0897"/>
    <n v="2015"/>
    <d v="2015-10-20T00:00:00"/>
    <s v="Europe"/>
    <s v="Germany"/>
    <n v="70"/>
    <x v="1"/>
    <x v="0"/>
    <n v="12"/>
    <n v="32"/>
    <x v="0"/>
    <x v="0"/>
    <x v="1"/>
    <x v="2"/>
    <x v="2"/>
    <n v="36.4"/>
    <x v="1"/>
    <s v="Yes"/>
    <x v="0"/>
    <x v="0"/>
    <x v="0"/>
    <s v="TP53"/>
    <s v="Yes"/>
    <s v="Yes"/>
    <s v="No"/>
    <s v="No"/>
    <s v="Yes"/>
    <s v="No"/>
    <s v="Yes"/>
    <s v="Yes"/>
    <s v="No"/>
    <s v="Yes"/>
    <x v="0"/>
    <s v="Adenocarcinoma"/>
    <x v="0"/>
    <n v="4.7"/>
    <s v="Yes"/>
    <s v="PET Scan"/>
    <s v="Immunotherapy"/>
    <n v="5"/>
    <s v="No"/>
  </r>
  <r>
    <s v="LC-0898"/>
    <n v="2023"/>
    <d v="2023-06-10T00:00:00"/>
    <s v="Americas"/>
    <s v="Peru"/>
    <n v="72"/>
    <x v="1"/>
    <x v="2"/>
    <n v="0"/>
    <n v="0"/>
    <x v="0"/>
    <x v="0"/>
    <x v="0"/>
    <x v="1"/>
    <x v="2"/>
    <n v="21.4"/>
    <x v="1"/>
    <s v="No"/>
    <x v="0"/>
    <x v="0"/>
    <x v="1"/>
    <s v="TP53"/>
    <s v="Yes"/>
    <s v="No"/>
    <s v="No"/>
    <s v="No"/>
    <s v="No"/>
    <s v="No"/>
    <s v="Yes"/>
    <s v="Yes"/>
    <s v="No"/>
    <s v="No"/>
    <x v="0"/>
    <s v="Adenocarcinoma"/>
    <x v="1"/>
    <n v="0.8"/>
    <s v="No"/>
    <s v="CT Scan"/>
    <s v="Surgery"/>
    <n v="49"/>
    <s v="Yes"/>
  </r>
  <r>
    <s v="LC-0899"/>
    <n v="2016"/>
    <d v="2016-11-18T00:00:00"/>
    <s v="Europe"/>
    <s v="Netherlands"/>
    <n v="65"/>
    <x v="0"/>
    <x v="0"/>
    <n v="29"/>
    <n v="20"/>
    <x v="0"/>
    <x v="0"/>
    <x v="0"/>
    <x v="0"/>
    <x v="1"/>
    <n v="25"/>
    <x v="1"/>
    <s v="No"/>
    <x v="0"/>
    <x v="0"/>
    <x v="0"/>
    <s v="KRAS"/>
    <s v="Yes"/>
    <s v="Yes"/>
    <s v="Yes"/>
    <s v="No"/>
    <s v="Yes"/>
    <s v="No"/>
    <s v="Yes"/>
    <s v="No"/>
    <s v="Yes"/>
    <s v="No"/>
    <x v="0"/>
    <s v="Adenocarcinoma"/>
    <x v="3"/>
    <n v="4.4000000000000004"/>
    <s v="No"/>
    <s v="CT Scan"/>
    <s v="Chemotherapy"/>
    <n v="11"/>
    <s v="No"/>
  </r>
  <r>
    <s v="LC-0900"/>
    <n v="2015"/>
    <d v="2015-08-05T00:00:00"/>
    <s v="Europe"/>
    <s v="Netherlands"/>
    <n v="59"/>
    <x v="1"/>
    <x v="0"/>
    <n v="25"/>
    <n v="27"/>
    <x v="1"/>
    <x v="1"/>
    <x v="0"/>
    <x v="2"/>
    <x v="1"/>
    <n v="23.8"/>
    <x v="0"/>
    <s v="No"/>
    <x v="0"/>
    <x v="0"/>
    <x v="0"/>
    <s v="KRAS"/>
    <s v="No"/>
    <s v="No"/>
    <s v="No"/>
    <s v="Yes"/>
    <s v="Yes"/>
    <s v="No"/>
    <s v="No"/>
    <s v="No"/>
    <s v="No"/>
    <s v="No"/>
    <x v="0"/>
    <s v="Squamous Cell"/>
    <x v="0"/>
    <n v="6.8"/>
    <s v="Yes"/>
    <s v="Biopsy"/>
    <s v="Palliative Care"/>
    <n v="6"/>
    <s v="No"/>
  </r>
  <r>
    <s v="LC-0901"/>
    <n v="2017"/>
    <d v="2017-08-09T00:00:00"/>
    <s v="Western Pacific"/>
    <s v="Australia"/>
    <n v="67"/>
    <x v="0"/>
    <x v="2"/>
    <n v="0"/>
    <n v="0"/>
    <x v="1"/>
    <x v="1"/>
    <x v="0"/>
    <x v="1"/>
    <x v="2"/>
    <n v="24.4"/>
    <x v="1"/>
    <s v="No"/>
    <x v="0"/>
    <x v="0"/>
    <x v="0"/>
    <s v="TP53"/>
    <s v="Yes"/>
    <s v="No"/>
    <s v="Yes"/>
    <s v="No"/>
    <s v="Yes"/>
    <s v="No"/>
    <s v="No"/>
    <s v="No"/>
    <s v="No"/>
    <s v="No"/>
    <x v="0"/>
    <s v="Adenocarcinoma"/>
    <x v="1"/>
    <n v="1.2"/>
    <s v="No"/>
    <s v="CT Scan"/>
    <s v="Surgery"/>
    <n v="44"/>
    <s v="Yes"/>
  </r>
  <r>
    <s v="LC-0902"/>
    <n v="2022"/>
    <d v="2022-02-11T00:00:00"/>
    <s v="Europe"/>
    <s v="France"/>
    <n v="45"/>
    <x v="0"/>
    <x v="2"/>
    <n v="0"/>
    <n v="0"/>
    <x v="1"/>
    <x v="1"/>
    <x v="1"/>
    <x v="0"/>
    <x v="1"/>
    <n v="25.9"/>
    <x v="1"/>
    <s v="No"/>
    <x v="0"/>
    <x v="0"/>
    <x v="1"/>
    <s v="ROS1"/>
    <s v="No"/>
    <s v="No"/>
    <s v="Yes"/>
    <s v="Yes"/>
    <s v="Yes"/>
    <s v="No"/>
    <s v="No"/>
    <s v="Yes"/>
    <s v="No"/>
    <s v="Yes"/>
    <x v="0"/>
    <s v="Large Cell"/>
    <x v="1"/>
    <n v="2"/>
    <s v="No"/>
    <s v="CT Scan"/>
    <s v="Surgery"/>
    <n v="96"/>
    <s v="Yes"/>
  </r>
  <r>
    <s v="LC-0903"/>
    <n v="2016"/>
    <d v="2016-12-15T00:00:00"/>
    <s v="Western Pacific"/>
    <s v="Philippines"/>
    <n v="77"/>
    <x v="1"/>
    <x v="2"/>
    <n v="0"/>
    <n v="0"/>
    <x v="1"/>
    <x v="0"/>
    <x v="0"/>
    <x v="0"/>
    <x v="2"/>
    <n v="23.1"/>
    <x v="2"/>
    <s v="No"/>
    <x v="0"/>
    <x v="0"/>
    <x v="0"/>
    <s v="ALK"/>
    <s v="No"/>
    <s v="No"/>
    <s v="Yes"/>
    <s v="No"/>
    <s v="Yes"/>
    <s v="Yes"/>
    <s v="No"/>
    <s v="No"/>
    <s v="Yes"/>
    <s v="No"/>
    <x v="0"/>
    <s v="Large Cell"/>
    <x v="0"/>
    <n v="7.7"/>
    <s v="Yes"/>
    <s v="Chest X-Ray"/>
    <s v="Chemo + Radiation"/>
    <n v="6"/>
    <s v="No"/>
  </r>
  <r>
    <s v="LC-0904"/>
    <n v="2018"/>
    <d v="2018-12-06T00:00:00"/>
    <s v="Western Pacific"/>
    <s v="China"/>
    <n v="64"/>
    <x v="1"/>
    <x v="2"/>
    <n v="0"/>
    <n v="0"/>
    <x v="1"/>
    <x v="1"/>
    <x v="0"/>
    <x v="0"/>
    <x v="0"/>
    <n v="26"/>
    <x v="0"/>
    <s v="No"/>
    <x v="0"/>
    <x v="0"/>
    <x v="0"/>
    <s v="EGFR"/>
    <s v="No"/>
    <s v="No"/>
    <s v="No"/>
    <s v="No"/>
    <s v="No"/>
    <s v="No"/>
    <s v="No"/>
    <s v="No"/>
    <s v="Yes"/>
    <s v="No"/>
    <x v="0"/>
    <s v="Large Cell"/>
    <x v="3"/>
    <n v="4.4000000000000004"/>
    <s v="No"/>
    <s v="MRI"/>
    <s v="Targeted Therapy"/>
    <n v="34"/>
    <s v="Yes"/>
  </r>
  <r>
    <s v="LC-0905"/>
    <n v="2024"/>
    <d v="2024-12-11T00:00:00"/>
    <s v="Americas"/>
    <s v="Argentina"/>
    <n v="48"/>
    <x v="0"/>
    <x v="2"/>
    <n v="0"/>
    <n v="0"/>
    <x v="1"/>
    <x v="0"/>
    <x v="0"/>
    <x v="2"/>
    <x v="2"/>
    <n v="27.3"/>
    <x v="2"/>
    <s v="No"/>
    <x v="0"/>
    <x v="0"/>
    <x v="0"/>
    <s v="EGFR"/>
    <s v="No"/>
    <s v="Yes"/>
    <s v="No"/>
    <s v="No"/>
    <s v="No"/>
    <s v="No"/>
    <s v="No"/>
    <s v="No"/>
    <s v="No"/>
    <s v="No"/>
    <x v="0"/>
    <s v="Adenocarcinoma"/>
    <x v="1"/>
    <n v="2"/>
    <s v="No"/>
    <s v="CT Scan"/>
    <s v="Surgery"/>
    <n v="80"/>
    <s v="Yes"/>
  </r>
  <r>
    <s v="LC-0906"/>
    <n v="2024"/>
    <d v="2024-10-22T00:00:00"/>
    <s v="Western Pacific"/>
    <s v="Australia"/>
    <n v="88"/>
    <x v="1"/>
    <x v="2"/>
    <n v="0"/>
    <n v="0"/>
    <x v="1"/>
    <x v="1"/>
    <x v="0"/>
    <x v="1"/>
    <x v="2"/>
    <n v="24.9"/>
    <x v="0"/>
    <s v="No"/>
    <x v="0"/>
    <x v="0"/>
    <x v="0"/>
    <s v="EGFR"/>
    <s v="No"/>
    <s v="No"/>
    <s v="No"/>
    <s v="No"/>
    <s v="Yes"/>
    <s v="No"/>
    <s v="Yes"/>
    <s v="No"/>
    <s v="No"/>
    <s v="No"/>
    <x v="0"/>
    <s v="Adenocarcinoma"/>
    <x v="0"/>
    <n v="4.9000000000000004"/>
    <s v="Yes"/>
    <s v="CT Scan"/>
    <s v="Immunotherapy"/>
    <n v="17"/>
    <s v="No"/>
  </r>
  <r>
    <s v="LC-0907"/>
    <n v="2016"/>
    <d v="2016-03-20T00:00:00"/>
    <s v="Western Pacific"/>
    <s v="Malaysia"/>
    <n v="56"/>
    <x v="1"/>
    <x v="0"/>
    <n v="5"/>
    <n v="21"/>
    <x v="1"/>
    <x v="0"/>
    <x v="0"/>
    <x v="2"/>
    <x v="1"/>
    <n v="24.6"/>
    <x v="2"/>
    <s v="No"/>
    <x v="0"/>
    <x v="0"/>
    <x v="0"/>
    <s v="No Mutation"/>
    <s v="Yes"/>
    <s v="Yes"/>
    <s v="Yes"/>
    <s v="No"/>
    <s v="Yes"/>
    <s v="Yes"/>
    <s v="Yes"/>
    <s v="No"/>
    <s v="No"/>
    <s v="No"/>
    <x v="0"/>
    <s v="Adenocarcinoma"/>
    <x v="3"/>
    <n v="6.1"/>
    <s v="No"/>
    <s v="CT Scan"/>
    <s v="Surgery"/>
    <n v="31"/>
    <s v="Yes"/>
  </r>
  <r>
    <s v="LC-0908"/>
    <n v="2017"/>
    <d v="2017-07-17T00:00:00"/>
    <s v="Western Pacific"/>
    <s v="Vietnam"/>
    <n v="82"/>
    <x v="1"/>
    <x v="0"/>
    <n v="23"/>
    <n v="37"/>
    <x v="0"/>
    <x v="0"/>
    <x v="0"/>
    <x v="0"/>
    <x v="2"/>
    <n v="23.4"/>
    <x v="2"/>
    <s v="No"/>
    <x v="0"/>
    <x v="0"/>
    <x v="0"/>
    <s v="No Mutation"/>
    <s v="No"/>
    <s v="Yes"/>
    <s v="Yes"/>
    <s v="Yes"/>
    <s v="No"/>
    <s v="Yes"/>
    <s v="No"/>
    <s v="Yes"/>
    <s v="Yes"/>
    <s v="No"/>
    <x v="0"/>
    <s v="Squamous Cell"/>
    <x v="2"/>
    <n v="6.8"/>
    <s v="Yes"/>
    <s v="Chest X-Ray"/>
    <s v="Chemotherapy"/>
    <n v="26"/>
    <s v="No"/>
  </r>
  <r>
    <s v="LC-0909"/>
    <n v="2020"/>
    <d v="2020-02-13T00:00:00"/>
    <s v="Africa"/>
    <s v="South Africa"/>
    <n v="48"/>
    <x v="0"/>
    <x v="0"/>
    <n v="33"/>
    <n v="23"/>
    <x v="1"/>
    <x v="0"/>
    <x v="0"/>
    <x v="2"/>
    <x v="2"/>
    <n v="32"/>
    <x v="1"/>
    <s v="No"/>
    <x v="0"/>
    <x v="0"/>
    <x v="0"/>
    <s v="No Mutation"/>
    <s v="Yes"/>
    <s v="Yes"/>
    <s v="Yes"/>
    <s v="No"/>
    <s v="Yes"/>
    <s v="Yes"/>
    <s v="Yes"/>
    <s v="No"/>
    <s v="No"/>
    <s v="No"/>
    <x v="0"/>
    <s v="Adenocarcinoma"/>
    <x v="3"/>
    <n v="4.5999999999999996"/>
    <s v="No"/>
    <s v="MRI"/>
    <s v="Surgery + Chemotherapy"/>
    <n v="21"/>
    <s v="No"/>
  </r>
  <r>
    <s v="LC-0910"/>
    <n v="2020"/>
    <d v="2020-03-05T00:00:00"/>
    <s v="Western Pacific"/>
    <s v="New Zealand"/>
    <n v="58"/>
    <x v="1"/>
    <x v="0"/>
    <n v="16"/>
    <n v="12"/>
    <x v="1"/>
    <x v="0"/>
    <x v="0"/>
    <x v="2"/>
    <x v="2"/>
    <n v="21.2"/>
    <x v="1"/>
    <s v="Yes"/>
    <x v="0"/>
    <x v="0"/>
    <x v="0"/>
    <s v="No Mutation"/>
    <s v="Yes"/>
    <s v="Yes"/>
    <s v="Yes"/>
    <s v="No"/>
    <s v="Yes"/>
    <s v="Yes"/>
    <s v="Yes"/>
    <s v="No"/>
    <s v="No"/>
    <s v="No"/>
    <x v="0"/>
    <s v="Adenocarcinoma"/>
    <x v="1"/>
    <n v="2.6"/>
    <s v="No"/>
    <s v="Biopsy"/>
    <s v="Radiotherapy"/>
    <n v="51"/>
    <s v="Yes"/>
  </r>
  <r>
    <s v="LC-0911"/>
    <n v="2019"/>
    <d v="2019-06-08T00:00:00"/>
    <s v="Eastern Mediterranean"/>
    <s v="Pakistan"/>
    <n v="68"/>
    <x v="0"/>
    <x v="2"/>
    <n v="0"/>
    <n v="0"/>
    <x v="0"/>
    <x v="0"/>
    <x v="0"/>
    <x v="1"/>
    <x v="2"/>
    <n v="24"/>
    <x v="1"/>
    <s v="No"/>
    <x v="0"/>
    <x v="1"/>
    <x v="0"/>
    <s v="No Mutation"/>
    <s v="Yes"/>
    <s v="Yes"/>
    <s v="No"/>
    <s v="Yes"/>
    <s v="Yes"/>
    <s v="Yes"/>
    <s v="No"/>
    <s v="Yes"/>
    <s v="No"/>
    <s v="No"/>
    <x v="0"/>
    <s v="Adenocarcinoma"/>
    <x v="1"/>
    <n v="2.8"/>
    <s v="No"/>
    <s v="CT Scan"/>
    <s v="Surgery"/>
    <n v="78"/>
    <s v="Yes"/>
  </r>
  <r>
    <s v="LC-0912"/>
    <n v="2024"/>
    <d v="2024-05-13T00:00:00"/>
    <s v="Western Pacific"/>
    <s v="Australia"/>
    <n v="65"/>
    <x v="0"/>
    <x v="0"/>
    <n v="22"/>
    <n v="21"/>
    <x v="1"/>
    <x v="0"/>
    <x v="1"/>
    <x v="1"/>
    <x v="2"/>
    <n v="16.899999999999999"/>
    <x v="2"/>
    <s v="Yes"/>
    <x v="0"/>
    <x v="0"/>
    <x v="0"/>
    <s v="No Mutation"/>
    <s v="Yes"/>
    <s v="Yes"/>
    <s v="No"/>
    <s v="No"/>
    <s v="Yes"/>
    <s v="Yes"/>
    <s v="Yes"/>
    <s v="No"/>
    <s v="Yes"/>
    <s v="No"/>
    <x v="0"/>
    <s v="Squamous Cell"/>
    <x v="0"/>
    <n v="5.6"/>
    <s v="Yes"/>
    <s v="PET Scan"/>
    <s v="Immunotherapy"/>
    <n v="6"/>
    <s v="No"/>
  </r>
  <r>
    <s v="LC-0913"/>
    <n v="2024"/>
    <d v="2024-08-25T00:00:00"/>
    <s v="Western Pacific"/>
    <s v="Philippines"/>
    <n v="57"/>
    <x v="1"/>
    <x v="2"/>
    <n v="0"/>
    <n v="0"/>
    <x v="1"/>
    <x v="0"/>
    <x v="0"/>
    <x v="0"/>
    <x v="0"/>
    <n v="25.1"/>
    <x v="0"/>
    <s v="No"/>
    <x v="0"/>
    <x v="1"/>
    <x v="0"/>
    <s v="ALK"/>
    <s v="No"/>
    <s v="Yes"/>
    <s v="No"/>
    <s v="No"/>
    <s v="Yes"/>
    <s v="Yes"/>
    <s v="No"/>
    <s v="Yes"/>
    <s v="No"/>
    <s v="No"/>
    <x v="0"/>
    <s v="Large Cell"/>
    <x v="1"/>
    <n v="1.1000000000000001"/>
    <s v="No"/>
    <s v="CT Scan"/>
    <s v="Surgery"/>
    <n v="42"/>
    <s v="Yes"/>
  </r>
  <r>
    <s v="LC-0914"/>
    <n v="2024"/>
    <d v="2024-06-10T00:00:00"/>
    <s v="Americas"/>
    <s v="Venezuela"/>
    <n v="73"/>
    <x v="1"/>
    <x v="0"/>
    <n v="44"/>
    <n v="29"/>
    <x v="0"/>
    <x v="0"/>
    <x v="0"/>
    <x v="0"/>
    <x v="0"/>
    <n v="30.1"/>
    <x v="0"/>
    <s v="No"/>
    <x v="0"/>
    <x v="0"/>
    <x v="0"/>
    <s v="TP53"/>
    <s v="Yes"/>
    <s v="No"/>
    <s v="No"/>
    <s v="Yes"/>
    <s v="Yes"/>
    <s v="No"/>
    <s v="No"/>
    <s v="No"/>
    <s v="No"/>
    <s v="No"/>
    <x v="0"/>
    <s v="Squamous Cell"/>
    <x v="2"/>
    <n v="8.6999999999999993"/>
    <s v="No"/>
    <s v="Bronchoscopy"/>
    <s v="Chemotherapy"/>
    <n v="28"/>
    <s v="No"/>
  </r>
  <r>
    <s v="LC-0915"/>
    <n v="2025"/>
    <d v="2025-12-19T00:00:00"/>
    <s v="Western Pacific"/>
    <s v="China"/>
    <n v="66"/>
    <x v="1"/>
    <x v="2"/>
    <n v="0"/>
    <n v="0"/>
    <x v="0"/>
    <x v="0"/>
    <x v="1"/>
    <x v="2"/>
    <x v="2"/>
    <n v="22.7"/>
    <x v="1"/>
    <s v="No"/>
    <x v="0"/>
    <x v="0"/>
    <x v="0"/>
    <s v="No Mutation"/>
    <s v="No"/>
    <s v="Yes"/>
    <s v="No"/>
    <s v="No"/>
    <s v="No"/>
    <s v="No"/>
    <s v="No"/>
    <s v="Yes"/>
    <s v="No"/>
    <s v="No"/>
    <x v="0"/>
    <s v="Adenocarcinoma"/>
    <x v="2"/>
    <n v="5.3"/>
    <s v="Yes"/>
    <s v="CT Scan"/>
    <s v="Immunotherapy"/>
    <n v="17"/>
    <s v="No"/>
  </r>
  <r>
    <s v="LC-0916"/>
    <n v="2018"/>
    <d v="2018-05-21T00:00:00"/>
    <s v="Western Pacific"/>
    <s v="Vietnam"/>
    <n v="43"/>
    <x v="0"/>
    <x v="2"/>
    <n v="0"/>
    <n v="0"/>
    <x v="1"/>
    <x v="1"/>
    <x v="0"/>
    <x v="0"/>
    <x v="2"/>
    <n v="26.5"/>
    <x v="0"/>
    <s v="No"/>
    <x v="0"/>
    <x v="0"/>
    <x v="0"/>
    <s v="No Mutation"/>
    <s v="No"/>
    <s v="Yes"/>
    <s v="No"/>
    <s v="No"/>
    <s v="Yes"/>
    <s v="No"/>
    <s v="No"/>
    <s v="No"/>
    <s v="No"/>
    <s v="No"/>
    <x v="0"/>
    <s v="Adenocarcinoma"/>
    <x v="1"/>
    <n v="1.7"/>
    <s v="No"/>
    <s v="CT Scan"/>
    <s v="Radiotherapy"/>
    <n v="79"/>
    <s v="No"/>
  </r>
  <r>
    <s v="LC-0917"/>
    <n v="2021"/>
    <d v="2021-12-08T00:00:00"/>
    <s v="Western Pacific"/>
    <s v="China"/>
    <n v="57"/>
    <x v="1"/>
    <x v="2"/>
    <n v="0"/>
    <n v="0"/>
    <x v="0"/>
    <x v="0"/>
    <x v="0"/>
    <x v="0"/>
    <x v="0"/>
    <n v="32.799999999999997"/>
    <x v="2"/>
    <s v="No"/>
    <x v="0"/>
    <x v="0"/>
    <x v="0"/>
    <s v="No Mutation"/>
    <s v="Yes"/>
    <s v="No"/>
    <s v="No"/>
    <s v="No"/>
    <s v="Yes"/>
    <s v="No"/>
    <s v="No"/>
    <s v="Yes"/>
    <s v="No"/>
    <s v="No"/>
    <x v="0"/>
    <s v="Squamous Cell"/>
    <x v="1"/>
    <n v="1.2"/>
    <s v="No"/>
    <s v="LDCT Screening"/>
    <s v="Surgery"/>
    <n v="37"/>
    <s v="Yes"/>
  </r>
  <r>
    <s v="LC-0918"/>
    <n v="2020"/>
    <d v="2020-11-04T00:00:00"/>
    <s v="Western Pacific"/>
    <s v="New Zealand"/>
    <n v="65"/>
    <x v="0"/>
    <x v="2"/>
    <n v="0"/>
    <n v="0"/>
    <x v="1"/>
    <x v="0"/>
    <x v="0"/>
    <x v="0"/>
    <x v="2"/>
    <n v="31.6"/>
    <x v="2"/>
    <s v="No"/>
    <x v="0"/>
    <x v="1"/>
    <x v="0"/>
    <s v="No Mutation"/>
    <s v="No"/>
    <s v="No"/>
    <s v="No"/>
    <s v="No"/>
    <s v="Yes"/>
    <s v="No"/>
    <s v="No"/>
    <s v="Yes"/>
    <s v="No"/>
    <s v="No"/>
    <x v="0"/>
    <s v="Adenocarcinoma"/>
    <x v="3"/>
    <n v="3.7"/>
    <s v="No"/>
    <s v="CT Scan"/>
    <s v="Surgery + Chemotherapy"/>
    <n v="31"/>
    <s v="No"/>
  </r>
  <r>
    <s v="LC-0919"/>
    <n v="2023"/>
    <d v="2023-05-06T00:00:00"/>
    <s v="Europe"/>
    <s v="Turkey"/>
    <n v="67"/>
    <x v="0"/>
    <x v="2"/>
    <n v="0"/>
    <n v="0"/>
    <x v="0"/>
    <x v="1"/>
    <x v="0"/>
    <x v="2"/>
    <x v="0"/>
    <n v="25.4"/>
    <x v="1"/>
    <s v="No"/>
    <x v="0"/>
    <x v="0"/>
    <x v="0"/>
    <s v="ALK"/>
    <s v="No"/>
    <s v="No"/>
    <s v="No"/>
    <s v="No"/>
    <s v="Yes"/>
    <s v="No"/>
    <s v="No"/>
    <s v="No"/>
    <s v="No"/>
    <s v="No"/>
    <x v="0"/>
    <s v="Large Cell"/>
    <x v="3"/>
    <n v="5.6"/>
    <s v="No"/>
    <s v="CT Scan"/>
    <s v="Surgery"/>
    <n v="6"/>
    <s v="Yes"/>
  </r>
  <r>
    <s v="LC-0920"/>
    <n v="2023"/>
    <d v="2023-11-17T00:00:00"/>
    <s v="Western Pacific"/>
    <s v="Philippines"/>
    <n v="66"/>
    <x v="0"/>
    <x v="2"/>
    <n v="0"/>
    <n v="0"/>
    <x v="1"/>
    <x v="1"/>
    <x v="0"/>
    <x v="1"/>
    <x v="1"/>
    <n v="28.4"/>
    <x v="1"/>
    <s v="No"/>
    <x v="0"/>
    <x v="0"/>
    <x v="0"/>
    <s v="ALK"/>
    <s v="No"/>
    <s v="Yes"/>
    <s v="Yes"/>
    <s v="No"/>
    <s v="Yes"/>
    <s v="Yes"/>
    <s v="No"/>
    <s v="No"/>
    <s v="No"/>
    <s v="No"/>
    <x v="0"/>
    <s v="Adenocarcinoma"/>
    <x v="2"/>
    <n v="4.8"/>
    <s v="No"/>
    <s v="CT Scan"/>
    <s v="Chemo + Radiation"/>
    <n v="12"/>
    <s v="No"/>
  </r>
  <r>
    <s v="LC-0921"/>
    <n v="2023"/>
    <d v="2023-12-04T00:00:00"/>
    <s v="Eastern Mediterranean"/>
    <s v="Iraq"/>
    <n v="58"/>
    <x v="0"/>
    <x v="2"/>
    <n v="0"/>
    <n v="0"/>
    <x v="0"/>
    <x v="0"/>
    <x v="0"/>
    <x v="2"/>
    <x v="0"/>
    <n v="32.4"/>
    <x v="1"/>
    <s v="No"/>
    <x v="0"/>
    <x v="0"/>
    <x v="0"/>
    <s v="EGFR"/>
    <s v="Yes"/>
    <s v="Yes"/>
    <s v="Yes"/>
    <s v="No"/>
    <s v="Yes"/>
    <s v="No"/>
    <s v="No"/>
    <s v="Yes"/>
    <s v="Yes"/>
    <s v="No"/>
    <x v="0"/>
    <s v="Large Cell"/>
    <x v="1"/>
    <n v="2.8"/>
    <s v="No"/>
    <s v="CT Scan"/>
    <s v="Surgery + Chemotherapy"/>
    <n v="39"/>
    <s v="Yes"/>
  </r>
  <r>
    <s v="LC-0922"/>
    <n v="2017"/>
    <d v="2017-06-20T00:00:00"/>
    <s v="Western Pacific"/>
    <s v="Australia"/>
    <n v="54"/>
    <x v="0"/>
    <x v="0"/>
    <n v="35"/>
    <n v="22"/>
    <x v="1"/>
    <x v="0"/>
    <x v="0"/>
    <x v="1"/>
    <x v="0"/>
    <n v="19.8"/>
    <x v="1"/>
    <s v="No"/>
    <x v="0"/>
    <x v="0"/>
    <x v="0"/>
    <s v="TP53"/>
    <s v="Yes"/>
    <s v="Yes"/>
    <s v="No"/>
    <s v="Yes"/>
    <s v="Yes"/>
    <s v="No"/>
    <s v="No"/>
    <s v="No"/>
    <s v="Yes"/>
    <s v="No"/>
    <x v="0"/>
    <s v="Adenocarcinoma"/>
    <x v="2"/>
    <n v="7.4"/>
    <s v="No"/>
    <s v="LDCT Screening"/>
    <s v="Chemo + Radiation"/>
    <n v="37"/>
    <s v="No"/>
  </r>
  <r>
    <s v="LC-0923"/>
    <n v="2019"/>
    <d v="2019-04-05T00:00:00"/>
    <s v="Western Pacific"/>
    <s v="New Zealand"/>
    <n v="84"/>
    <x v="1"/>
    <x v="0"/>
    <n v="28"/>
    <n v="38"/>
    <x v="1"/>
    <x v="0"/>
    <x v="0"/>
    <x v="0"/>
    <x v="1"/>
    <n v="32.6"/>
    <x v="0"/>
    <s v="No"/>
    <x v="0"/>
    <x v="1"/>
    <x v="0"/>
    <s v="KRAS"/>
    <s v="Yes"/>
    <s v="Yes"/>
    <s v="Yes"/>
    <s v="No"/>
    <s v="Yes"/>
    <s v="Yes"/>
    <s v="Yes"/>
    <s v="No"/>
    <s v="Yes"/>
    <s v="No"/>
    <x v="0"/>
    <s v="Squamous Cell"/>
    <x v="3"/>
    <n v="4.9000000000000004"/>
    <s v="No"/>
    <s v="Chest X-Ray"/>
    <s v="Surgery"/>
    <n v="32"/>
    <s v="Yes"/>
  </r>
  <r>
    <s v="LC-0924"/>
    <n v="2021"/>
    <d v="2021-03-15T00:00:00"/>
    <s v="Americas"/>
    <s v="Venezuela"/>
    <n v="89"/>
    <x v="1"/>
    <x v="2"/>
    <n v="0"/>
    <n v="0"/>
    <x v="0"/>
    <x v="0"/>
    <x v="1"/>
    <x v="2"/>
    <x v="2"/>
    <n v="22.2"/>
    <x v="2"/>
    <s v="No"/>
    <x v="0"/>
    <x v="0"/>
    <x v="0"/>
    <s v="RET"/>
    <s v="No"/>
    <s v="No"/>
    <s v="No"/>
    <s v="No"/>
    <s v="No"/>
    <s v="Yes"/>
    <s v="No"/>
    <s v="No"/>
    <s v="No"/>
    <s v="No"/>
    <x v="0"/>
    <s v="Adenocarcinoma"/>
    <x v="0"/>
    <n v="5.5"/>
    <s v="Yes"/>
    <s v="PET Scan"/>
    <s v="Palliative Care"/>
    <n v="3"/>
    <s v="No"/>
  </r>
  <r>
    <s v="LC-0925"/>
    <n v="2021"/>
    <d v="2021-06-14T00:00:00"/>
    <s v="South-East Asia"/>
    <s v="Timor-Leste"/>
    <n v="71"/>
    <x v="1"/>
    <x v="2"/>
    <n v="0"/>
    <n v="0"/>
    <x v="1"/>
    <x v="0"/>
    <x v="0"/>
    <x v="1"/>
    <x v="0"/>
    <n v="27.6"/>
    <x v="0"/>
    <s v="No"/>
    <x v="0"/>
    <x v="0"/>
    <x v="0"/>
    <s v="No Mutation"/>
    <s v="Yes"/>
    <s v="No"/>
    <s v="Yes"/>
    <s v="No"/>
    <s v="No"/>
    <s v="No"/>
    <s v="No"/>
    <s v="Yes"/>
    <s v="No"/>
    <s v="No"/>
    <x v="0"/>
    <s v="Adenocarcinoma"/>
    <x v="3"/>
    <n v="6.3"/>
    <s v="No"/>
    <s v="CT Scan"/>
    <s v="Surgery"/>
    <n v="45"/>
    <s v="No"/>
  </r>
  <r>
    <s v="LC-0926"/>
    <n v="2025"/>
    <d v="2025-08-25T00:00:00"/>
    <s v="Western Pacific"/>
    <s v="Singapore"/>
    <n v="70"/>
    <x v="1"/>
    <x v="0"/>
    <n v="5"/>
    <n v="23"/>
    <x v="0"/>
    <x v="0"/>
    <x v="0"/>
    <x v="0"/>
    <x v="1"/>
    <n v="23.5"/>
    <x v="2"/>
    <s v="No"/>
    <x v="0"/>
    <x v="1"/>
    <x v="0"/>
    <s v="KRAS"/>
    <s v="Yes"/>
    <s v="No"/>
    <s v="No"/>
    <s v="No"/>
    <s v="No"/>
    <s v="No"/>
    <s v="No"/>
    <s v="No"/>
    <s v="No"/>
    <s v="No"/>
    <x v="0"/>
    <s v="Squamous Cell"/>
    <x v="2"/>
    <n v="5.4"/>
    <s v="No"/>
    <s v="Chest X-Ray"/>
    <s v="Immunotherapy"/>
    <n v="3"/>
    <s v="No"/>
  </r>
  <r>
    <s v="LC-0927"/>
    <n v="2025"/>
    <d v="2025-11-27T00:00:00"/>
    <s v="Eastern Mediterranean"/>
    <s v="UAE"/>
    <n v="63"/>
    <x v="0"/>
    <x v="1"/>
    <n v="10"/>
    <n v="10"/>
    <x v="1"/>
    <x v="0"/>
    <x v="0"/>
    <x v="1"/>
    <x v="2"/>
    <n v="26.1"/>
    <x v="0"/>
    <s v="No"/>
    <x v="0"/>
    <x v="0"/>
    <x v="0"/>
    <s v="KRAS"/>
    <s v="Yes"/>
    <s v="No"/>
    <s v="Yes"/>
    <s v="No"/>
    <s v="No"/>
    <s v="Yes"/>
    <s v="No"/>
    <s v="No"/>
    <s v="No"/>
    <s v="No"/>
    <x v="0"/>
    <s v="Adenocarcinoma"/>
    <x v="2"/>
    <n v="3.7"/>
    <s v="No"/>
    <s v="Bronchoscopy"/>
    <s v="Chemo + Radiation"/>
    <n v="25"/>
    <s v="No"/>
  </r>
  <r>
    <s v="LC-0928"/>
    <n v="2025"/>
    <d v="2025-04-22T00:00:00"/>
    <s v="Western Pacific"/>
    <s v="Mongolia"/>
    <n v="53"/>
    <x v="0"/>
    <x v="2"/>
    <n v="0"/>
    <n v="0"/>
    <x v="1"/>
    <x v="0"/>
    <x v="1"/>
    <x v="0"/>
    <x v="2"/>
    <n v="21"/>
    <x v="1"/>
    <s v="No"/>
    <x v="0"/>
    <x v="0"/>
    <x v="0"/>
    <s v="ALK"/>
    <s v="No"/>
    <s v="Yes"/>
    <s v="No"/>
    <s v="No"/>
    <s v="No"/>
    <s v="No"/>
    <s v="No"/>
    <s v="No"/>
    <s v="No"/>
    <s v="No"/>
    <x v="0"/>
    <s v="Large Cell"/>
    <x v="3"/>
    <n v="4.8"/>
    <s v="No"/>
    <s v="PET Scan"/>
    <s v="Surgery"/>
    <n v="52"/>
    <s v="No"/>
  </r>
  <r>
    <s v="LC-0929"/>
    <n v="2020"/>
    <d v="2020-02-17T00:00:00"/>
    <s v="Western Pacific"/>
    <s v="New Zealand"/>
    <n v="70"/>
    <x v="1"/>
    <x v="0"/>
    <n v="15"/>
    <n v="18"/>
    <x v="0"/>
    <x v="0"/>
    <x v="0"/>
    <x v="0"/>
    <x v="0"/>
    <n v="23.4"/>
    <x v="2"/>
    <s v="Yes"/>
    <x v="0"/>
    <x v="0"/>
    <x v="0"/>
    <s v="TP53"/>
    <s v="Yes"/>
    <s v="No"/>
    <s v="No"/>
    <s v="No"/>
    <s v="Yes"/>
    <s v="No"/>
    <s v="Yes"/>
    <s v="No"/>
    <s v="No"/>
    <s v="No"/>
    <x v="1"/>
    <s v="Not Applicable"/>
    <x v="2"/>
    <n v="5.0999999999999996"/>
    <s v="No"/>
    <s v="PET Scan"/>
    <s v="Immunotherapy"/>
    <n v="8"/>
    <s v="No"/>
  </r>
  <r>
    <s v="LC-0930"/>
    <n v="2017"/>
    <d v="2017-09-23T00:00:00"/>
    <s v="Europe"/>
    <s v="Russia"/>
    <n v="76"/>
    <x v="0"/>
    <x v="0"/>
    <n v="33"/>
    <n v="16"/>
    <x v="1"/>
    <x v="1"/>
    <x v="0"/>
    <x v="1"/>
    <x v="1"/>
    <n v="25"/>
    <x v="2"/>
    <s v="Yes"/>
    <x v="0"/>
    <x v="0"/>
    <x v="0"/>
    <s v="EGFR"/>
    <s v="Yes"/>
    <s v="Yes"/>
    <s v="Yes"/>
    <s v="No"/>
    <s v="No"/>
    <s v="No"/>
    <s v="Yes"/>
    <s v="No"/>
    <s v="Yes"/>
    <s v="No"/>
    <x v="0"/>
    <s v="Adenocarcinoma"/>
    <x v="1"/>
    <n v="2.7"/>
    <s v="No"/>
    <s v="CT Scan"/>
    <s v="Immunotherapy"/>
    <n v="58"/>
    <s v="Yes"/>
  </r>
  <r>
    <s v="LC-0931"/>
    <n v="2020"/>
    <d v="2020-02-19T00:00:00"/>
    <s v="Americas"/>
    <s v="Canada"/>
    <n v="71"/>
    <x v="1"/>
    <x v="1"/>
    <n v="29"/>
    <n v="21"/>
    <x v="1"/>
    <x v="1"/>
    <x v="0"/>
    <x v="0"/>
    <x v="0"/>
    <n v="29.3"/>
    <x v="1"/>
    <s v="No"/>
    <x v="0"/>
    <x v="0"/>
    <x v="0"/>
    <s v="No Mutation"/>
    <s v="No"/>
    <s v="Yes"/>
    <s v="Yes"/>
    <s v="No"/>
    <s v="Yes"/>
    <s v="Yes"/>
    <s v="No"/>
    <s v="Yes"/>
    <s v="No"/>
    <s v="No"/>
    <x v="0"/>
    <s v="Squamous Cell"/>
    <x v="0"/>
    <n v="10.4"/>
    <s v="Yes"/>
    <s v="CT Scan"/>
    <s v="Palliative Care"/>
    <n v="15"/>
    <s v="Yes"/>
  </r>
  <r>
    <s v="LC-0932"/>
    <n v="2024"/>
    <d v="2024-01-27T00:00:00"/>
    <s v="Europe"/>
    <s v="Netherlands"/>
    <n v="59"/>
    <x v="0"/>
    <x v="1"/>
    <n v="26"/>
    <n v="13"/>
    <x v="1"/>
    <x v="1"/>
    <x v="0"/>
    <x v="2"/>
    <x v="1"/>
    <n v="25.8"/>
    <x v="1"/>
    <s v="No"/>
    <x v="0"/>
    <x v="0"/>
    <x v="0"/>
    <s v="KRAS"/>
    <s v="Yes"/>
    <s v="Yes"/>
    <s v="No"/>
    <s v="Yes"/>
    <s v="Yes"/>
    <s v="No"/>
    <s v="Yes"/>
    <s v="No"/>
    <s v="Yes"/>
    <s v="No"/>
    <x v="0"/>
    <s v="Squamous Cell"/>
    <x v="3"/>
    <n v="6"/>
    <s v="No"/>
    <s v="CT Scan"/>
    <s v="Radiotherapy"/>
    <n v="44"/>
    <s v="No"/>
  </r>
  <r>
    <s v="LC-0933"/>
    <n v="2024"/>
    <d v="2024-09-07T00:00:00"/>
    <s v="Western Pacific"/>
    <s v="Mongolia"/>
    <n v="63"/>
    <x v="1"/>
    <x v="0"/>
    <n v="25"/>
    <n v="29"/>
    <x v="0"/>
    <x v="1"/>
    <x v="0"/>
    <x v="1"/>
    <x v="0"/>
    <n v="24.6"/>
    <x v="0"/>
    <s v="No"/>
    <x v="0"/>
    <x v="0"/>
    <x v="0"/>
    <s v="KRAS"/>
    <s v="No"/>
    <s v="No"/>
    <s v="Yes"/>
    <s v="No"/>
    <s v="Yes"/>
    <s v="No"/>
    <s v="No"/>
    <s v="No"/>
    <s v="No"/>
    <s v="No"/>
    <x v="1"/>
    <s v="Not Applicable"/>
    <x v="3"/>
    <n v="3.1"/>
    <s v="No"/>
    <s v="PET Scan"/>
    <s v="Chemotherapy"/>
    <n v="26"/>
    <s v="Yes"/>
  </r>
  <r>
    <s v="LC-0934"/>
    <n v="2022"/>
    <d v="2022-09-05T00:00:00"/>
    <s v="Western Pacific"/>
    <s v="South Korea"/>
    <n v="63"/>
    <x v="0"/>
    <x v="2"/>
    <n v="0"/>
    <n v="0"/>
    <x v="0"/>
    <x v="0"/>
    <x v="0"/>
    <x v="1"/>
    <x v="2"/>
    <n v="24.9"/>
    <x v="0"/>
    <s v="No"/>
    <x v="0"/>
    <x v="0"/>
    <x v="0"/>
    <s v="ALK"/>
    <s v="Yes"/>
    <s v="Yes"/>
    <s v="Yes"/>
    <s v="No"/>
    <s v="Yes"/>
    <s v="No"/>
    <s v="No"/>
    <s v="No"/>
    <s v="No"/>
    <s v="No"/>
    <x v="0"/>
    <s v="Adenocarcinoma"/>
    <x v="1"/>
    <n v="1.9"/>
    <s v="No"/>
    <s v="LDCT Screening"/>
    <s v="Radiotherapy"/>
    <n v="89"/>
    <s v="Yes"/>
  </r>
  <r>
    <s v="LC-0935"/>
    <n v="2025"/>
    <d v="2025-06-28T00:00:00"/>
    <s v="Americas"/>
    <s v="Cuba"/>
    <n v="63"/>
    <x v="1"/>
    <x v="2"/>
    <n v="0"/>
    <n v="0"/>
    <x v="1"/>
    <x v="0"/>
    <x v="0"/>
    <x v="1"/>
    <x v="2"/>
    <n v="16"/>
    <x v="1"/>
    <s v="No"/>
    <x v="0"/>
    <x v="0"/>
    <x v="0"/>
    <s v="No Mutation"/>
    <s v="No"/>
    <s v="Yes"/>
    <s v="No"/>
    <s v="No"/>
    <s v="Yes"/>
    <s v="No"/>
    <s v="No"/>
    <s v="Yes"/>
    <s v="Yes"/>
    <s v="No"/>
    <x v="0"/>
    <s v="Adenocarcinoma"/>
    <x v="2"/>
    <n v="4.9000000000000004"/>
    <s v="No"/>
    <s v="Biopsy"/>
    <s v="Chemo + Radiation"/>
    <n v="9"/>
    <s v="No"/>
  </r>
  <r>
    <s v="LC-0936"/>
    <n v="2022"/>
    <d v="2022-08-04T00:00:00"/>
    <s v="Western Pacific"/>
    <s v="Australia"/>
    <n v="63"/>
    <x v="1"/>
    <x v="2"/>
    <n v="0"/>
    <n v="0"/>
    <x v="0"/>
    <x v="1"/>
    <x v="1"/>
    <x v="1"/>
    <x v="2"/>
    <n v="25.8"/>
    <x v="1"/>
    <s v="No"/>
    <x v="0"/>
    <x v="0"/>
    <x v="0"/>
    <s v="No Mutation"/>
    <s v="No"/>
    <s v="No"/>
    <s v="No"/>
    <s v="No"/>
    <s v="Yes"/>
    <s v="No"/>
    <s v="Yes"/>
    <s v="Yes"/>
    <s v="No"/>
    <s v="No"/>
    <x v="0"/>
    <s v="Adenocarcinoma"/>
    <x v="1"/>
    <n v="2.5"/>
    <s v="No"/>
    <s v="CT Scan"/>
    <s v="Surgery + Chemotherapy"/>
    <n v="41"/>
    <s v="Yes"/>
  </r>
  <r>
    <s v="LC-0937"/>
    <n v="2022"/>
    <d v="2022-12-19T00:00:00"/>
    <s v="Africa"/>
    <s v="Morocco"/>
    <n v="53"/>
    <x v="0"/>
    <x v="2"/>
    <n v="0"/>
    <n v="0"/>
    <x v="0"/>
    <x v="0"/>
    <x v="0"/>
    <x v="0"/>
    <x v="0"/>
    <n v="27.4"/>
    <x v="0"/>
    <s v="No"/>
    <x v="0"/>
    <x v="0"/>
    <x v="0"/>
    <s v="No Mutation"/>
    <s v="No"/>
    <s v="No"/>
    <s v="Yes"/>
    <s v="No"/>
    <s v="Yes"/>
    <s v="Yes"/>
    <s v="No"/>
    <s v="Yes"/>
    <s v="No"/>
    <s v="No"/>
    <x v="0"/>
    <s v="Adenocarcinoma"/>
    <x v="1"/>
    <n v="0.7"/>
    <s v="No"/>
    <s v="LDCT Screening"/>
    <s v="Surgery"/>
    <n v="84"/>
    <s v="No"/>
  </r>
  <r>
    <s v="LC-0938"/>
    <n v="2015"/>
    <d v="2015-02-17T00:00:00"/>
    <s v="Americas"/>
    <s v="Peru"/>
    <n v="67"/>
    <x v="0"/>
    <x v="0"/>
    <n v="31"/>
    <n v="27"/>
    <x v="1"/>
    <x v="0"/>
    <x v="0"/>
    <x v="2"/>
    <x v="2"/>
    <n v="28.3"/>
    <x v="0"/>
    <s v="No"/>
    <x v="1"/>
    <x v="1"/>
    <x v="0"/>
    <s v="No Mutation"/>
    <s v="Yes"/>
    <s v="Yes"/>
    <s v="Yes"/>
    <s v="Yes"/>
    <s v="Yes"/>
    <s v="Yes"/>
    <s v="No"/>
    <s v="No"/>
    <s v="No"/>
    <s v="No"/>
    <x v="0"/>
    <s v="Large Cell"/>
    <x v="0"/>
    <n v="8.6"/>
    <s v="Yes"/>
    <s v="CT Scan"/>
    <s v="Immunotherapy"/>
    <n v="7"/>
    <s v="No"/>
  </r>
  <r>
    <s v="LC-0939"/>
    <n v="2021"/>
    <d v="2021-01-15T00:00:00"/>
    <s v="Americas"/>
    <s v="Brazil"/>
    <n v="65"/>
    <x v="1"/>
    <x v="2"/>
    <n v="0"/>
    <n v="0"/>
    <x v="1"/>
    <x v="0"/>
    <x v="1"/>
    <x v="1"/>
    <x v="2"/>
    <n v="29.6"/>
    <x v="1"/>
    <s v="No"/>
    <x v="0"/>
    <x v="0"/>
    <x v="0"/>
    <s v="EGFR"/>
    <s v="Yes"/>
    <s v="No"/>
    <s v="No"/>
    <s v="Yes"/>
    <s v="Yes"/>
    <s v="No"/>
    <s v="No"/>
    <s v="No"/>
    <s v="No"/>
    <s v="No"/>
    <x v="0"/>
    <s v="Squamous Cell"/>
    <x v="1"/>
    <n v="1.9"/>
    <s v="No"/>
    <s v="LDCT Screening"/>
    <s v="Surgery + Chemotherapy"/>
    <n v="74"/>
    <s v="Yes"/>
  </r>
  <r>
    <s v="LC-0940"/>
    <n v="2017"/>
    <d v="2017-09-14T00:00:00"/>
    <s v="Americas"/>
    <s v="Peru"/>
    <n v="59"/>
    <x v="1"/>
    <x v="2"/>
    <n v="0"/>
    <n v="0"/>
    <x v="1"/>
    <x v="0"/>
    <x v="1"/>
    <x v="0"/>
    <x v="2"/>
    <n v="16.600000000000001"/>
    <x v="1"/>
    <s v="No"/>
    <x v="0"/>
    <x v="0"/>
    <x v="0"/>
    <s v="RET"/>
    <s v="Yes"/>
    <s v="No"/>
    <s v="No"/>
    <s v="No"/>
    <s v="Yes"/>
    <s v="No"/>
    <s v="No"/>
    <s v="No"/>
    <s v="No"/>
    <s v="Yes"/>
    <x v="0"/>
    <s v="Large Cell"/>
    <x v="3"/>
    <n v="3.9"/>
    <s v="No"/>
    <s v="Chest X-Ray"/>
    <s v="Surgery + Chemotherapy"/>
    <n v="43"/>
    <s v="Yes"/>
  </r>
  <r>
    <s v="LC-0941"/>
    <n v="2025"/>
    <d v="2025-10-02T00:00:00"/>
    <s v="Western Pacific"/>
    <s v="Singapore"/>
    <n v="61"/>
    <x v="0"/>
    <x v="1"/>
    <n v="22"/>
    <n v="5"/>
    <x v="1"/>
    <x v="0"/>
    <x v="1"/>
    <x v="1"/>
    <x v="2"/>
    <n v="27.2"/>
    <x v="1"/>
    <s v="Yes"/>
    <x v="0"/>
    <x v="0"/>
    <x v="0"/>
    <s v="KRAS"/>
    <s v="Yes"/>
    <s v="Yes"/>
    <s v="No"/>
    <s v="No"/>
    <s v="No"/>
    <s v="No"/>
    <s v="No"/>
    <s v="No"/>
    <s v="No"/>
    <s v="No"/>
    <x v="0"/>
    <s v="Squamous Cell"/>
    <x v="3"/>
    <n v="4.9000000000000004"/>
    <s v="No"/>
    <s v="CT Scan"/>
    <s v="Surgery + Chemotherapy"/>
    <n v="27"/>
    <s v="Yes"/>
  </r>
  <r>
    <s v="LC-0942"/>
    <n v="2023"/>
    <d v="2023-08-22T00:00:00"/>
    <s v="Americas"/>
    <s v="Argentina"/>
    <n v="69"/>
    <x v="1"/>
    <x v="2"/>
    <n v="0"/>
    <n v="0"/>
    <x v="0"/>
    <x v="0"/>
    <x v="1"/>
    <x v="2"/>
    <x v="1"/>
    <n v="20.3"/>
    <x v="0"/>
    <s v="No"/>
    <x v="0"/>
    <x v="1"/>
    <x v="0"/>
    <s v="KRAS"/>
    <s v="No"/>
    <s v="No"/>
    <s v="No"/>
    <s v="Yes"/>
    <s v="Yes"/>
    <s v="Yes"/>
    <s v="Yes"/>
    <s v="No"/>
    <s v="No"/>
    <s v="No"/>
    <x v="0"/>
    <s v="Squamous Cell"/>
    <x v="1"/>
    <n v="1.7"/>
    <s v="No"/>
    <s v="LDCT Screening"/>
    <s v="Surgery"/>
    <n v="62"/>
    <s v="Yes"/>
  </r>
  <r>
    <s v="LC-0943"/>
    <n v="2021"/>
    <d v="2021-12-01T00:00:00"/>
    <s v="Western Pacific"/>
    <s v="Malaysia"/>
    <n v="62"/>
    <x v="1"/>
    <x v="2"/>
    <n v="0"/>
    <n v="0"/>
    <x v="0"/>
    <x v="0"/>
    <x v="0"/>
    <x v="2"/>
    <x v="2"/>
    <n v="29.9"/>
    <x v="1"/>
    <s v="No"/>
    <x v="0"/>
    <x v="0"/>
    <x v="0"/>
    <s v="No Mutation"/>
    <s v="Yes"/>
    <s v="No"/>
    <s v="Yes"/>
    <s v="No"/>
    <s v="Yes"/>
    <s v="No"/>
    <s v="No"/>
    <s v="Yes"/>
    <s v="No"/>
    <s v="No"/>
    <x v="0"/>
    <s v="Adenocarcinoma"/>
    <x v="2"/>
    <n v="6.2"/>
    <s v="No"/>
    <s v="PET Scan"/>
    <s v="Chemo + Radiation"/>
    <n v="17"/>
    <s v="No"/>
  </r>
  <r>
    <s v="LC-0944"/>
    <n v="2020"/>
    <d v="2020-05-27T00:00:00"/>
    <s v="Europe"/>
    <s v="UK"/>
    <n v="47"/>
    <x v="1"/>
    <x v="2"/>
    <n v="0"/>
    <n v="0"/>
    <x v="0"/>
    <x v="1"/>
    <x v="0"/>
    <x v="0"/>
    <x v="0"/>
    <n v="28.5"/>
    <x v="0"/>
    <s v="No"/>
    <x v="0"/>
    <x v="1"/>
    <x v="0"/>
    <s v="ALK"/>
    <s v="No"/>
    <s v="No"/>
    <s v="No"/>
    <s v="No"/>
    <s v="Yes"/>
    <s v="Yes"/>
    <s v="No"/>
    <s v="Yes"/>
    <s v="No"/>
    <s v="No"/>
    <x v="0"/>
    <s v="Adenocarcinoma"/>
    <x v="3"/>
    <n v="3.5"/>
    <s v="No"/>
    <s v="Biopsy"/>
    <s v="Surgery + Chemotherapy"/>
    <n v="44"/>
    <s v="No"/>
  </r>
  <r>
    <s v="LC-0945"/>
    <n v="2024"/>
    <d v="2024-12-07T00:00:00"/>
    <s v="Europe"/>
    <s v="Sweden"/>
    <n v="49"/>
    <x v="0"/>
    <x v="2"/>
    <n v="0"/>
    <n v="0"/>
    <x v="0"/>
    <x v="0"/>
    <x v="0"/>
    <x v="0"/>
    <x v="0"/>
    <n v="25.6"/>
    <x v="1"/>
    <s v="No"/>
    <x v="0"/>
    <x v="0"/>
    <x v="0"/>
    <s v="No Mutation"/>
    <s v="No"/>
    <s v="No"/>
    <s v="No"/>
    <s v="No"/>
    <s v="Yes"/>
    <s v="No"/>
    <s v="No"/>
    <s v="Yes"/>
    <s v="No"/>
    <s v="No"/>
    <x v="0"/>
    <s v="Large Cell"/>
    <x v="0"/>
    <n v="7.4"/>
    <s v="Yes"/>
    <s v="PET Scan"/>
    <s v="Chemotherapy"/>
    <n v="11"/>
    <s v="No"/>
  </r>
  <r>
    <s v="LC-0946"/>
    <n v="2015"/>
    <d v="2015-02-02T00:00:00"/>
    <s v="Americas"/>
    <s v="Chile"/>
    <n v="57"/>
    <x v="0"/>
    <x v="2"/>
    <n v="0"/>
    <n v="0"/>
    <x v="1"/>
    <x v="0"/>
    <x v="0"/>
    <x v="0"/>
    <x v="0"/>
    <n v="25.7"/>
    <x v="0"/>
    <s v="No"/>
    <x v="0"/>
    <x v="1"/>
    <x v="0"/>
    <s v="KRAS"/>
    <s v="No"/>
    <s v="No"/>
    <s v="No"/>
    <s v="No"/>
    <s v="No"/>
    <s v="No"/>
    <s v="No"/>
    <s v="No"/>
    <s v="Yes"/>
    <s v="No"/>
    <x v="0"/>
    <s v="Adenocarcinoma"/>
    <x v="3"/>
    <n v="5"/>
    <s v="Yes"/>
    <s v="Bronchoscopy"/>
    <s v="Surgery"/>
    <n v="32"/>
    <s v="No"/>
  </r>
  <r>
    <s v="LC-0947"/>
    <n v="2019"/>
    <d v="2019-06-23T00:00:00"/>
    <s v="Western Pacific"/>
    <s v="Japan"/>
    <n v="65"/>
    <x v="1"/>
    <x v="0"/>
    <n v="8"/>
    <n v="14"/>
    <x v="0"/>
    <x v="0"/>
    <x v="0"/>
    <x v="0"/>
    <x v="2"/>
    <n v="27.7"/>
    <x v="2"/>
    <s v="No"/>
    <x v="0"/>
    <x v="0"/>
    <x v="0"/>
    <s v="KRAS"/>
    <s v="Yes"/>
    <s v="Yes"/>
    <s v="No"/>
    <s v="No"/>
    <s v="Yes"/>
    <s v="No"/>
    <s v="No"/>
    <s v="No"/>
    <s v="No"/>
    <s v="Yes"/>
    <x v="0"/>
    <s v="Adenocarcinoma"/>
    <x v="2"/>
    <n v="8"/>
    <s v="No"/>
    <s v="PET Scan"/>
    <s v="Immunotherapy"/>
    <n v="3"/>
    <s v="Yes"/>
  </r>
  <r>
    <s v="LC-0948"/>
    <n v="2025"/>
    <d v="2025-09-02T00:00:00"/>
    <s v="Western Pacific"/>
    <s v="Japan"/>
    <n v="54"/>
    <x v="0"/>
    <x v="2"/>
    <n v="0"/>
    <n v="0"/>
    <x v="0"/>
    <x v="1"/>
    <x v="0"/>
    <x v="0"/>
    <x v="0"/>
    <n v="24.6"/>
    <x v="2"/>
    <s v="No"/>
    <x v="0"/>
    <x v="0"/>
    <x v="0"/>
    <s v="No Mutation"/>
    <s v="Yes"/>
    <s v="Yes"/>
    <s v="No"/>
    <s v="No"/>
    <s v="No"/>
    <s v="No"/>
    <s v="Yes"/>
    <s v="No"/>
    <s v="No"/>
    <s v="No"/>
    <x v="0"/>
    <s v="Squamous Cell"/>
    <x v="1"/>
    <n v="2.8"/>
    <s v="No"/>
    <s v="CT Scan"/>
    <s v="Surgery"/>
    <n v="51"/>
    <s v="Yes"/>
  </r>
  <r>
    <s v="LC-0949"/>
    <n v="2023"/>
    <d v="2023-08-02T00:00:00"/>
    <s v="Western Pacific"/>
    <s v="Philippines"/>
    <n v="61"/>
    <x v="1"/>
    <x v="0"/>
    <n v="38"/>
    <n v="28"/>
    <x v="1"/>
    <x v="0"/>
    <x v="0"/>
    <x v="2"/>
    <x v="1"/>
    <n v="31.2"/>
    <x v="0"/>
    <s v="No"/>
    <x v="0"/>
    <x v="0"/>
    <x v="0"/>
    <s v="TP53"/>
    <s v="Yes"/>
    <s v="No"/>
    <s v="Yes"/>
    <s v="No"/>
    <s v="No"/>
    <s v="No"/>
    <s v="No"/>
    <s v="No"/>
    <s v="No"/>
    <s v="No"/>
    <x v="0"/>
    <s v="Squamous Cell"/>
    <x v="3"/>
    <n v="5.0999999999999996"/>
    <s v="No"/>
    <s v="MRI"/>
    <s v="Radiotherapy"/>
    <n v="50"/>
    <s v="No"/>
  </r>
  <r>
    <s v="LC-0950"/>
    <n v="2016"/>
    <d v="2016-07-06T00:00:00"/>
    <s v="Western Pacific"/>
    <s v="South Korea"/>
    <n v="60"/>
    <x v="1"/>
    <x v="2"/>
    <n v="0"/>
    <n v="0"/>
    <x v="0"/>
    <x v="0"/>
    <x v="0"/>
    <x v="1"/>
    <x v="0"/>
    <n v="27"/>
    <x v="0"/>
    <s v="Yes"/>
    <x v="0"/>
    <x v="0"/>
    <x v="0"/>
    <s v="EGFR"/>
    <s v="No"/>
    <s v="No"/>
    <s v="No"/>
    <s v="No"/>
    <s v="Yes"/>
    <s v="No"/>
    <s v="No"/>
    <s v="No"/>
    <s v="No"/>
    <s v="No"/>
    <x v="0"/>
    <s v="Adenocarcinoma"/>
    <x v="1"/>
    <n v="2.2999999999999998"/>
    <s v="No"/>
    <s v="Chest X-Ray"/>
    <s v="Targeted Therapy"/>
    <n v="34"/>
    <s v="Yes"/>
  </r>
  <r>
    <s v="LC-0951"/>
    <n v="2016"/>
    <d v="2016-11-24T00:00:00"/>
    <s v="Europe"/>
    <s v="Turkey"/>
    <n v="67"/>
    <x v="0"/>
    <x v="2"/>
    <n v="0"/>
    <n v="0"/>
    <x v="1"/>
    <x v="0"/>
    <x v="0"/>
    <x v="0"/>
    <x v="0"/>
    <n v="28.7"/>
    <x v="0"/>
    <s v="No"/>
    <x v="0"/>
    <x v="0"/>
    <x v="0"/>
    <s v="ALK"/>
    <s v="Yes"/>
    <s v="Yes"/>
    <s v="No"/>
    <s v="No"/>
    <s v="No"/>
    <s v="Yes"/>
    <s v="No"/>
    <s v="No"/>
    <s v="No"/>
    <s v="Yes"/>
    <x v="0"/>
    <s v="Adenocarcinoma"/>
    <x v="3"/>
    <n v="3.4"/>
    <s v="No"/>
    <s v="CT Scan"/>
    <s v="Chemotherapy"/>
    <n v="36"/>
    <s v="No"/>
  </r>
  <r>
    <s v="LC-0952"/>
    <n v="2025"/>
    <d v="2025-06-13T00:00:00"/>
    <s v="South-East Asia"/>
    <s v="Maldives"/>
    <n v="75"/>
    <x v="1"/>
    <x v="2"/>
    <n v="0"/>
    <n v="0"/>
    <x v="1"/>
    <x v="0"/>
    <x v="0"/>
    <x v="1"/>
    <x v="0"/>
    <n v="23.1"/>
    <x v="2"/>
    <s v="No"/>
    <x v="0"/>
    <x v="1"/>
    <x v="0"/>
    <s v="No Mutation"/>
    <s v="No"/>
    <s v="Yes"/>
    <s v="No"/>
    <s v="Yes"/>
    <s v="No"/>
    <s v="No"/>
    <s v="No"/>
    <s v="Yes"/>
    <s v="No"/>
    <s v="No"/>
    <x v="0"/>
    <s v="Adenocarcinoma"/>
    <x v="2"/>
    <n v="5.8"/>
    <s v="No"/>
    <s v="MRI"/>
    <s v="Immunotherapy"/>
    <n v="16"/>
    <s v="No"/>
  </r>
  <r>
    <s v="LC-0953"/>
    <n v="2019"/>
    <d v="2019-07-13T00:00:00"/>
    <s v="Western Pacific"/>
    <s v="Japan"/>
    <n v="74"/>
    <x v="0"/>
    <x v="2"/>
    <n v="0"/>
    <n v="0"/>
    <x v="0"/>
    <x v="0"/>
    <x v="0"/>
    <x v="1"/>
    <x v="0"/>
    <n v="25.9"/>
    <x v="1"/>
    <s v="Yes"/>
    <x v="0"/>
    <x v="0"/>
    <x v="0"/>
    <s v="No Mutation"/>
    <s v="No"/>
    <s v="Yes"/>
    <s v="No"/>
    <s v="Yes"/>
    <s v="No"/>
    <s v="Yes"/>
    <s v="Yes"/>
    <s v="No"/>
    <s v="No"/>
    <s v="No"/>
    <x v="0"/>
    <s v="Adenocarcinoma"/>
    <x v="2"/>
    <n v="5.2"/>
    <s v="No"/>
    <s v="Bronchoscopy"/>
    <s v="Chemo + Radiation"/>
    <n v="10"/>
    <s v="Yes"/>
  </r>
  <r>
    <s v="LC-0954"/>
    <n v="2016"/>
    <d v="2016-11-22T00:00:00"/>
    <s v="Americas"/>
    <s v="Cuba"/>
    <n v="57"/>
    <x v="1"/>
    <x v="2"/>
    <n v="0"/>
    <n v="0"/>
    <x v="1"/>
    <x v="1"/>
    <x v="0"/>
    <x v="1"/>
    <x v="0"/>
    <n v="26.2"/>
    <x v="0"/>
    <s v="Yes"/>
    <x v="0"/>
    <x v="0"/>
    <x v="0"/>
    <s v="No Mutation"/>
    <s v="No"/>
    <s v="Yes"/>
    <s v="No"/>
    <s v="No"/>
    <s v="No"/>
    <s v="Yes"/>
    <s v="No"/>
    <s v="Yes"/>
    <s v="No"/>
    <s v="No"/>
    <x v="0"/>
    <s v="Adenocarcinoma"/>
    <x v="1"/>
    <n v="2.2999999999999998"/>
    <s v="No"/>
    <s v="LDCT Screening"/>
    <s v="Surgery"/>
    <n v="68"/>
    <s v="Yes"/>
  </r>
  <r>
    <s v="LC-0955"/>
    <n v="2022"/>
    <d v="2022-03-21T00:00:00"/>
    <s v="Western Pacific"/>
    <s v="Vietnam"/>
    <n v="47"/>
    <x v="0"/>
    <x v="0"/>
    <n v="21"/>
    <n v="29"/>
    <x v="0"/>
    <x v="0"/>
    <x v="0"/>
    <x v="1"/>
    <x v="1"/>
    <n v="22.9"/>
    <x v="0"/>
    <s v="No"/>
    <x v="0"/>
    <x v="0"/>
    <x v="0"/>
    <s v="TP53"/>
    <s v="Yes"/>
    <s v="Yes"/>
    <s v="No"/>
    <s v="No"/>
    <s v="Yes"/>
    <s v="Yes"/>
    <s v="No"/>
    <s v="No"/>
    <s v="No"/>
    <s v="No"/>
    <x v="0"/>
    <s v="Large Cell"/>
    <x v="2"/>
    <n v="6.5"/>
    <s v="Yes"/>
    <s v="PET Scan"/>
    <s v="Surgery + Chemotherapy"/>
    <n v="3"/>
    <s v="No"/>
  </r>
  <r>
    <s v="LC-0956"/>
    <n v="2023"/>
    <d v="2023-02-06T00:00:00"/>
    <s v="South-East Asia"/>
    <s v="Timor-Leste"/>
    <n v="64"/>
    <x v="1"/>
    <x v="2"/>
    <n v="0"/>
    <n v="0"/>
    <x v="1"/>
    <x v="0"/>
    <x v="0"/>
    <x v="1"/>
    <x v="2"/>
    <n v="31.5"/>
    <x v="0"/>
    <s v="No"/>
    <x v="0"/>
    <x v="0"/>
    <x v="0"/>
    <s v="RET"/>
    <s v="No"/>
    <s v="Yes"/>
    <s v="Yes"/>
    <s v="No"/>
    <s v="Yes"/>
    <s v="Yes"/>
    <s v="No"/>
    <s v="No"/>
    <s v="No"/>
    <s v="No"/>
    <x v="0"/>
    <s v="Adenocarcinoma"/>
    <x v="0"/>
    <n v="10.9"/>
    <s v="Yes"/>
    <s v="Biopsy"/>
    <s v="Chemotherapy"/>
    <n v="8"/>
    <s v="No"/>
  </r>
  <r>
    <s v="LC-0957"/>
    <n v="2019"/>
    <d v="2019-07-17T00:00:00"/>
    <s v="Western Pacific"/>
    <s v="South Korea"/>
    <n v="40"/>
    <x v="0"/>
    <x v="0"/>
    <n v="25"/>
    <n v="18"/>
    <x v="0"/>
    <x v="1"/>
    <x v="0"/>
    <x v="1"/>
    <x v="1"/>
    <n v="21.6"/>
    <x v="1"/>
    <s v="No"/>
    <x v="0"/>
    <x v="0"/>
    <x v="0"/>
    <s v="No Mutation"/>
    <s v="Yes"/>
    <s v="Yes"/>
    <s v="No"/>
    <s v="No"/>
    <s v="Yes"/>
    <s v="No"/>
    <s v="Yes"/>
    <s v="No"/>
    <s v="No"/>
    <s v="No"/>
    <x v="0"/>
    <s v="Squamous Cell"/>
    <x v="3"/>
    <n v="5.7"/>
    <s v="No"/>
    <s v="Biopsy"/>
    <s v="Surgery + Chemotherapy"/>
    <n v="61"/>
    <s v="Yes"/>
  </r>
  <r>
    <s v="LC-0958"/>
    <n v="2018"/>
    <d v="2018-12-08T00:00:00"/>
    <s v="South-East Asia"/>
    <s v="India"/>
    <n v="70"/>
    <x v="1"/>
    <x v="2"/>
    <n v="0"/>
    <n v="0"/>
    <x v="0"/>
    <x v="1"/>
    <x v="1"/>
    <x v="1"/>
    <x v="0"/>
    <n v="23.7"/>
    <x v="0"/>
    <s v="No"/>
    <x v="0"/>
    <x v="0"/>
    <x v="0"/>
    <s v="EGFR"/>
    <s v="Yes"/>
    <s v="Yes"/>
    <s v="No"/>
    <s v="No"/>
    <s v="Yes"/>
    <s v="No"/>
    <s v="No"/>
    <s v="No"/>
    <s v="No"/>
    <s v="No"/>
    <x v="0"/>
    <s v="Adenocarcinoma"/>
    <x v="3"/>
    <n v="3.2"/>
    <s v="No"/>
    <s v="Bronchoscopy"/>
    <s v="Surgery + Chemotherapy"/>
    <n v="43"/>
    <s v="Yes"/>
  </r>
  <r>
    <s v="LC-0959"/>
    <n v="2023"/>
    <d v="2023-01-10T00:00:00"/>
    <s v="Europe"/>
    <s v="Poland"/>
    <n v="72"/>
    <x v="1"/>
    <x v="2"/>
    <n v="0"/>
    <n v="0"/>
    <x v="0"/>
    <x v="0"/>
    <x v="0"/>
    <x v="2"/>
    <x v="1"/>
    <n v="31"/>
    <x v="1"/>
    <s v="No"/>
    <x v="0"/>
    <x v="0"/>
    <x v="0"/>
    <s v="No Mutation"/>
    <s v="Yes"/>
    <s v="No"/>
    <s v="No"/>
    <s v="No"/>
    <s v="No"/>
    <s v="Yes"/>
    <s v="No"/>
    <s v="No"/>
    <s v="No"/>
    <s v="No"/>
    <x v="0"/>
    <s v="Adenocarcinoma"/>
    <x v="3"/>
    <n v="3.6"/>
    <s v="No"/>
    <s v="Biopsy"/>
    <s v="Surgery + Chemotherapy"/>
    <n v="52"/>
    <s v="Yes"/>
  </r>
  <r>
    <s v="LC-0960"/>
    <n v="2025"/>
    <d v="2025-11-24T00:00:00"/>
    <s v="South-East Asia"/>
    <s v="Timor-Leste"/>
    <n v="54"/>
    <x v="0"/>
    <x v="2"/>
    <n v="0"/>
    <n v="0"/>
    <x v="0"/>
    <x v="0"/>
    <x v="0"/>
    <x v="1"/>
    <x v="2"/>
    <n v="21.2"/>
    <x v="0"/>
    <s v="No"/>
    <x v="0"/>
    <x v="0"/>
    <x v="0"/>
    <s v="EGFR"/>
    <s v="No"/>
    <s v="No"/>
    <s v="Yes"/>
    <s v="No"/>
    <s v="Yes"/>
    <s v="Yes"/>
    <s v="No"/>
    <s v="No"/>
    <s v="No"/>
    <s v="No"/>
    <x v="0"/>
    <s v="Adenocarcinoma"/>
    <x v="2"/>
    <n v="8"/>
    <s v="No"/>
    <s v="Chest X-Ray"/>
    <s v="Immunotherapy"/>
    <n v="15"/>
    <s v="No"/>
  </r>
  <r>
    <s v="LC-0961"/>
    <n v="2024"/>
    <d v="2024-07-18T00:00:00"/>
    <s v="Eastern Mediterranean"/>
    <s v="Lebanon"/>
    <n v="63"/>
    <x v="0"/>
    <x v="2"/>
    <n v="0"/>
    <n v="0"/>
    <x v="0"/>
    <x v="0"/>
    <x v="0"/>
    <x v="0"/>
    <x v="1"/>
    <n v="29"/>
    <x v="0"/>
    <s v="No"/>
    <x v="0"/>
    <x v="1"/>
    <x v="0"/>
    <s v="ALK"/>
    <s v="No"/>
    <s v="No"/>
    <s v="No"/>
    <s v="No"/>
    <s v="No"/>
    <s v="No"/>
    <s v="No"/>
    <s v="No"/>
    <s v="Yes"/>
    <s v="No"/>
    <x v="0"/>
    <s v="Adenocarcinoma"/>
    <x v="0"/>
    <n v="7.3"/>
    <s v="Yes"/>
    <s v="PET Scan"/>
    <s v="Radiotherapy"/>
    <n v="20"/>
    <s v="No"/>
  </r>
  <r>
    <s v="LC-0962"/>
    <n v="2025"/>
    <d v="2025-04-08T00:00:00"/>
    <s v="Eastern Mediterranean"/>
    <s v="Oman"/>
    <n v="73"/>
    <x v="1"/>
    <x v="2"/>
    <n v="0"/>
    <n v="0"/>
    <x v="1"/>
    <x v="0"/>
    <x v="1"/>
    <x v="1"/>
    <x v="1"/>
    <n v="26.3"/>
    <x v="0"/>
    <s v="No"/>
    <x v="0"/>
    <x v="0"/>
    <x v="0"/>
    <s v="EGFR"/>
    <s v="No"/>
    <s v="No"/>
    <s v="No"/>
    <s v="No"/>
    <s v="No"/>
    <s v="No"/>
    <s v="No"/>
    <s v="No"/>
    <s v="No"/>
    <s v="No"/>
    <x v="0"/>
    <s v="Adenocarcinoma"/>
    <x v="0"/>
    <n v="10"/>
    <s v="Yes"/>
    <s v="Bronchoscopy"/>
    <s v="Targeted Therapy"/>
    <n v="11"/>
    <s v="No"/>
  </r>
  <r>
    <s v="LC-0963"/>
    <n v="2018"/>
    <d v="2018-06-05T00:00:00"/>
    <s v="Western Pacific"/>
    <s v="Philippines"/>
    <n v="67"/>
    <x v="1"/>
    <x v="0"/>
    <n v="30"/>
    <n v="34"/>
    <x v="1"/>
    <x v="0"/>
    <x v="0"/>
    <x v="1"/>
    <x v="0"/>
    <n v="23.1"/>
    <x v="1"/>
    <s v="No"/>
    <x v="0"/>
    <x v="0"/>
    <x v="0"/>
    <s v="KRAS"/>
    <s v="No"/>
    <s v="Yes"/>
    <s v="Yes"/>
    <s v="Yes"/>
    <s v="Yes"/>
    <s v="No"/>
    <s v="No"/>
    <s v="No"/>
    <s v="Yes"/>
    <s v="No"/>
    <x v="1"/>
    <s v="Not Applicable"/>
    <x v="3"/>
    <n v="2.5"/>
    <s v="No"/>
    <s v="Chest X-Ray"/>
    <s v="Surgery + Chemotherapy"/>
    <n v="34"/>
    <s v="No"/>
  </r>
  <r>
    <s v="LC-0964"/>
    <n v="2023"/>
    <d v="2023-04-24T00:00:00"/>
    <s v="Europe"/>
    <s v="Germany"/>
    <n v="63"/>
    <x v="1"/>
    <x v="0"/>
    <n v="24"/>
    <n v="26"/>
    <x v="0"/>
    <x v="1"/>
    <x v="1"/>
    <x v="0"/>
    <x v="2"/>
    <n v="22.7"/>
    <x v="1"/>
    <s v="No"/>
    <x v="1"/>
    <x v="0"/>
    <x v="0"/>
    <s v="KRAS"/>
    <s v="Yes"/>
    <s v="Yes"/>
    <s v="No"/>
    <s v="No"/>
    <s v="Yes"/>
    <s v="No"/>
    <s v="No"/>
    <s v="No"/>
    <s v="Yes"/>
    <s v="No"/>
    <x v="0"/>
    <s v="Large Cell"/>
    <x v="2"/>
    <n v="4.8"/>
    <s v="No"/>
    <s v="PET Scan"/>
    <s v="Chemotherapy"/>
    <n v="18"/>
    <s v="No"/>
  </r>
  <r>
    <s v="LC-0965"/>
    <n v="2022"/>
    <d v="2022-01-26T00:00:00"/>
    <s v="South-East Asia"/>
    <s v="Nepal"/>
    <n v="63"/>
    <x v="1"/>
    <x v="0"/>
    <n v="21"/>
    <n v="33"/>
    <x v="0"/>
    <x v="1"/>
    <x v="0"/>
    <x v="0"/>
    <x v="0"/>
    <n v="22.8"/>
    <x v="1"/>
    <s v="No"/>
    <x v="0"/>
    <x v="0"/>
    <x v="0"/>
    <s v="No Mutation"/>
    <s v="Yes"/>
    <s v="Yes"/>
    <s v="No"/>
    <s v="No"/>
    <s v="No"/>
    <s v="Yes"/>
    <s v="Yes"/>
    <s v="No"/>
    <s v="No"/>
    <s v="No"/>
    <x v="0"/>
    <s v="Adenocarcinoma"/>
    <x v="1"/>
    <n v="2.7"/>
    <s v="No"/>
    <s v="CT Scan"/>
    <s v="Immunotherapy"/>
    <n v="65"/>
    <s v="No"/>
  </r>
  <r>
    <s v="LC-0966"/>
    <n v="2020"/>
    <d v="2020-10-25T00:00:00"/>
    <s v="Americas"/>
    <s v="USA"/>
    <n v="54"/>
    <x v="0"/>
    <x v="2"/>
    <n v="0"/>
    <n v="0"/>
    <x v="0"/>
    <x v="1"/>
    <x v="0"/>
    <x v="0"/>
    <x v="0"/>
    <n v="21.3"/>
    <x v="1"/>
    <s v="No"/>
    <x v="0"/>
    <x v="0"/>
    <x v="0"/>
    <s v="KRAS"/>
    <s v="No"/>
    <s v="No"/>
    <s v="No"/>
    <s v="No"/>
    <s v="Yes"/>
    <s v="No"/>
    <s v="No"/>
    <s v="Yes"/>
    <s v="Yes"/>
    <s v="No"/>
    <x v="0"/>
    <s v="Large Cell"/>
    <x v="1"/>
    <n v="3.1"/>
    <s v="No"/>
    <s v="CT Scan"/>
    <s v="Surgery + Chemotherapy"/>
    <n v="58"/>
    <s v="Yes"/>
  </r>
  <r>
    <s v="LC-0967"/>
    <n v="2020"/>
    <d v="2020-04-07T00:00:00"/>
    <s v="South-East Asia"/>
    <s v="Bangladesh"/>
    <n v="62"/>
    <x v="1"/>
    <x v="2"/>
    <n v="0"/>
    <n v="0"/>
    <x v="1"/>
    <x v="0"/>
    <x v="1"/>
    <x v="1"/>
    <x v="0"/>
    <n v="24.7"/>
    <x v="1"/>
    <s v="No"/>
    <x v="1"/>
    <x v="0"/>
    <x v="0"/>
    <s v="RET"/>
    <s v="No"/>
    <s v="No"/>
    <s v="No"/>
    <s v="No"/>
    <s v="Yes"/>
    <s v="Yes"/>
    <s v="No"/>
    <s v="Yes"/>
    <s v="Yes"/>
    <s v="Yes"/>
    <x v="0"/>
    <s v="Adenocarcinoma"/>
    <x v="0"/>
    <n v="6.8"/>
    <s v="Yes"/>
    <s v="Bronchoscopy"/>
    <s v="Targeted Therapy"/>
    <n v="1"/>
    <s v="No"/>
  </r>
  <r>
    <s v="LC-0968"/>
    <n v="2023"/>
    <d v="2023-02-20T00:00:00"/>
    <s v="Western Pacific"/>
    <s v="China"/>
    <n v="73"/>
    <x v="1"/>
    <x v="2"/>
    <n v="0"/>
    <n v="0"/>
    <x v="0"/>
    <x v="0"/>
    <x v="0"/>
    <x v="0"/>
    <x v="2"/>
    <n v="30"/>
    <x v="0"/>
    <s v="No"/>
    <x v="0"/>
    <x v="0"/>
    <x v="0"/>
    <s v="EGFR"/>
    <s v="Yes"/>
    <s v="No"/>
    <s v="No"/>
    <s v="No"/>
    <s v="Yes"/>
    <s v="No"/>
    <s v="No"/>
    <s v="Yes"/>
    <s v="No"/>
    <s v="No"/>
    <x v="0"/>
    <s v="Large Cell"/>
    <x v="1"/>
    <n v="3.7"/>
    <s v="No"/>
    <s v="Bronchoscopy"/>
    <s v="Surgery"/>
    <n v="22"/>
    <s v="No"/>
  </r>
  <r>
    <s v="LC-0969"/>
    <n v="2022"/>
    <d v="2022-08-20T00:00:00"/>
    <s v="Western Pacific"/>
    <s v="China"/>
    <n v="60"/>
    <x v="1"/>
    <x v="2"/>
    <n v="0"/>
    <n v="0"/>
    <x v="1"/>
    <x v="0"/>
    <x v="0"/>
    <x v="0"/>
    <x v="2"/>
    <n v="24.8"/>
    <x v="0"/>
    <s v="No"/>
    <x v="0"/>
    <x v="0"/>
    <x v="0"/>
    <s v="MET"/>
    <s v="Yes"/>
    <s v="Yes"/>
    <s v="Yes"/>
    <s v="No"/>
    <s v="No"/>
    <s v="No"/>
    <s v="No"/>
    <s v="Yes"/>
    <s v="No"/>
    <s v="No"/>
    <x v="0"/>
    <s v="Large Cell"/>
    <x v="3"/>
    <n v="3.7"/>
    <s v="No"/>
    <s v="LDCT Screening"/>
    <s v="Surgery"/>
    <n v="31"/>
    <s v="No"/>
  </r>
  <r>
    <s v="LC-0970"/>
    <n v="2025"/>
    <d v="2025-04-24T00:00:00"/>
    <s v="Europe"/>
    <s v="UK"/>
    <n v="53"/>
    <x v="1"/>
    <x v="0"/>
    <n v="28"/>
    <n v="21"/>
    <x v="1"/>
    <x v="1"/>
    <x v="1"/>
    <x v="0"/>
    <x v="2"/>
    <n v="31.4"/>
    <x v="2"/>
    <s v="No"/>
    <x v="0"/>
    <x v="0"/>
    <x v="1"/>
    <s v="ROS1"/>
    <s v="Yes"/>
    <s v="No"/>
    <s v="Yes"/>
    <s v="Yes"/>
    <s v="No"/>
    <s v="No"/>
    <s v="No"/>
    <s v="Yes"/>
    <s v="No"/>
    <s v="No"/>
    <x v="0"/>
    <s v="Squamous Cell"/>
    <x v="2"/>
    <n v="6.8"/>
    <s v="No"/>
    <s v="CT Scan"/>
    <s v="Radiotherapy"/>
    <n v="17"/>
    <s v="Yes"/>
  </r>
  <r>
    <s v="LC-0971"/>
    <n v="2018"/>
    <d v="2018-07-15T00:00:00"/>
    <s v="Americas"/>
    <s v="Mexico"/>
    <n v="53"/>
    <x v="1"/>
    <x v="2"/>
    <n v="0"/>
    <n v="0"/>
    <x v="0"/>
    <x v="0"/>
    <x v="0"/>
    <x v="0"/>
    <x v="2"/>
    <n v="26.8"/>
    <x v="0"/>
    <s v="No"/>
    <x v="0"/>
    <x v="0"/>
    <x v="0"/>
    <s v="ALK"/>
    <s v="Yes"/>
    <s v="No"/>
    <s v="No"/>
    <s v="No"/>
    <s v="Yes"/>
    <s v="No"/>
    <s v="No"/>
    <s v="No"/>
    <s v="Yes"/>
    <s v="No"/>
    <x v="0"/>
    <s v="Large Cell"/>
    <x v="1"/>
    <n v="1.7"/>
    <s v="No"/>
    <s v="CT Scan"/>
    <s v="Surgery"/>
    <n v="31"/>
    <s v="No"/>
  </r>
  <r>
    <s v="LC-0972"/>
    <n v="2023"/>
    <d v="2023-09-07T00:00:00"/>
    <s v="Americas"/>
    <s v="USA"/>
    <n v="61"/>
    <x v="0"/>
    <x v="2"/>
    <n v="0"/>
    <n v="0"/>
    <x v="0"/>
    <x v="0"/>
    <x v="0"/>
    <x v="0"/>
    <x v="2"/>
    <n v="26.6"/>
    <x v="0"/>
    <s v="No"/>
    <x v="0"/>
    <x v="0"/>
    <x v="0"/>
    <s v="No Mutation"/>
    <s v="Yes"/>
    <s v="No"/>
    <s v="No"/>
    <s v="No"/>
    <s v="No"/>
    <s v="No"/>
    <s v="No"/>
    <s v="Yes"/>
    <s v="No"/>
    <s v="No"/>
    <x v="0"/>
    <s v="Adenocarcinoma"/>
    <x v="1"/>
    <n v="2.8"/>
    <s v="No"/>
    <s v="CT Scan"/>
    <s v="Surgery"/>
    <n v="72"/>
    <s v="Yes"/>
  </r>
  <r>
    <s v="LC-0973"/>
    <n v="2025"/>
    <d v="2025-03-17T00:00:00"/>
    <s v="Western Pacific"/>
    <s v="Philippines"/>
    <n v="69"/>
    <x v="1"/>
    <x v="1"/>
    <n v="12"/>
    <n v="19"/>
    <x v="1"/>
    <x v="0"/>
    <x v="0"/>
    <x v="2"/>
    <x v="0"/>
    <n v="28.4"/>
    <x v="0"/>
    <s v="Yes"/>
    <x v="0"/>
    <x v="0"/>
    <x v="1"/>
    <s v="TP53"/>
    <s v="No"/>
    <s v="No"/>
    <s v="No"/>
    <s v="Yes"/>
    <s v="Yes"/>
    <s v="Yes"/>
    <s v="No"/>
    <s v="No"/>
    <s v="Yes"/>
    <s v="No"/>
    <x v="0"/>
    <s v="Squamous Cell"/>
    <x v="2"/>
    <n v="3.7"/>
    <s v="No"/>
    <s v="CT Scan"/>
    <s v="Chemo + Radiation"/>
    <n v="20"/>
    <s v="No"/>
  </r>
  <r>
    <s v="LC-0974"/>
    <n v="2024"/>
    <d v="2024-04-27T00:00:00"/>
    <s v="South-East Asia"/>
    <s v="Bhutan"/>
    <n v="59"/>
    <x v="1"/>
    <x v="2"/>
    <n v="0"/>
    <n v="0"/>
    <x v="0"/>
    <x v="1"/>
    <x v="0"/>
    <x v="1"/>
    <x v="0"/>
    <n v="31.9"/>
    <x v="0"/>
    <s v="No"/>
    <x v="0"/>
    <x v="0"/>
    <x v="0"/>
    <s v="EGFR"/>
    <s v="Yes"/>
    <s v="No"/>
    <s v="No"/>
    <s v="No"/>
    <s v="Yes"/>
    <s v="Yes"/>
    <s v="No"/>
    <s v="Yes"/>
    <s v="Yes"/>
    <s v="No"/>
    <x v="0"/>
    <s v="Squamous Cell"/>
    <x v="1"/>
    <n v="1.9"/>
    <s v="No"/>
    <s v="CT Scan"/>
    <s v="Surgery"/>
    <n v="36"/>
    <s v="Yes"/>
  </r>
  <r>
    <s v="LC-0975"/>
    <n v="2024"/>
    <d v="2024-06-19T00:00:00"/>
    <s v="Western Pacific"/>
    <s v="Mongolia"/>
    <n v="59"/>
    <x v="1"/>
    <x v="2"/>
    <n v="0"/>
    <n v="0"/>
    <x v="1"/>
    <x v="0"/>
    <x v="0"/>
    <x v="0"/>
    <x v="2"/>
    <n v="24"/>
    <x v="0"/>
    <s v="No"/>
    <x v="0"/>
    <x v="0"/>
    <x v="0"/>
    <s v="BRAF"/>
    <s v="No"/>
    <s v="No"/>
    <s v="No"/>
    <s v="No"/>
    <s v="Yes"/>
    <s v="No"/>
    <s v="No"/>
    <s v="No"/>
    <s v="No"/>
    <s v="Yes"/>
    <x v="0"/>
    <s v="Large Cell"/>
    <x v="0"/>
    <n v="8.5"/>
    <s v="Yes"/>
    <s v="PET Scan"/>
    <s v="Palliative Care"/>
    <n v="3"/>
    <s v="No"/>
  </r>
  <r>
    <s v="LC-0976"/>
    <n v="2025"/>
    <d v="2025-11-27T00:00:00"/>
    <s v="Eastern Mediterranean"/>
    <s v="Jordan"/>
    <n v="54"/>
    <x v="0"/>
    <x v="2"/>
    <n v="0"/>
    <n v="0"/>
    <x v="1"/>
    <x v="0"/>
    <x v="0"/>
    <x v="2"/>
    <x v="2"/>
    <n v="22.8"/>
    <x v="0"/>
    <s v="Yes"/>
    <x v="0"/>
    <x v="0"/>
    <x v="0"/>
    <s v="EGFR"/>
    <s v="No"/>
    <s v="Yes"/>
    <s v="Yes"/>
    <s v="No"/>
    <s v="No"/>
    <s v="Yes"/>
    <s v="No"/>
    <s v="No"/>
    <s v="No"/>
    <s v="No"/>
    <x v="0"/>
    <s v="Squamous Cell"/>
    <x v="2"/>
    <n v="6.1"/>
    <s v="No"/>
    <s v="Bronchoscopy"/>
    <s v="Chemotherapy"/>
    <n v="11"/>
    <s v="No"/>
  </r>
  <r>
    <s v="LC-0977"/>
    <n v="2017"/>
    <d v="2017-04-10T00:00:00"/>
    <s v="Americas"/>
    <s v="Brazil"/>
    <n v="72"/>
    <x v="1"/>
    <x v="2"/>
    <n v="0"/>
    <n v="0"/>
    <x v="1"/>
    <x v="1"/>
    <x v="1"/>
    <x v="2"/>
    <x v="0"/>
    <n v="25.7"/>
    <x v="1"/>
    <s v="No"/>
    <x v="0"/>
    <x v="0"/>
    <x v="1"/>
    <s v="EGFR"/>
    <s v="Yes"/>
    <s v="No"/>
    <s v="No"/>
    <s v="No"/>
    <s v="Yes"/>
    <s v="No"/>
    <s v="Yes"/>
    <s v="No"/>
    <s v="No"/>
    <s v="No"/>
    <x v="0"/>
    <s v="Adenocarcinoma"/>
    <x v="2"/>
    <n v="3.3"/>
    <s v="Yes"/>
    <s v="Chest X-Ray"/>
    <s v="Chemo + Radiation"/>
    <n v="13"/>
    <s v="No"/>
  </r>
  <r>
    <s v="LC-0978"/>
    <n v="2023"/>
    <d v="2023-11-17T00:00:00"/>
    <s v="Africa"/>
    <s v="Egypt"/>
    <n v="72"/>
    <x v="1"/>
    <x v="0"/>
    <n v="37"/>
    <n v="36"/>
    <x v="0"/>
    <x v="0"/>
    <x v="0"/>
    <x v="1"/>
    <x v="0"/>
    <n v="27.3"/>
    <x v="0"/>
    <s v="No"/>
    <x v="0"/>
    <x v="0"/>
    <x v="0"/>
    <s v="No Mutation"/>
    <s v="No"/>
    <s v="Yes"/>
    <s v="No"/>
    <s v="Yes"/>
    <s v="No"/>
    <s v="Yes"/>
    <s v="Yes"/>
    <s v="No"/>
    <s v="No"/>
    <s v="Yes"/>
    <x v="1"/>
    <s v="Not Applicable"/>
    <x v="0"/>
    <n v="5.7"/>
    <s v="Yes"/>
    <s v="Chest X-Ray"/>
    <s v="Radiotherapy"/>
    <n v="1"/>
    <s v="No"/>
  </r>
  <r>
    <s v="LC-0979"/>
    <n v="2021"/>
    <d v="2021-07-10T00:00:00"/>
    <s v="Eastern Mediterranean"/>
    <s v="Iraq"/>
    <n v="51"/>
    <x v="1"/>
    <x v="2"/>
    <n v="0"/>
    <n v="0"/>
    <x v="0"/>
    <x v="0"/>
    <x v="1"/>
    <x v="0"/>
    <x v="0"/>
    <n v="25"/>
    <x v="2"/>
    <s v="No"/>
    <x v="1"/>
    <x v="0"/>
    <x v="0"/>
    <s v="No Mutation"/>
    <s v="Yes"/>
    <s v="No"/>
    <s v="Yes"/>
    <s v="Yes"/>
    <s v="Yes"/>
    <s v="Yes"/>
    <s v="No"/>
    <s v="No"/>
    <s v="Yes"/>
    <s v="No"/>
    <x v="0"/>
    <s v="Adenocarcinoma"/>
    <x v="0"/>
    <n v="5.6"/>
    <s v="Yes"/>
    <s v="Chest X-Ray"/>
    <s v="Targeted Therapy"/>
    <n v="12"/>
    <s v="No"/>
  </r>
  <r>
    <s v="LC-0980"/>
    <n v="2025"/>
    <d v="2025-01-18T00:00:00"/>
    <s v="Africa"/>
    <s v="Uganda"/>
    <n v="61"/>
    <x v="1"/>
    <x v="2"/>
    <n v="0"/>
    <n v="0"/>
    <x v="1"/>
    <x v="0"/>
    <x v="0"/>
    <x v="0"/>
    <x v="1"/>
    <n v="23.3"/>
    <x v="2"/>
    <s v="No"/>
    <x v="0"/>
    <x v="0"/>
    <x v="0"/>
    <s v="ALK"/>
    <s v="No"/>
    <s v="No"/>
    <s v="No"/>
    <s v="No"/>
    <s v="No"/>
    <s v="No"/>
    <s v="No"/>
    <s v="No"/>
    <s v="No"/>
    <s v="No"/>
    <x v="0"/>
    <s v="Adenocarcinoma"/>
    <x v="0"/>
    <n v="5.3"/>
    <s v="Yes"/>
    <s v="Biopsy"/>
    <s v="Chemo + Radiation"/>
    <n v="12"/>
    <s v="No"/>
  </r>
  <r>
    <s v="LC-0981"/>
    <n v="2020"/>
    <d v="2020-12-06T00:00:00"/>
    <s v="Western Pacific"/>
    <s v="Malaysia"/>
    <n v="69"/>
    <x v="1"/>
    <x v="2"/>
    <n v="0"/>
    <n v="0"/>
    <x v="0"/>
    <x v="0"/>
    <x v="0"/>
    <x v="1"/>
    <x v="0"/>
    <n v="25.2"/>
    <x v="1"/>
    <s v="No"/>
    <x v="0"/>
    <x v="0"/>
    <x v="0"/>
    <s v="EGFR"/>
    <s v="Yes"/>
    <s v="No"/>
    <s v="No"/>
    <s v="Yes"/>
    <s v="Yes"/>
    <s v="No"/>
    <s v="No"/>
    <s v="No"/>
    <s v="No"/>
    <s v="Yes"/>
    <x v="0"/>
    <s v="Squamous Cell"/>
    <x v="2"/>
    <n v="7.9"/>
    <s v="No"/>
    <s v="CT Scan"/>
    <s v="Chemotherapy"/>
    <n v="21"/>
    <s v="No"/>
  </r>
  <r>
    <s v="LC-0982"/>
    <n v="2022"/>
    <d v="2022-09-16T00:00:00"/>
    <s v="Western Pacific"/>
    <s v="China"/>
    <n v="63"/>
    <x v="0"/>
    <x v="2"/>
    <n v="0"/>
    <n v="0"/>
    <x v="0"/>
    <x v="1"/>
    <x v="0"/>
    <x v="1"/>
    <x v="2"/>
    <n v="32.9"/>
    <x v="2"/>
    <s v="No"/>
    <x v="0"/>
    <x v="1"/>
    <x v="0"/>
    <s v="No Mutation"/>
    <s v="Yes"/>
    <s v="No"/>
    <s v="Yes"/>
    <s v="No"/>
    <s v="Yes"/>
    <s v="No"/>
    <s v="No"/>
    <s v="No"/>
    <s v="No"/>
    <s v="No"/>
    <x v="0"/>
    <s v="Adenocarcinoma"/>
    <x v="0"/>
    <n v="6.7"/>
    <s v="Yes"/>
    <s v="CT Scan"/>
    <s v="Chemotherapy"/>
    <n v="7"/>
    <s v="No"/>
  </r>
  <r>
    <s v="LC-0983"/>
    <n v="2022"/>
    <d v="2022-06-21T00:00:00"/>
    <s v="Western Pacific"/>
    <s v="Malaysia"/>
    <n v="61"/>
    <x v="0"/>
    <x v="2"/>
    <n v="0"/>
    <n v="0"/>
    <x v="1"/>
    <x v="0"/>
    <x v="0"/>
    <x v="0"/>
    <x v="2"/>
    <n v="35.700000000000003"/>
    <x v="0"/>
    <s v="No"/>
    <x v="0"/>
    <x v="0"/>
    <x v="0"/>
    <s v="No Mutation"/>
    <s v="No"/>
    <s v="No"/>
    <s v="No"/>
    <s v="No"/>
    <s v="Yes"/>
    <s v="No"/>
    <s v="Yes"/>
    <s v="No"/>
    <s v="Yes"/>
    <s v="No"/>
    <x v="0"/>
    <s v="Large Cell"/>
    <x v="3"/>
    <n v="4.5"/>
    <s v="No"/>
    <s v="Bronchoscopy"/>
    <s v="Chemotherapy"/>
    <n v="50"/>
    <s v="Yes"/>
  </r>
  <r>
    <s v="LC-0984"/>
    <n v="2024"/>
    <d v="2024-09-11T00:00:00"/>
    <s v="Western Pacific"/>
    <s v="Malaysia"/>
    <n v="55"/>
    <x v="0"/>
    <x v="2"/>
    <n v="0"/>
    <n v="0"/>
    <x v="0"/>
    <x v="1"/>
    <x v="0"/>
    <x v="2"/>
    <x v="0"/>
    <n v="27.7"/>
    <x v="2"/>
    <s v="No"/>
    <x v="0"/>
    <x v="0"/>
    <x v="0"/>
    <s v="No Mutation"/>
    <s v="No"/>
    <s v="No"/>
    <s v="Yes"/>
    <s v="No"/>
    <s v="Yes"/>
    <s v="No"/>
    <s v="No"/>
    <s v="No"/>
    <s v="No"/>
    <s v="No"/>
    <x v="0"/>
    <s v="Adenocarcinoma"/>
    <x v="1"/>
    <n v="1.9"/>
    <s v="No"/>
    <s v="LDCT Screening"/>
    <s v="Surgery + Chemotherapy"/>
    <n v="89"/>
    <s v="Yes"/>
  </r>
  <r>
    <s v="LC-0985"/>
    <n v="2016"/>
    <d v="2016-07-05T00:00:00"/>
    <s v="Western Pacific"/>
    <s v="Philippines"/>
    <n v="47"/>
    <x v="0"/>
    <x v="1"/>
    <n v="5"/>
    <n v="15"/>
    <x v="1"/>
    <x v="1"/>
    <x v="1"/>
    <x v="2"/>
    <x v="0"/>
    <n v="29.5"/>
    <x v="0"/>
    <s v="Yes"/>
    <x v="0"/>
    <x v="0"/>
    <x v="0"/>
    <s v="RET"/>
    <s v="No"/>
    <s v="No"/>
    <s v="Yes"/>
    <s v="No"/>
    <s v="No"/>
    <s v="Yes"/>
    <s v="Yes"/>
    <s v="No"/>
    <s v="No"/>
    <s v="Yes"/>
    <x v="0"/>
    <s v="Squamous Cell"/>
    <x v="3"/>
    <n v="3.6"/>
    <s v="No"/>
    <s v="Chest X-Ray"/>
    <s v="Surgery + Chemotherapy"/>
    <n v="29"/>
    <s v="No"/>
  </r>
  <r>
    <s v="LC-0986"/>
    <n v="2016"/>
    <d v="2016-07-06T00:00:00"/>
    <s v="South-East Asia"/>
    <s v="Timor-Leste"/>
    <n v="64"/>
    <x v="0"/>
    <x v="2"/>
    <n v="0"/>
    <n v="0"/>
    <x v="0"/>
    <x v="0"/>
    <x v="0"/>
    <x v="1"/>
    <x v="1"/>
    <n v="27.9"/>
    <x v="2"/>
    <s v="No"/>
    <x v="0"/>
    <x v="0"/>
    <x v="0"/>
    <s v="EGFR"/>
    <s v="No"/>
    <s v="No"/>
    <s v="No"/>
    <s v="No"/>
    <s v="No"/>
    <s v="Yes"/>
    <s v="No"/>
    <s v="No"/>
    <s v="No"/>
    <s v="No"/>
    <x v="1"/>
    <s v="Not Applicable"/>
    <x v="3"/>
    <n v="5.2"/>
    <s v="No"/>
    <s v="MRI"/>
    <s v="Targeted Therapy"/>
    <n v="10"/>
    <s v="Yes"/>
  </r>
  <r>
    <s v="LC-0987"/>
    <n v="2022"/>
    <d v="2022-08-08T00:00:00"/>
    <s v="Europe"/>
    <s v="Italy"/>
    <n v="53"/>
    <x v="0"/>
    <x v="2"/>
    <n v="0"/>
    <n v="0"/>
    <x v="0"/>
    <x v="1"/>
    <x v="0"/>
    <x v="1"/>
    <x v="0"/>
    <n v="20.6"/>
    <x v="2"/>
    <s v="No"/>
    <x v="0"/>
    <x v="0"/>
    <x v="0"/>
    <s v="No Mutation"/>
    <s v="No"/>
    <s v="Yes"/>
    <s v="No"/>
    <s v="No"/>
    <s v="No"/>
    <s v="No"/>
    <s v="Yes"/>
    <s v="No"/>
    <s v="No"/>
    <s v="Yes"/>
    <x v="0"/>
    <s v="Adenocarcinoma"/>
    <x v="2"/>
    <n v="5.7"/>
    <s v="No"/>
    <s v="PET Scan"/>
    <s v="Chemotherapy"/>
    <n v="14"/>
    <s v="Yes"/>
  </r>
  <r>
    <s v="LC-0988"/>
    <n v="2019"/>
    <d v="2019-05-28T00:00:00"/>
    <s v="South-East Asia"/>
    <s v="Indonesia"/>
    <n v="74"/>
    <x v="1"/>
    <x v="1"/>
    <n v="10"/>
    <n v="11"/>
    <x v="0"/>
    <x v="0"/>
    <x v="0"/>
    <x v="0"/>
    <x v="1"/>
    <n v="27.7"/>
    <x v="1"/>
    <s v="No"/>
    <x v="0"/>
    <x v="0"/>
    <x v="0"/>
    <s v="No Mutation"/>
    <s v="Yes"/>
    <s v="No"/>
    <s v="No"/>
    <s v="No"/>
    <s v="Yes"/>
    <s v="No"/>
    <s v="Yes"/>
    <s v="No"/>
    <s v="No"/>
    <s v="No"/>
    <x v="0"/>
    <s v="Large Cell"/>
    <x v="1"/>
    <n v="3"/>
    <s v="No"/>
    <s v="Bronchoscopy"/>
    <s v="Surgery"/>
    <n v="60"/>
    <s v="No"/>
  </r>
  <r>
    <s v="LC-0989"/>
    <n v="2021"/>
    <d v="2021-08-02T00:00:00"/>
    <s v="South-East Asia"/>
    <s v="Timor-Leste"/>
    <n v="53"/>
    <x v="0"/>
    <x v="1"/>
    <n v="24"/>
    <n v="15"/>
    <x v="0"/>
    <x v="0"/>
    <x v="0"/>
    <x v="0"/>
    <x v="0"/>
    <n v="25.6"/>
    <x v="1"/>
    <s v="No"/>
    <x v="0"/>
    <x v="0"/>
    <x v="0"/>
    <s v="No Mutation"/>
    <s v="No"/>
    <s v="No"/>
    <s v="No"/>
    <s v="No"/>
    <s v="Yes"/>
    <s v="No"/>
    <s v="No"/>
    <s v="No"/>
    <s v="No"/>
    <s v="No"/>
    <x v="0"/>
    <s v="Adenocarcinoma"/>
    <x v="3"/>
    <n v="3.8"/>
    <s v="No"/>
    <s v="CT Scan"/>
    <s v="Chemotherapy"/>
    <n v="34"/>
    <s v="No"/>
  </r>
  <r>
    <s v="LC-0990"/>
    <n v="2016"/>
    <d v="2016-07-14T00:00:00"/>
    <s v="Western Pacific"/>
    <s v="Singapore"/>
    <n v="45"/>
    <x v="0"/>
    <x v="2"/>
    <n v="0"/>
    <n v="0"/>
    <x v="0"/>
    <x v="0"/>
    <x v="0"/>
    <x v="1"/>
    <x v="1"/>
    <n v="21.3"/>
    <x v="0"/>
    <s v="No"/>
    <x v="0"/>
    <x v="0"/>
    <x v="0"/>
    <s v="No Mutation"/>
    <s v="No"/>
    <s v="Yes"/>
    <s v="No"/>
    <s v="Yes"/>
    <s v="Yes"/>
    <s v="No"/>
    <s v="No"/>
    <s v="No"/>
    <s v="No"/>
    <s v="Yes"/>
    <x v="0"/>
    <s v="Adenocarcinoma"/>
    <x v="2"/>
    <n v="3"/>
    <s v="No"/>
    <s v="PET Scan"/>
    <s v="Immunotherapy"/>
    <n v="30"/>
    <s v="Yes"/>
  </r>
  <r>
    <s v="LC-0991"/>
    <n v="2020"/>
    <d v="2020-09-05T00:00:00"/>
    <s v="Western Pacific"/>
    <s v="Malaysia"/>
    <n v="60"/>
    <x v="0"/>
    <x v="2"/>
    <n v="0"/>
    <n v="0"/>
    <x v="1"/>
    <x v="0"/>
    <x v="1"/>
    <x v="1"/>
    <x v="0"/>
    <n v="29.5"/>
    <x v="0"/>
    <s v="No"/>
    <x v="0"/>
    <x v="0"/>
    <x v="0"/>
    <s v="No Mutation"/>
    <s v="No"/>
    <s v="No"/>
    <s v="No"/>
    <s v="No"/>
    <s v="Yes"/>
    <s v="No"/>
    <s v="No"/>
    <s v="No"/>
    <s v="No"/>
    <s v="No"/>
    <x v="0"/>
    <s v="Adenocarcinoma"/>
    <x v="1"/>
    <n v="2.2000000000000002"/>
    <s v="No"/>
    <s v="LDCT Screening"/>
    <s v="Surgery + Chemotherapy"/>
    <n v="70"/>
    <s v="Yes"/>
  </r>
  <r>
    <s v="LC-0992"/>
    <n v="2025"/>
    <d v="2025-04-09T00:00:00"/>
    <s v="Western Pacific"/>
    <s v="Australia"/>
    <n v="60"/>
    <x v="1"/>
    <x v="2"/>
    <n v="0"/>
    <n v="0"/>
    <x v="1"/>
    <x v="0"/>
    <x v="0"/>
    <x v="0"/>
    <x v="0"/>
    <n v="17.5"/>
    <x v="0"/>
    <s v="No"/>
    <x v="0"/>
    <x v="0"/>
    <x v="0"/>
    <s v="EGFR"/>
    <s v="No"/>
    <s v="Yes"/>
    <s v="No"/>
    <s v="No"/>
    <s v="Yes"/>
    <s v="No"/>
    <s v="No"/>
    <s v="No"/>
    <s v="No"/>
    <s v="No"/>
    <x v="0"/>
    <s v="Squamous Cell"/>
    <x v="1"/>
    <n v="2"/>
    <s v="No"/>
    <s v="CT Scan"/>
    <s v="Surgery"/>
    <n v="57"/>
    <s v="Yes"/>
  </r>
  <r>
    <s v="LC-0993"/>
    <n v="2022"/>
    <d v="2022-06-21T00:00:00"/>
    <s v="Eastern Mediterranean"/>
    <s v="Iran"/>
    <n v="65"/>
    <x v="1"/>
    <x v="2"/>
    <n v="0"/>
    <n v="0"/>
    <x v="0"/>
    <x v="0"/>
    <x v="0"/>
    <x v="2"/>
    <x v="0"/>
    <n v="26.1"/>
    <x v="2"/>
    <s v="No"/>
    <x v="0"/>
    <x v="0"/>
    <x v="0"/>
    <s v="HER2"/>
    <s v="Yes"/>
    <s v="Yes"/>
    <s v="Yes"/>
    <s v="No"/>
    <s v="Yes"/>
    <s v="No"/>
    <s v="No"/>
    <s v="No"/>
    <s v="No"/>
    <s v="No"/>
    <x v="0"/>
    <s v="Adenocarcinoma"/>
    <x v="0"/>
    <n v="9.9"/>
    <s v="Yes"/>
    <s v="MRI"/>
    <s v="Immunotherapy"/>
    <n v="8"/>
    <s v="No"/>
  </r>
  <r>
    <s v="LC-0994"/>
    <n v="2020"/>
    <d v="2020-08-28T00:00:00"/>
    <s v="Western Pacific"/>
    <s v="Vietnam"/>
    <n v="63"/>
    <x v="1"/>
    <x v="0"/>
    <n v="33"/>
    <n v="33"/>
    <x v="0"/>
    <x v="1"/>
    <x v="0"/>
    <x v="1"/>
    <x v="2"/>
    <n v="21.2"/>
    <x v="1"/>
    <s v="No"/>
    <x v="0"/>
    <x v="0"/>
    <x v="0"/>
    <s v="ROS1"/>
    <s v="Yes"/>
    <s v="Yes"/>
    <s v="Yes"/>
    <s v="No"/>
    <s v="Yes"/>
    <s v="No"/>
    <s v="Yes"/>
    <s v="No"/>
    <s v="No"/>
    <s v="No"/>
    <x v="1"/>
    <s v="Not Applicable"/>
    <x v="0"/>
    <n v="6.7"/>
    <s v="Yes"/>
    <s v="Bronchoscopy"/>
    <s v="Immunotherapy"/>
    <n v="10"/>
    <s v="No"/>
  </r>
  <r>
    <s v="LC-0995"/>
    <n v="2022"/>
    <d v="2022-02-18T00:00:00"/>
    <s v="South-East Asia"/>
    <s v="Thailand"/>
    <n v="49"/>
    <x v="0"/>
    <x v="2"/>
    <n v="0"/>
    <n v="0"/>
    <x v="0"/>
    <x v="0"/>
    <x v="0"/>
    <x v="0"/>
    <x v="1"/>
    <n v="24.7"/>
    <x v="2"/>
    <s v="No"/>
    <x v="0"/>
    <x v="0"/>
    <x v="0"/>
    <s v="No Mutation"/>
    <s v="No"/>
    <s v="No"/>
    <s v="No"/>
    <s v="No"/>
    <s v="No"/>
    <s v="No"/>
    <s v="No"/>
    <s v="No"/>
    <s v="No"/>
    <s v="No"/>
    <x v="0"/>
    <s v="Adenocarcinoma"/>
    <x v="0"/>
    <n v="7.8"/>
    <s v="Yes"/>
    <s v="Bronchoscopy"/>
    <s v="Targeted Therapy"/>
    <n v="8"/>
    <s v="Yes"/>
  </r>
  <r>
    <s v="LC-0996"/>
    <n v="2022"/>
    <d v="2022-01-09T00:00:00"/>
    <s v="South-East Asia"/>
    <s v="Nepal"/>
    <n v="78"/>
    <x v="1"/>
    <x v="2"/>
    <n v="0"/>
    <n v="0"/>
    <x v="0"/>
    <x v="0"/>
    <x v="0"/>
    <x v="0"/>
    <x v="0"/>
    <n v="25.6"/>
    <x v="2"/>
    <s v="No"/>
    <x v="0"/>
    <x v="0"/>
    <x v="0"/>
    <s v="No Mutation"/>
    <s v="No"/>
    <s v="No"/>
    <s v="No"/>
    <s v="No"/>
    <s v="Yes"/>
    <s v="No"/>
    <s v="No"/>
    <s v="No"/>
    <s v="No"/>
    <s v="No"/>
    <x v="0"/>
    <s v="Squamous Cell"/>
    <x v="1"/>
    <n v="2.1"/>
    <s v="No"/>
    <s v="Chest X-Ray"/>
    <s v="Surgery"/>
    <n v="47"/>
    <s v="Yes"/>
  </r>
  <r>
    <s v="LC-0997"/>
    <n v="2019"/>
    <d v="2019-11-20T00:00:00"/>
    <s v="South-East Asia"/>
    <s v="Bhutan"/>
    <n v="56"/>
    <x v="0"/>
    <x v="2"/>
    <n v="0"/>
    <n v="0"/>
    <x v="1"/>
    <x v="0"/>
    <x v="0"/>
    <x v="1"/>
    <x v="0"/>
    <n v="26.1"/>
    <x v="1"/>
    <s v="No"/>
    <x v="1"/>
    <x v="0"/>
    <x v="0"/>
    <s v="ALK"/>
    <s v="No"/>
    <s v="No"/>
    <s v="No"/>
    <s v="No"/>
    <s v="No"/>
    <s v="No"/>
    <s v="Yes"/>
    <s v="No"/>
    <s v="No"/>
    <s v="Yes"/>
    <x v="0"/>
    <s v="Adenocarcinoma"/>
    <x v="1"/>
    <n v="2.2000000000000002"/>
    <s v="No"/>
    <s v="CT Scan"/>
    <s v="Radiotherapy"/>
    <n v="78"/>
    <s v="No"/>
  </r>
  <r>
    <s v="LC-0998"/>
    <n v="2022"/>
    <d v="2022-01-28T00:00:00"/>
    <s v="Western Pacific"/>
    <s v="Japan"/>
    <n v="62"/>
    <x v="0"/>
    <x v="2"/>
    <n v="0"/>
    <n v="0"/>
    <x v="0"/>
    <x v="0"/>
    <x v="0"/>
    <x v="1"/>
    <x v="0"/>
    <n v="29.6"/>
    <x v="0"/>
    <s v="No"/>
    <x v="0"/>
    <x v="0"/>
    <x v="0"/>
    <s v="No Mutation"/>
    <s v="Yes"/>
    <s v="No"/>
    <s v="No"/>
    <s v="No"/>
    <s v="No"/>
    <s v="No"/>
    <s v="No"/>
    <s v="No"/>
    <s v="No"/>
    <s v="No"/>
    <x v="0"/>
    <s v="Adenocarcinoma"/>
    <x v="3"/>
    <n v="4.3"/>
    <s v="No"/>
    <s v="CT Scan"/>
    <s v="Surgery"/>
    <n v="27"/>
    <s v="No"/>
  </r>
  <r>
    <s v="LC-0999"/>
    <n v="2025"/>
    <d v="2025-04-26T00:00:00"/>
    <s v="Africa"/>
    <s v="Uganda"/>
    <n v="54"/>
    <x v="0"/>
    <x v="2"/>
    <n v="0"/>
    <n v="0"/>
    <x v="1"/>
    <x v="0"/>
    <x v="0"/>
    <x v="1"/>
    <x v="0"/>
    <n v="27.8"/>
    <x v="1"/>
    <s v="No"/>
    <x v="0"/>
    <x v="0"/>
    <x v="0"/>
    <s v="No Mutation"/>
    <s v="No"/>
    <s v="No"/>
    <s v="Yes"/>
    <s v="No"/>
    <s v="Yes"/>
    <s v="No"/>
    <s v="Yes"/>
    <s v="No"/>
    <s v="No"/>
    <s v="No"/>
    <x v="0"/>
    <s v="Squamous Cell"/>
    <x v="0"/>
    <n v="8.8000000000000007"/>
    <s v="Yes"/>
    <s v="CT Scan"/>
    <s v="Chemotherapy"/>
    <n v="6"/>
    <s v="No"/>
  </r>
  <r>
    <s v="LC-1000"/>
    <n v="2018"/>
    <d v="2018-12-22T00:00:00"/>
    <s v="Europe"/>
    <s v="Netherlands"/>
    <n v="62"/>
    <x v="1"/>
    <x v="2"/>
    <n v="0"/>
    <n v="0"/>
    <x v="0"/>
    <x v="0"/>
    <x v="0"/>
    <x v="1"/>
    <x v="2"/>
    <n v="34.9"/>
    <x v="0"/>
    <s v="No"/>
    <x v="0"/>
    <x v="1"/>
    <x v="0"/>
    <s v="ALK"/>
    <s v="No"/>
    <s v="Yes"/>
    <s v="No"/>
    <s v="No"/>
    <s v="Yes"/>
    <s v="No"/>
    <s v="No"/>
    <s v="No"/>
    <s v="No"/>
    <s v="No"/>
    <x v="0"/>
    <s v="Adenocarcinoma"/>
    <x v="1"/>
    <n v="2.2000000000000002"/>
    <s v="No"/>
    <s v="Chest X-Ray"/>
    <s v="Radiotherapy"/>
    <n v="51"/>
    <s v="No"/>
  </r>
  <r>
    <s v="LC-1001"/>
    <n v="2023"/>
    <d v="2023-04-16T00:00:00"/>
    <s v="Africa"/>
    <s v="Egypt"/>
    <n v="76"/>
    <x v="0"/>
    <x v="2"/>
    <n v="0"/>
    <n v="0"/>
    <x v="1"/>
    <x v="1"/>
    <x v="0"/>
    <x v="1"/>
    <x v="0"/>
    <n v="33.9"/>
    <x v="0"/>
    <s v="No"/>
    <x v="0"/>
    <x v="0"/>
    <x v="0"/>
    <s v="No Mutation"/>
    <s v="No"/>
    <s v="No"/>
    <s v="No"/>
    <s v="No"/>
    <s v="Yes"/>
    <s v="No"/>
    <s v="No"/>
    <s v="Yes"/>
    <s v="No"/>
    <s v="Yes"/>
    <x v="0"/>
    <s v="Squamous Cell"/>
    <x v="2"/>
    <n v="7"/>
    <s v="No"/>
    <s v="Bronchoscopy"/>
    <s v="Chemo + Radiation"/>
    <n v="28"/>
    <s v="No"/>
  </r>
  <r>
    <s v="LC-1002"/>
    <n v="2024"/>
    <d v="2024-06-10T00:00:00"/>
    <s v="South-East Asia"/>
    <s v="India"/>
    <n v="62"/>
    <x v="1"/>
    <x v="0"/>
    <n v="10"/>
    <n v="27"/>
    <x v="1"/>
    <x v="0"/>
    <x v="1"/>
    <x v="1"/>
    <x v="0"/>
    <n v="24.8"/>
    <x v="2"/>
    <s v="No"/>
    <x v="0"/>
    <x v="0"/>
    <x v="0"/>
    <s v="No Mutation"/>
    <s v="Yes"/>
    <s v="Yes"/>
    <s v="Yes"/>
    <s v="No"/>
    <s v="No"/>
    <s v="Yes"/>
    <s v="Yes"/>
    <s v="Yes"/>
    <s v="No"/>
    <s v="No"/>
    <x v="1"/>
    <s v="Not Applicable"/>
    <x v="2"/>
    <n v="6.8"/>
    <s v="No"/>
    <s v="Bronchoscopy"/>
    <s v="Chemotherapy"/>
    <n v="17"/>
    <s v="No"/>
  </r>
  <r>
    <s v="LC-1003"/>
    <n v="2023"/>
    <d v="2023-04-07T00:00:00"/>
    <s v="Europe"/>
    <s v="Germany"/>
    <n v="75"/>
    <x v="1"/>
    <x v="0"/>
    <n v="5"/>
    <n v="32"/>
    <x v="0"/>
    <x v="0"/>
    <x v="0"/>
    <x v="2"/>
    <x v="0"/>
    <n v="21.2"/>
    <x v="2"/>
    <s v="Yes"/>
    <x v="0"/>
    <x v="0"/>
    <x v="0"/>
    <s v="EGFR"/>
    <s v="No"/>
    <s v="Yes"/>
    <s v="Yes"/>
    <s v="Yes"/>
    <s v="Yes"/>
    <s v="Yes"/>
    <s v="Yes"/>
    <s v="No"/>
    <s v="No"/>
    <s v="No"/>
    <x v="1"/>
    <s v="Not Applicable"/>
    <x v="0"/>
    <n v="6.9"/>
    <s v="Yes"/>
    <s v="CT Scan"/>
    <s v="Chemo + Radiation"/>
    <n v="2"/>
    <s v="No"/>
  </r>
  <r>
    <s v="LC-1004"/>
    <n v="2015"/>
    <d v="2015-12-25T00:00:00"/>
    <s v="South-East Asia"/>
    <s v="Maldives"/>
    <n v="75"/>
    <x v="1"/>
    <x v="2"/>
    <n v="0"/>
    <n v="0"/>
    <x v="1"/>
    <x v="0"/>
    <x v="0"/>
    <x v="1"/>
    <x v="1"/>
    <n v="19.100000000000001"/>
    <x v="0"/>
    <s v="No"/>
    <x v="0"/>
    <x v="0"/>
    <x v="0"/>
    <s v="ALK"/>
    <s v="No"/>
    <s v="No"/>
    <s v="No"/>
    <s v="Yes"/>
    <s v="No"/>
    <s v="No"/>
    <s v="Yes"/>
    <s v="No"/>
    <s v="No"/>
    <s v="No"/>
    <x v="1"/>
    <s v="Not Applicable"/>
    <x v="3"/>
    <n v="2.8"/>
    <s v="No"/>
    <s v="Bronchoscopy"/>
    <s v="Surgery + Chemotherapy"/>
    <n v="33"/>
    <s v="Yes"/>
  </r>
  <r>
    <s v="LC-1005"/>
    <n v="2021"/>
    <d v="2021-04-23T00:00:00"/>
    <s v="Eastern Mediterranean"/>
    <s v="Kuwait"/>
    <n v="67"/>
    <x v="1"/>
    <x v="2"/>
    <n v="0"/>
    <n v="0"/>
    <x v="0"/>
    <x v="0"/>
    <x v="0"/>
    <x v="2"/>
    <x v="2"/>
    <n v="21.8"/>
    <x v="0"/>
    <s v="No"/>
    <x v="0"/>
    <x v="0"/>
    <x v="0"/>
    <s v="ALK"/>
    <s v="No"/>
    <s v="Yes"/>
    <s v="No"/>
    <s v="No"/>
    <s v="Yes"/>
    <s v="Yes"/>
    <s v="Yes"/>
    <s v="No"/>
    <s v="No"/>
    <s v="No"/>
    <x v="0"/>
    <s v="Squamous Cell"/>
    <x v="1"/>
    <n v="2"/>
    <s v="No"/>
    <s v="CT Scan"/>
    <s v="Surgery + Chemotherapy"/>
    <n v="83"/>
    <s v="Yes"/>
  </r>
  <r>
    <s v="LC-1006"/>
    <n v="2025"/>
    <d v="2025-12-07T00:00:00"/>
    <s v="South-East Asia"/>
    <s v="Nepal"/>
    <n v="65"/>
    <x v="1"/>
    <x v="2"/>
    <n v="0"/>
    <n v="0"/>
    <x v="0"/>
    <x v="0"/>
    <x v="0"/>
    <x v="1"/>
    <x v="2"/>
    <n v="23.8"/>
    <x v="1"/>
    <s v="No"/>
    <x v="0"/>
    <x v="0"/>
    <x v="0"/>
    <s v="ROS1"/>
    <s v="Yes"/>
    <s v="Yes"/>
    <s v="No"/>
    <s v="No"/>
    <s v="No"/>
    <s v="No"/>
    <s v="No"/>
    <s v="No"/>
    <s v="No"/>
    <s v="Yes"/>
    <x v="0"/>
    <s v="Adenocarcinoma"/>
    <x v="1"/>
    <n v="1.8"/>
    <s v="No"/>
    <s v="LDCT Screening"/>
    <s v="Surgery + Chemotherapy"/>
    <n v="52"/>
    <s v="No"/>
  </r>
  <r>
    <s v="LC-1007"/>
    <n v="2016"/>
    <d v="2016-04-18T00:00:00"/>
    <s v="Americas"/>
    <s v="Colombia"/>
    <n v="55"/>
    <x v="1"/>
    <x v="0"/>
    <n v="25"/>
    <n v="25"/>
    <x v="1"/>
    <x v="0"/>
    <x v="1"/>
    <x v="0"/>
    <x v="1"/>
    <n v="29.4"/>
    <x v="0"/>
    <s v="No"/>
    <x v="0"/>
    <x v="0"/>
    <x v="1"/>
    <s v="HER2"/>
    <s v="Yes"/>
    <s v="Yes"/>
    <s v="Yes"/>
    <s v="Yes"/>
    <s v="No"/>
    <s v="Yes"/>
    <s v="No"/>
    <s v="Yes"/>
    <s v="No"/>
    <s v="No"/>
    <x v="0"/>
    <s v="Large Cell"/>
    <x v="0"/>
    <n v="7.5"/>
    <s v="Yes"/>
    <s v="PET Scan"/>
    <s v="Chemotherapy"/>
    <n v="9"/>
    <s v="No"/>
  </r>
  <r>
    <s v="LC-1008"/>
    <n v="2025"/>
    <d v="2025-05-13T00:00:00"/>
    <s v="Western Pacific"/>
    <s v="New Zealand"/>
    <n v="60"/>
    <x v="1"/>
    <x v="2"/>
    <n v="0"/>
    <n v="0"/>
    <x v="0"/>
    <x v="1"/>
    <x v="0"/>
    <x v="2"/>
    <x v="2"/>
    <n v="32.1"/>
    <x v="2"/>
    <s v="No"/>
    <x v="0"/>
    <x v="0"/>
    <x v="0"/>
    <s v="No Mutation"/>
    <s v="Yes"/>
    <s v="No"/>
    <s v="Yes"/>
    <s v="Yes"/>
    <s v="Yes"/>
    <s v="Yes"/>
    <s v="No"/>
    <s v="No"/>
    <s v="Yes"/>
    <s v="Yes"/>
    <x v="0"/>
    <s v="Squamous Cell"/>
    <x v="2"/>
    <n v="6.4"/>
    <s v="No"/>
    <s v="CT Scan"/>
    <s v="Surgery + Chemotherapy"/>
    <n v="16"/>
    <s v="No"/>
  </r>
  <r>
    <s v="LC-1009"/>
    <n v="2025"/>
    <d v="2025-09-21T00:00:00"/>
    <s v="Europe"/>
    <s v="Russia"/>
    <n v="52"/>
    <x v="0"/>
    <x v="2"/>
    <n v="0"/>
    <n v="0"/>
    <x v="1"/>
    <x v="0"/>
    <x v="0"/>
    <x v="0"/>
    <x v="2"/>
    <n v="22"/>
    <x v="1"/>
    <s v="No"/>
    <x v="0"/>
    <x v="0"/>
    <x v="0"/>
    <s v="EGFR"/>
    <s v="Yes"/>
    <s v="No"/>
    <s v="Yes"/>
    <s v="Yes"/>
    <s v="Yes"/>
    <s v="No"/>
    <s v="No"/>
    <s v="Yes"/>
    <s v="Yes"/>
    <s v="No"/>
    <x v="0"/>
    <s v="Adenocarcinoma"/>
    <x v="2"/>
    <n v="5.2"/>
    <s v="No"/>
    <s v="Biopsy"/>
    <s v="Immunotherapy"/>
    <n v="4"/>
    <s v="No"/>
  </r>
  <r>
    <s v="LC-1010"/>
    <n v="2018"/>
    <d v="2018-05-09T00:00:00"/>
    <s v="Europe"/>
    <s v="Russia"/>
    <n v="39"/>
    <x v="0"/>
    <x v="2"/>
    <n v="0"/>
    <n v="0"/>
    <x v="1"/>
    <x v="0"/>
    <x v="0"/>
    <x v="0"/>
    <x v="0"/>
    <n v="25.6"/>
    <x v="1"/>
    <s v="No"/>
    <x v="0"/>
    <x v="0"/>
    <x v="1"/>
    <s v="RET"/>
    <s v="Yes"/>
    <s v="No"/>
    <s v="No"/>
    <s v="No"/>
    <s v="Yes"/>
    <s v="No"/>
    <s v="No"/>
    <s v="Yes"/>
    <s v="No"/>
    <s v="No"/>
    <x v="0"/>
    <s v="Squamous Cell"/>
    <x v="1"/>
    <n v="1.5"/>
    <s v="No"/>
    <s v="LDCT Screening"/>
    <s v="Radiotherapy"/>
    <n v="57"/>
    <s v="Yes"/>
  </r>
  <r>
    <s v="LC-1011"/>
    <n v="2021"/>
    <d v="2021-09-16T00:00:00"/>
    <s v="Western Pacific"/>
    <s v="New Zealand"/>
    <n v="57"/>
    <x v="0"/>
    <x v="2"/>
    <n v="0"/>
    <n v="0"/>
    <x v="1"/>
    <x v="0"/>
    <x v="1"/>
    <x v="1"/>
    <x v="0"/>
    <n v="29.4"/>
    <x v="0"/>
    <s v="Yes"/>
    <x v="0"/>
    <x v="0"/>
    <x v="0"/>
    <s v="No Mutation"/>
    <s v="No"/>
    <s v="Yes"/>
    <s v="No"/>
    <s v="Yes"/>
    <s v="Yes"/>
    <s v="No"/>
    <s v="No"/>
    <s v="No"/>
    <s v="No"/>
    <s v="No"/>
    <x v="0"/>
    <s v="Adenocarcinoma"/>
    <x v="1"/>
    <n v="2.1"/>
    <s v="No"/>
    <s v="CT Scan"/>
    <s v="Surgery"/>
    <n v="52"/>
    <s v="Yes"/>
  </r>
  <r>
    <s v="LC-1012"/>
    <n v="2020"/>
    <d v="2020-02-26T00:00:00"/>
    <s v="Western Pacific"/>
    <s v="New Zealand"/>
    <n v="59"/>
    <x v="0"/>
    <x v="2"/>
    <n v="0"/>
    <n v="0"/>
    <x v="1"/>
    <x v="0"/>
    <x v="0"/>
    <x v="1"/>
    <x v="2"/>
    <n v="29"/>
    <x v="1"/>
    <s v="No"/>
    <x v="0"/>
    <x v="0"/>
    <x v="0"/>
    <s v="No Mutation"/>
    <s v="No"/>
    <s v="No"/>
    <s v="Yes"/>
    <s v="No"/>
    <s v="Yes"/>
    <s v="No"/>
    <s v="No"/>
    <s v="Yes"/>
    <s v="Yes"/>
    <s v="No"/>
    <x v="0"/>
    <s v="Adenocarcinoma"/>
    <x v="1"/>
    <n v="1.5"/>
    <s v="No"/>
    <s v="CT Scan"/>
    <s v="Targeted Therapy"/>
    <n v="80"/>
    <s v="Yes"/>
  </r>
  <r>
    <s v="LC-1013"/>
    <n v="2024"/>
    <d v="2024-06-07T00:00:00"/>
    <s v="Eastern Mediterranean"/>
    <s v="Jordan"/>
    <n v="63"/>
    <x v="1"/>
    <x v="2"/>
    <n v="0"/>
    <n v="0"/>
    <x v="0"/>
    <x v="1"/>
    <x v="1"/>
    <x v="1"/>
    <x v="1"/>
    <n v="26.4"/>
    <x v="1"/>
    <s v="No"/>
    <x v="0"/>
    <x v="0"/>
    <x v="0"/>
    <s v="EGFR"/>
    <s v="No"/>
    <s v="No"/>
    <s v="No"/>
    <s v="No"/>
    <s v="No"/>
    <s v="Yes"/>
    <s v="No"/>
    <s v="Yes"/>
    <s v="No"/>
    <s v="No"/>
    <x v="1"/>
    <s v="Not Applicable"/>
    <x v="2"/>
    <n v="4.2"/>
    <s v="No"/>
    <s v="Biopsy"/>
    <s v="Immunotherapy"/>
    <n v="19"/>
    <s v="Yes"/>
  </r>
  <r>
    <s v="LC-1014"/>
    <n v="2021"/>
    <d v="2021-06-14T00:00:00"/>
    <s v="South-East Asia"/>
    <s v="India"/>
    <n v="65"/>
    <x v="1"/>
    <x v="2"/>
    <n v="0"/>
    <n v="0"/>
    <x v="1"/>
    <x v="0"/>
    <x v="0"/>
    <x v="1"/>
    <x v="0"/>
    <n v="25"/>
    <x v="0"/>
    <s v="No"/>
    <x v="0"/>
    <x v="0"/>
    <x v="0"/>
    <s v="MET"/>
    <s v="No"/>
    <s v="No"/>
    <s v="No"/>
    <s v="No"/>
    <s v="Yes"/>
    <s v="No"/>
    <s v="Yes"/>
    <s v="No"/>
    <s v="No"/>
    <s v="No"/>
    <x v="0"/>
    <s v="Adenocarcinoma"/>
    <x v="2"/>
    <n v="3.8"/>
    <s v="No"/>
    <s v="Chest X-Ray"/>
    <s v="Chemotherapy"/>
    <n v="16"/>
    <s v="No"/>
  </r>
  <r>
    <s v="LC-1015"/>
    <n v="2024"/>
    <d v="2024-10-28T00:00:00"/>
    <s v="Eastern Mediterranean"/>
    <s v="UAE"/>
    <n v="59"/>
    <x v="0"/>
    <x v="2"/>
    <n v="0"/>
    <n v="0"/>
    <x v="1"/>
    <x v="1"/>
    <x v="0"/>
    <x v="0"/>
    <x v="2"/>
    <n v="21.2"/>
    <x v="0"/>
    <s v="No"/>
    <x v="0"/>
    <x v="0"/>
    <x v="0"/>
    <s v="ALK"/>
    <s v="Yes"/>
    <s v="No"/>
    <s v="No"/>
    <s v="No"/>
    <s v="Yes"/>
    <s v="No"/>
    <s v="No"/>
    <s v="No"/>
    <s v="No"/>
    <s v="No"/>
    <x v="0"/>
    <s v="Large Cell"/>
    <x v="3"/>
    <n v="3.5"/>
    <s v="No"/>
    <s v="Chest X-Ray"/>
    <s v="Surgery + Chemotherapy"/>
    <n v="36"/>
    <s v="Yes"/>
  </r>
  <r>
    <s v="LC-1016"/>
    <n v="2016"/>
    <d v="2016-12-05T00:00:00"/>
    <s v="Africa"/>
    <s v="Nigeria"/>
    <n v="66"/>
    <x v="1"/>
    <x v="2"/>
    <n v="0"/>
    <n v="0"/>
    <x v="0"/>
    <x v="1"/>
    <x v="0"/>
    <x v="0"/>
    <x v="2"/>
    <n v="20.9"/>
    <x v="2"/>
    <s v="No"/>
    <x v="0"/>
    <x v="0"/>
    <x v="0"/>
    <s v="BRAF"/>
    <s v="No"/>
    <s v="No"/>
    <s v="No"/>
    <s v="No"/>
    <s v="No"/>
    <s v="No"/>
    <s v="No"/>
    <s v="No"/>
    <s v="No"/>
    <s v="No"/>
    <x v="0"/>
    <s v="Large Cell"/>
    <x v="1"/>
    <n v="2.2000000000000002"/>
    <s v="No"/>
    <s v="Chest X-Ray"/>
    <s v="Surgery"/>
    <n v="70"/>
    <s v="Yes"/>
  </r>
  <r>
    <s v="LC-1017"/>
    <n v="2025"/>
    <d v="2025-05-18T00:00:00"/>
    <s v="Western Pacific"/>
    <s v="Mongolia"/>
    <n v="74"/>
    <x v="1"/>
    <x v="2"/>
    <n v="0"/>
    <n v="0"/>
    <x v="1"/>
    <x v="1"/>
    <x v="1"/>
    <x v="1"/>
    <x v="0"/>
    <n v="23.6"/>
    <x v="0"/>
    <s v="No"/>
    <x v="0"/>
    <x v="0"/>
    <x v="0"/>
    <s v="No Mutation"/>
    <s v="No"/>
    <s v="Yes"/>
    <s v="No"/>
    <s v="No"/>
    <s v="No"/>
    <s v="No"/>
    <s v="No"/>
    <s v="No"/>
    <s v="No"/>
    <s v="No"/>
    <x v="0"/>
    <s v="Squamous Cell"/>
    <x v="3"/>
    <n v="3.7"/>
    <s v="No"/>
    <s v="CT Scan"/>
    <s v="Surgery"/>
    <n v="6"/>
    <s v="No"/>
  </r>
  <r>
    <s v="LC-1018"/>
    <n v="2025"/>
    <d v="2025-10-24T00:00:00"/>
    <s v="Europe"/>
    <s v="Turkey"/>
    <n v="61"/>
    <x v="1"/>
    <x v="2"/>
    <n v="0"/>
    <n v="0"/>
    <x v="0"/>
    <x v="0"/>
    <x v="0"/>
    <x v="0"/>
    <x v="1"/>
    <n v="23.8"/>
    <x v="1"/>
    <s v="No"/>
    <x v="0"/>
    <x v="0"/>
    <x v="0"/>
    <s v="ALK"/>
    <s v="No"/>
    <s v="No"/>
    <s v="No"/>
    <s v="No"/>
    <s v="No"/>
    <s v="No"/>
    <s v="No"/>
    <s v="No"/>
    <s v="No"/>
    <s v="No"/>
    <x v="0"/>
    <s v="Adenocarcinoma"/>
    <x v="0"/>
    <n v="10.7"/>
    <s v="Yes"/>
    <s v="Biopsy"/>
    <s v="Chemotherapy"/>
    <n v="1"/>
    <s v="No"/>
  </r>
  <r>
    <s v="LC-1019"/>
    <n v="2016"/>
    <d v="2016-05-05T00:00:00"/>
    <s v="Americas"/>
    <s v="Mexico"/>
    <n v="40"/>
    <x v="1"/>
    <x v="2"/>
    <n v="0"/>
    <n v="0"/>
    <x v="0"/>
    <x v="0"/>
    <x v="0"/>
    <x v="2"/>
    <x v="0"/>
    <n v="27.3"/>
    <x v="0"/>
    <s v="No"/>
    <x v="0"/>
    <x v="0"/>
    <x v="0"/>
    <s v="BRAF"/>
    <s v="No"/>
    <s v="Yes"/>
    <s v="No"/>
    <s v="No"/>
    <s v="Yes"/>
    <s v="No"/>
    <s v="No"/>
    <s v="No"/>
    <s v="Yes"/>
    <s v="No"/>
    <x v="0"/>
    <s v="Adenocarcinoma"/>
    <x v="2"/>
    <n v="6.9"/>
    <s v="No"/>
    <s v="PET Scan"/>
    <s v="Immunotherapy"/>
    <n v="13"/>
    <s v="No"/>
  </r>
  <r>
    <s v="LC-1020"/>
    <n v="2018"/>
    <d v="2018-06-08T00:00:00"/>
    <s v="Africa"/>
    <s v="Tanzania"/>
    <n v="55"/>
    <x v="0"/>
    <x v="0"/>
    <n v="24"/>
    <n v="20"/>
    <x v="0"/>
    <x v="0"/>
    <x v="0"/>
    <x v="0"/>
    <x v="1"/>
    <n v="25.8"/>
    <x v="0"/>
    <s v="No"/>
    <x v="0"/>
    <x v="0"/>
    <x v="0"/>
    <s v="No Mutation"/>
    <s v="No"/>
    <s v="Yes"/>
    <s v="Yes"/>
    <s v="No"/>
    <s v="Yes"/>
    <s v="Yes"/>
    <s v="Yes"/>
    <s v="No"/>
    <s v="Yes"/>
    <s v="No"/>
    <x v="0"/>
    <s v="Adenocarcinoma"/>
    <x v="2"/>
    <n v="3.9"/>
    <s v="Yes"/>
    <s v="MRI"/>
    <s v="Surgery + Chemotherapy"/>
    <n v="3"/>
    <s v="Yes"/>
  </r>
  <r>
    <s v="LC-1021"/>
    <n v="2019"/>
    <d v="2019-10-27T00:00:00"/>
    <s v="Western Pacific"/>
    <s v="Australia"/>
    <n v="52"/>
    <x v="0"/>
    <x v="0"/>
    <n v="35"/>
    <n v="34"/>
    <x v="1"/>
    <x v="0"/>
    <x v="0"/>
    <x v="1"/>
    <x v="2"/>
    <n v="31"/>
    <x v="2"/>
    <s v="Yes"/>
    <x v="0"/>
    <x v="0"/>
    <x v="0"/>
    <s v="EGFR"/>
    <s v="Yes"/>
    <s v="No"/>
    <s v="Yes"/>
    <s v="No"/>
    <s v="Yes"/>
    <s v="Yes"/>
    <s v="No"/>
    <s v="No"/>
    <s v="No"/>
    <s v="No"/>
    <x v="1"/>
    <s v="Not Applicable"/>
    <x v="2"/>
    <n v="7.5"/>
    <s v="No"/>
    <s v="Biopsy"/>
    <s v="Chemo + Radiation"/>
    <n v="25"/>
    <s v="No"/>
  </r>
  <r>
    <s v="LC-1022"/>
    <n v="2022"/>
    <d v="2022-08-18T00:00:00"/>
    <s v="Western Pacific"/>
    <s v="Vietnam"/>
    <n v="65"/>
    <x v="1"/>
    <x v="2"/>
    <n v="0"/>
    <n v="0"/>
    <x v="1"/>
    <x v="0"/>
    <x v="0"/>
    <x v="1"/>
    <x v="0"/>
    <n v="32.1"/>
    <x v="1"/>
    <s v="No"/>
    <x v="0"/>
    <x v="0"/>
    <x v="0"/>
    <s v="KRAS"/>
    <s v="No"/>
    <s v="Yes"/>
    <s v="Yes"/>
    <s v="No"/>
    <s v="No"/>
    <s v="No"/>
    <s v="No"/>
    <s v="No"/>
    <s v="No"/>
    <s v="No"/>
    <x v="1"/>
    <s v="Not Applicable"/>
    <x v="1"/>
    <n v="3.2"/>
    <s v="No"/>
    <s v="LDCT Screening"/>
    <s v="Surgery + Chemotherapy"/>
    <n v="46"/>
    <s v="No"/>
  </r>
  <r>
    <s v="LC-1023"/>
    <n v="2024"/>
    <d v="2024-05-25T00:00:00"/>
    <s v="Eastern Mediterranean"/>
    <s v="Oman"/>
    <n v="60"/>
    <x v="1"/>
    <x v="2"/>
    <n v="0"/>
    <n v="0"/>
    <x v="1"/>
    <x v="0"/>
    <x v="0"/>
    <x v="2"/>
    <x v="0"/>
    <n v="34.9"/>
    <x v="1"/>
    <s v="No"/>
    <x v="0"/>
    <x v="0"/>
    <x v="0"/>
    <s v="EGFR"/>
    <s v="Yes"/>
    <s v="Yes"/>
    <s v="No"/>
    <s v="No"/>
    <s v="No"/>
    <s v="No"/>
    <s v="Yes"/>
    <s v="No"/>
    <s v="No"/>
    <s v="No"/>
    <x v="0"/>
    <s v="Large Cell"/>
    <x v="3"/>
    <n v="3.7"/>
    <s v="No"/>
    <s v="PET Scan"/>
    <s v="Radiotherapy"/>
    <n v="28"/>
    <s v="Yes"/>
  </r>
  <r>
    <s v="LC-1024"/>
    <n v="2025"/>
    <d v="2025-12-21T00:00:00"/>
    <s v="Americas"/>
    <s v="Peru"/>
    <n v="67"/>
    <x v="1"/>
    <x v="0"/>
    <n v="16"/>
    <n v="24"/>
    <x v="1"/>
    <x v="0"/>
    <x v="0"/>
    <x v="1"/>
    <x v="2"/>
    <n v="25.2"/>
    <x v="0"/>
    <s v="Yes"/>
    <x v="0"/>
    <x v="0"/>
    <x v="0"/>
    <s v="EGFR"/>
    <s v="Yes"/>
    <s v="Yes"/>
    <s v="Yes"/>
    <s v="No"/>
    <s v="Yes"/>
    <s v="Yes"/>
    <s v="No"/>
    <s v="No"/>
    <s v="No"/>
    <s v="No"/>
    <x v="0"/>
    <s v="Adenocarcinoma"/>
    <x v="1"/>
    <n v="1.8"/>
    <s v="No"/>
    <s v="Chest X-Ray"/>
    <s v="Surgery"/>
    <n v="57"/>
    <s v="Yes"/>
  </r>
  <r>
    <s v="LC-1025"/>
    <n v="2018"/>
    <d v="2018-08-06T00:00:00"/>
    <s v="Americas"/>
    <s v="Colombia"/>
    <n v="84"/>
    <x v="0"/>
    <x v="2"/>
    <n v="0"/>
    <n v="0"/>
    <x v="0"/>
    <x v="0"/>
    <x v="1"/>
    <x v="2"/>
    <x v="1"/>
    <n v="29.5"/>
    <x v="0"/>
    <s v="No"/>
    <x v="0"/>
    <x v="1"/>
    <x v="0"/>
    <s v="EGFR"/>
    <s v="Yes"/>
    <s v="No"/>
    <s v="Yes"/>
    <s v="No"/>
    <s v="No"/>
    <s v="No"/>
    <s v="No"/>
    <s v="No"/>
    <s v="No"/>
    <s v="No"/>
    <x v="0"/>
    <s v="Large Cell"/>
    <x v="1"/>
    <n v="0.5"/>
    <s v="No"/>
    <s v="Chest X-Ray"/>
    <s v="Surgery + Chemotherapy"/>
    <n v="55"/>
    <s v="Yes"/>
  </r>
  <r>
    <s v="LC-1026"/>
    <n v="2016"/>
    <d v="2016-03-05T00:00:00"/>
    <s v="Europe"/>
    <s v="Netherlands"/>
    <n v="58"/>
    <x v="0"/>
    <x v="1"/>
    <n v="21"/>
    <n v="24"/>
    <x v="0"/>
    <x v="0"/>
    <x v="0"/>
    <x v="2"/>
    <x v="2"/>
    <n v="25.9"/>
    <x v="1"/>
    <s v="Yes"/>
    <x v="0"/>
    <x v="0"/>
    <x v="1"/>
    <s v="No Mutation"/>
    <s v="Yes"/>
    <s v="No"/>
    <s v="No"/>
    <s v="Yes"/>
    <s v="Yes"/>
    <s v="Yes"/>
    <s v="No"/>
    <s v="No"/>
    <s v="No"/>
    <s v="Yes"/>
    <x v="0"/>
    <s v="Squamous Cell"/>
    <x v="2"/>
    <n v="6.3"/>
    <s v="No"/>
    <s v="Bronchoscopy"/>
    <s v="Immunotherapy"/>
    <n v="14"/>
    <s v="No"/>
  </r>
  <r>
    <s v="LC-1027"/>
    <n v="2025"/>
    <d v="2025-08-06T00:00:00"/>
    <s v="Europe"/>
    <s v="Netherlands"/>
    <n v="65"/>
    <x v="0"/>
    <x v="2"/>
    <n v="0"/>
    <n v="0"/>
    <x v="0"/>
    <x v="0"/>
    <x v="0"/>
    <x v="1"/>
    <x v="2"/>
    <n v="30.3"/>
    <x v="2"/>
    <s v="No"/>
    <x v="0"/>
    <x v="0"/>
    <x v="0"/>
    <s v="No Mutation"/>
    <s v="No"/>
    <s v="Yes"/>
    <s v="No"/>
    <s v="No"/>
    <s v="Yes"/>
    <s v="No"/>
    <s v="No"/>
    <s v="Yes"/>
    <s v="No"/>
    <s v="Yes"/>
    <x v="0"/>
    <s v="Adenocarcinoma"/>
    <x v="0"/>
    <n v="3.5"/>
    <s v="Yes"/>
    <s v="MRI"/>
    <s v="Targeted Therapy"/>
    <n v="4"/>
    <s v="No"/>
  </r>
  <r>
    <s v="LC-1028"/>
    <n v="2016"/>
    <d v="2016-11-02T00:00:00"/>
    <s v="Europe"/>
    <s v="Netherlands"/>
    <n v="52"/>
    <x v="0"/>
    <x v="2"/>
    <n v="0"/>
    <n v="0"/>
    <x v="1"/>
    <x v="1"/>
    <x v="0"/>
    <x v="1"/>
    <x v="0"/>
    <n v="20.2"/>
    <x v="1"/>
    <s v="No"/>
    <x v="0"/>
    <x v="0"/>
    <x v="0"/>
    <s v="EGFR"/>
    <s v="Yes"/>
    <s v="No"/>
    <s v="No"/>
    <s v="No"/>
    <s v="No"/>
    <s v="No"/>
    <s v="No"/>
    <s v="No"/>
    <s v="No"/>
    <s v="No"/>
    <x v="0"/>
    <s v="Adenocarcinoma"/>
    <x v="2"/>
    <n v="4.0999999999999996"/>
    <s v="No"/>
    <s v="Biopsy"/>
    <s v="Chemotherapy"/>
    <n v="34"/>
    <s v="No"/>
  </r>
  <r>
    <s v="LC-1029"/>
    <n v="2016"/>
    <d v="2016-01-27T00:00:00"/>
    <s v="South-East Asia"/>
    <s v="Bangladesh"/>
    <n v="59"/>
    <x v="0"/>
    <x v="2"/>
    <n v="0"/>
    <n v="0"/>
    <x v="0"/>
    <x v="0"/>
    <x v="0"/>
    <x v="1"/>
    <x v="2"/>
    <n v="24.9"/>
    <x v="2"/>
    <s v="No"/>
    <x v="0"/>
    <x v="0"/>
    <x v="0"/>
    <s v="No Mutation"/>
    <s v="Yes"/>
    <s v="Yes"/>
    <s v="No"/>
    <s v="No"/>
    <s v="Yes"/>
    <s v="No"/>
    <s v="No"/>
    <s v="No"/>
    <s v="No"/>
    <s v="No"/>
    <x v="1"/>
    <s v="Not Applicable"/>
    <x v="2"/>
    <n v="6.8"/>
    <s v="No"/>
    <s v="CT Scan"/>
    <s v="Targeted Therapy"/>
    <n v="21"/>
    <s v="No"/>
  </r>
  <r>
    <s v="LC-1030"/>
    <n v="2023"/>
    <d v="2023-11-02T00:00:00"/>
    <s v="Western Pacific"/>
    <s v="China"/>
    <n v="55"/>
    <x v="1"/>
    <x v="2"/>
    <n v="0"/>
    <n v="0"/>
    <x v="1"/>
    <x v="0"/>
    <x v="0"/>
    <x v="1"/>
    <x v="1"/>
    <n v="24"/>
    <x v="0"/>
    <s v="No"/>
    <x v="0"/>
    <x v="0"/>
    <x v="0"/>
    <s v="BRAF"/>
    <s v="No"/>
    <s v="No"/>
    <s v="No"/>
    <s v="No"/>
    <s v="Yes"/>
    <s v="No"/>
    <s v="No"/>
    <s v="No"/>
    <s v="Yes"/>
    <s v="No"/>
    <x v="0"/>
    <s v="Large Cell"/>
    <x v="3"/>
    <n v="2.4"/>
    <s v="No"/>
    <s v="CT Scan"/>
    <s v="Surgery + Chemotherapy"/>
    <n v="52"/>
    <s v="No"/>
  </r>
  <r>
    <s v="LC-1031"/>
    <n v="2023"/>
    <d v="2023-07-05T00:00:00"/>
    <s v="South-East Asia"/>
    <s v="Thailand"/>
    <n v="61"/>
    <x v="0"/>
    <x v="2"/>
    <n v="0"/>
    <n v="0"/>
    <x v="1"/>
    <x v="0"/>
    <x v="0"/>
    <x v="1"/>
    <x v="2"/>
    <n v="30.9"/>
    <x v="0"/>
    <s v="No"/>
    <x v="0"/>
    <x v="0"/>
    <x v="0"/>
    <s v="TP53"/>
    <s v="No"/>
    <s v="No"/>
    <s v="Yes"/>
    <s v="No"/>
    <s v="No"/>
    <s v="No"/>
    <s v="No"/>
    <s v="No"/>
    <s v="No"/>
    <s v="No"/>
    <x v="0"/>
    <s v="Adenocarcinoma"/>
    <x v="3"/>
    <n v="4.5"/>
    <s v="No"/>
    <s v="Biopsy"/>
    <s v="Surgery"/>
    <n v="20"/>
    <s v="No"/>
  </r>
  <r>
    <s v="LC-1032"/>
    <n v="2021"/>
    <d v="2021-02-23T00:00:00"/>
    <s v="South-East Asia"/>
    <s v="Indonesia"/>
    <n v="73"/>
    <x v="1"/>
    <x v="2"/>
    <n v="0"/>
    <n v="0"/>
    <x v="0"/>
    <x v="0"/>
    <x v="0"/>
    <x v="0"/>
    <x v="2"/>
    <n v="28.1"/>
    <x v="1"/>
    <s v="No"/>
    <x v="0"/>
    <x v="0"/>
    <x v="0"/>
    <s v="EGFR"/>
    <s v="No"/>
    <s v="Yes"/>
    <s v="No"/>
    <s v="No"/>
    <s v="Yes"/>
    <s v="No"/>
    <s v="No"/>
    <s v="No"/>
    <s v="No"/>
    <s v="Yes"/>
    <x v="0"/>
    <s v="Adenocarcinoma"/>
    <x v="1"/>
    <n v="2.1"/>
    <s v="No"/>
    <s v="LDCT Screening"/>
    <s v="Surgery"/>
    <n v="86"/>
    <s v="Yes"/>
  </r>
  <r>
    <s v="LC-1033"/>
    <n v="2016"/>
    <d v="2016-01-07T00:00:00"/>
    <s v="Western Pacific"/>
    <s v="Singapore"/>
    <n v="63"/>
    <x v="1"/>
    <x v="2"/>
    <n v="0"/>
    <n v="0"/>
    <x v="1"/>
    <x v="0"/>
    <x v="0"/>
    <x v="0"/>
    <x v="2"/>
    <n v="24.9"/>
    <x v="0"/>
    <s v="No"/>
    <x v="0"/>
    <x v="0"/>
    <x v="0"/>
    <s v="No Mutation"/>
    <s v="No"/>
    <s v="No"/>
    <s v="No"/>
    <s v="No"/>
    <s v="Yes"/>
    <s v="No"/>
    <s v="No"/>
    <s v="No"/>
    <s v="No"/>
    <s v="No"/>
    <x v="0"/>
    <s v="Adenocarcinoma"/>
    <x v="2"/>
    <n v="8.5"/>
    <s v="No"/>
    <s v="PET Scan"/>
    <s v="Chemo + Radiation"/>
    <n v="17"/>
    <s v="No"/>
  </r>
  <r>
    <s v="LC-1034"/>
    <n v="2017"/>
    <d v="2017-08-12T00:00:00"/>
    <s v="South-East Asia"/>
    <s v="India"/>
    <n v="81"/>
    <x v="1"/>
    <x v="2"/>
    <n v="0"/>
    <n v="0"/>
    <x v="1"/>
    <x v="0"/>
    <x v="1"/>
    <x v="0"/>
    <x v="0"/>
    <n v="23.8"/>
    <x v="2"/>
    <s v="No"/>
    <x v="1"/>
    <x v="0"/>
    <x v="0"/>
    <s v="No Mutation"/>
    <s v="No"/>
    <s v="Yes"/>
    <s v="No"/>
    <s v="No"/>
    <s v="No"/>
    <s v="No"/>
    <s v="Yes"/>
    <s v="No"/>
    <s v="No"/>
    <s v="No"/>
    <x v="0"/>
    <s v="Adenocarcinoma"/>
    <x v="1"/>
    <n v="3"/>
    <s v="No"/>
    <s v="LDCT Screening"/>
    <s v="Surgery"/>
    <n v="39"/>
    <s v="No"/>
  </r>
  <r>
    <s v="LC-1035"/>
    <n v="2024"/>
    <d v="2024-10-21T00:00:00"/>
    <s v="Europe"/>
    <s v="Sweden"/>
    <n v="54"/>
    <x v="1"/>
    <x v="2"/>
    <n v="0"/>
    <n v="0"/>
    <x v="1"/>
    <x v="0"/>
    <x v="1"/>
    <x v="2"/>
    <x v="1"/>
    <n v="20.399999999999999"/>
    <x v="0"/>
    <s v="No"/>
    <x v="0"/>
    <x v="0"/>
    <x v="0"/>
    <s v="EGFR"/>
    <s v="No"/>
    <s v="No"/>
    <s v="No"/>
    <s v="No"/>
    <s v="Yes"/>
    <s v="No"/>
    <s v="Yes"/>
    <s v="Yes"/>
    <s v="No"/>
    <s v="No"/>
    <x v="0"/>
    <s v="Adenocarcinoma"/>
    <x v="0"/>
    <n v="8.6999999999999993"/>
    <s v="Yes"/>
    <s v="PET Scan"/>
    <s v="Chemotherapy"/>
    <n v="12"/>
    <s v="No"/>
  </r>
  <r>
    <s v="LC-1036"/>
    <n v="2025"/>
    <d v="2025-08-22T00:00:00"/>
    <s v="Americas"/>
    <s v="Peru"/>
    <n v="51"/>
    <x v="0"/>
    <x v="2"/>
    <n v="0"/>
    <n v="0"/>
    <x v="0"/>
    <x v="1"/>
    <x v="0"/>
    <x v="2"/>
    <x v="0"/>
    <n v="31.8"/>
    <x v="0"/>
    <s v="No"/>
    <x v="0"/>
    <x v="0"/>
    <x v="0"/>
    <s v="BRAF"/>
    <s v="No"/>
    <s v="Yes"/>
    <s v="No"/>
    <s v="Yes"/>
    <s v="Yes"/>
    <s v="No"/>
    <s v="No"/>
    <s v="No"/>
    <s v="No"/>
    <s v="No"/>
    <x v="0"/>
    <s v="Large Cell"/>
    <x v="0"/>
    <n v="8.9"/>
    <s v="Yes"/>
    <s v="CT Scan"/>
    <s v="Targeted Therapy"/>
    <n v="1"/>
    <s v="No"/>
  </r>
  <r>
    <s v="LC-1037"/>
    <n v="2019"/>
    <d v="2019-01-01T00:00:00"/>
    <s v="Americas"/>
    <s v="Cuba"/>
    <n v="68"/>
    <x v="1"/>
    <x v="2"/>
    <n v="0"/>
    <n v="0"/>
    <x v="0"/>
    <x v="0"/>
    <x v="1"/>
    <x v="0"/>
    <x v="2"/>
    <n v="25.6"/>
    <x v="1"/>
    <s v="No"/>
    <x v="0"/>
    <x v="0"/>
    <x v="0"/>
    <s v="No Mutation"/>
    <s v="No"/>
    <s v="Yes"/>
    <s v="No"/>
    <s v="No"/>
    <s v="Yes"/>
    <s v="No"/>
    <s v="No"/>
    <s v="No"/>
    <s v="Yes"/>
    <s v="No"/>
    <x v="0"/>
    <s v="Adenocarcinoma"/>
    <x v="1"/>
    <n v="2"/>
    <s v="No"/>
    <s v="Chest X-Ray"/>
    <s v="Surgery"/>
    <n v="43"/>
    <s v="Yes"/>
  </r>
  <r>
    <s v="LC-1038"/>
    <n v="2024"/>
    <d v="2024-09-14T00:00:00"/>
    <s v="Western Pacific"/>
    <s v="China"/>
    <n v="49"/>
    <x v="0"/>
    <x v="1"/>
    <n v="14"/>
    <n v="21"/>
    <x v="0"/>
    <x v="0"/>
    <x v="0"/>
    <x v="0"/>
    <x v="1"/>
    <n v="33.200000000000003"/>
    <x v="0"/>
    <s v="Yes"/>
    <x v="0"/>
    <x v="0"/>
    <x v="0"/>
    <s v="KRAS"/>
    <s v="No"/>
    <s v="Yes"/>
    <s v="No"/>
    <s v="No"/>
    <s v="No"/>
    <s v="Yes"/>
    <s v="No"/>
    <s v="No"/>
    <s v="No"/>
    <s v="No"/>
    <x v="1"/>
    <s v="Not Applicable"/>
    <x v="1"/>
    <n v="1.8"/>
    <s v="No"/>
    <s v="Biopsy"/>
    <s v="Surgery"/>
    <n v="76"/>
    <s v="Yes"/>
  </r>
  <r>
    <s v="LC-1039"/>
    <n v="2021"/>
    <d v="2021-01-17T00:00:00"/>
    <s v="Western Pacific"/>
    <s v="Philippines"/>
    <n v="60"/>
    <x v="1"/>
    <x v="2"/>
    <n v="0"/>
    <n v="0"/>
    <x v="1"/>
    <x v="0"/>
    <x v="0"/>
    <x v="2"/>
    <x v="2"/>
    <n v="21.6"/>
    <x v="0"/>
    <s v="No"/>
    <x v="0"/>
    <x v="0"/>
    <x v="0"/>
    <s v="ALK"/>
    <s v="Yes"/>
    <s v="Yes"/>
    <s v="No"/>
    <s v="No"/>
    <s v="Yes"/>
    <s v="Yes"/>
    <s v="No"/>
    <s v="No"/>
    <s v="No"/>
    <s v="No"/>
    <x v="0"/>
    <s v="Adenocarcinoma"/>
    <x v="2"/>
    <n v="6.6"/>
    <s v="No"/>
    <s v="CT Scan"/>
    <s v="Chemotherapy"/>
    <n v="12"/>
    <s v="Yes"/>
  </r>
  <r>
    <s v="LC-1040"/>
    <n v="2022"/>
    <d v="2022-09-10T00:00:00"/>
    <s v="Eastern Mediterranean"/>
    <s v="Pakistan"/>
    <n v="30"/>
    <x v="1"/>
    <x v="2"/>
    <n v="0"/>
    <n v="0"/>
    <x v="0"/>
    <x v="0"/>
    <x v="0"/>
    <x v="1"/>
    <x v="0"/>
    <n v="27"/>
    <x v="1"/>
    <s v="No"/>
    <x v="0"/>
    <x v="0"/>
    <x v="0"/>
    <s v="EGFR"/>
    <s v="No"/>
    <s v="No"/>
    <s v="Yes"/>
    <s v="Yes"/>
    <s v="Yes"/>
    <s v="No"/>
    <s v="Yes"/>
    <s v="Yes"/>
    <s v="No"/>
    <s v="No"/>
    <x v="0"/>
    <s v="Squamous Cell"/>
    <x v="1"/>
    <n v="1.6"/>
    <s v="No"/>
    <s v="Chest X-Ray"/>
    <s v="Surgery"/>
    <n v="107"/>
    <s v="No"/>
  </r>
  <r>
    <s v="LC-1041"/>
    <n v="2018"/>
    <d v="2018-09-27T00:00:00"/>
    <s v="Western Pacific"/>
    <s v="Malaysia"/>
    <n v="51"/>
    <x v="1"/>
    <x v="0"/>
    <n v="28"/>
    <n v="26"/>
    <x v="1"/>
    <x v="0"/>
    <x v="0"/>
    <x v="0"/>
    <x v="2"/>
    <n v="25.7"/>
    <x v="0"/>
    <s v="No"/>
    <x v="0"/>
    <x v="1"/>
    <x v="0"/>
    <s v="KRAS"/>
    <s v="No"/>
    <s v="No"/>
    <s v="No"/>
    <s v="Yes"/>
    <s v="Yes"/>
    <s v="Yes"/>
    <s v="Yes"/>
    <s v="Yes"/>
    <s v="No"/>
    <s v="Yes"/>
    <x v="1"/>
    <s v="Not Applicable"/>
    <x v="0"/>
    <n v="5.2"/>
    <s v="Yes"/>
    <s v="PET Scan"/>
    <s v="Targeted Therapy"/>
    <n v="4"/>
    <s v="No"/>
  </r>
  <r>
    <s v="LC-1042"/>
    <n v="2024"/>
    <d v="2024-03-04T00:00:00"/>
    <s v="Americas"/>
    <s v="Canada"/>
    <n v="56"/>
    <x v="1"/>
    <x v="0"/>
    <n v="16"/>
    <n v="28"/>
    <x v="1"/>
    <x v="1"/>
    <x v="1"/>
    <x v="0"/>
    <x v="0"/>
    <n v="35.200000000000003"/>
    <x v="0"/>
    <s v="Yes"/>
    <x v="0"/>
    <x v="0"/>
    <x v="0"/>
    <s v="RET"/>
    <s v="Yes"/>
    <s v="Yes"/>
    <s v="Yes"/>
    <s v="No"/>
    <s v="Yes"/>
    <s v="Yes"/>
    <s v="No"/>
    <s v="No"/>
    <s v="No"/>
    <s v="No"/>
    <x v="0"/>
    <s v="Squamous Cell"/>
    <x v="2"/>
    <n v="6.3"/>
    <s v="No"/>
    <s v="PET Scan"/>
    <s v="Targeted Therapy"/>
    <n v="31"/>
    <s v="Yes"/>
  </r>
  <r>
    <s v="LC-1043"/>
    <n v="2021"/>
    <d v="2021-09-05T00:00:00"/>
    <s v="Africa"/>
    <s v="Egypt"/>
    <n v="62"/>
    <x v="1"/>
    <x v="2"/>
    <n v="0"/>
    <n v="0"/>
    <x v="1"/>
    <x v="0"/>
    <x v="0"/>
    <x v="0"/>
    <x v="1"/>
    <n v="24.7"/>
    <x v="0"/>
    <s v="No"/>
    <x v="0"/>
    <x v="0"/>
    <x v="0"/>
    <s v="TP53"/>
    <s v="Yes"/>
    <s v="No"/>
    <s v="No"/>
    <s v="No"/>
    <s v="Yes"/>
    <s v="No"/>
    <s v="No"/>
    <s v="No"/>
    <s v="No"/>
    <s v="Yes"/>
    <x v="0"/>
    <s v="Large Cell"/>
    <x v="0"/>
    <n v="8.6999999999999993"/>
    <s v="Yes"/>
    <s v="PET Scan"/>
    <s v="Chemotherapy"/>
    <n v="1"/>
    <s v="No"/>
  </r>
  <r>
    <s v="LC-1044"/>
    <n v="2024"/>
    <d v="2024-04-20T00:00:00"/>
    <s v="Eastern Mediterranean"/>
    <s v="Qatar"/>
    <n v="52"/>
    <x v="1"/>
    <x v="0"/>
    <n v="35"/>
    <n v="5"/>
    <x v="1"/>
    <x v="0"/>
    <x v="0"/>
    <x v="0"/>
    <x v="2"/>
    <n v="35.5"/>
    <x v="0"/>
    <s v="No"/>
    <x v="0"/>
    <x v="0"/>
    <x v="0"/>
    <s v="KRAS"/>
    <s v="Yes"/>
    <s v="Yes"/>
    <s v="Yes"/>
    <s v="No"/>
    <s v="Yes"/>
    <s v="No"/>
    <s v="Yes"/>
    <s v="No"/>
    <s v="Yes"/>
    <s v="No"/>
    <x v="0"/>
    <s v="Adenocarcinoma"/>
    <x v="2"/>
    <n v="6.1"/>
    <s v="No"/>
    <s v="Biopsy"/>
    <s v="Immunotherapy"/>
    <n v="26"/>
    <s v="No"/>
  </r>
  <r>
    <s v="LC-1045"/>
    <n v="2016"/>
    <d v="2016-05-27T00:00:00"/>
    <s v="Western Pacific"/>
    <s v="Vietnam"/>
    <n v="59"/>
    <x v="0"/>
    <x v="2"/>
    <n v="0"/>
    <n v="0"/>
    <x v="1"/>
    <x v="0"/>
    <x v="0"/>
    <x v="1"/>
    <x v="0"/>
    <n v="33.9"/>
    <x v="0"/>
    <s v="No"/>
    <x v="1"/>
    <x v="0"/>
    <x v="0"/>
    <s v="ALK"/>
    <s v="Yes"/>
    <s v="No"/>
    <s v="Yes"/>
    <s v="No"/>
    <s v="No"/>
    <s v="No"/>
    <s v="No"/>
    <s v="No"/>
    <s v="No"/>
    <s v="No"/>
    <x v="0"/>
    <s v="Adenocarcinoma"/>
    <x v="3"/>
    <n v="2.5"/>
    <s v="No"/>
    <s v="PET Scan"/>
    <s v="Surgery"/>
    <n v="16"/>
    <s v="No"/>
  </r>
  <r>
    <s v="LC-1046"/>
    <n v="2018"/>
    <d v="2018-05-26T00:00:00"/>
    <s v="South-East Asia"/>
    <s v="Nepal"/>
    <n v="64"/>
    <x v="1"/>
    <x v="2"/>
    <n v="0"/>
    <n v="0"/>
    <x v="0"/>
    <x v="0"/>
    <x v="0"/>
    <x v="0"/>
    <x v="2"/>
    <n v="27"/>
    <x v="1"/>
    <s v="No"/>
    <x v="0"/>
    <x v="0"/>
    <x v="0"/>
    <s v="No Mutation"/>
    <s v="No"/>
    <s v="No"/>
    <s v="No"/>
    <s v="No"/>
    <s v="Yes"/>
    <s v="No"/>
    <s v="No"/>
    <s v="No"/>
    <s v="No"/>
    <s v="No"/>
    <x v="0"/>
    <s v="Large Cell"/>
    <x v="2"/>
    <n v="7"/>
    <s v="No"/>
    <s v="PET Scan"/>
    <s v="Chemotherapy"/>
    <n v="25"/>
    <s v="No"/>
  </r>
  <r>
    <s v="LC-1047"/>
    <n v="2022"/>
    <d v="2022-02-12T00:00:00"/>
    <s v="South-East Asia"/>
    <s v="Nepal"/>
    <n v="53"/>
    <x v="0"/>
    <x v="2"/>
    <n v="0"/>
    <n v="0"/>
    <x v="0"/>
    <x v="0"/>
    <x v="0"/>
    <x v="2"/>
    <x v="1"/>
    <n v="26.4"/>
    <x v="1"/>
    <s v="No"/>
    <x v="0"/>
    <x v="0"/>
    <x v="0"/>
    <s v="EGFR"/>
    <s v="Yes"/>
    <s v="No"/>
    <s v="Yes"/>
    <s v="Yes"/>
    <s v="No"/>
    <s v="No"/>
    <s v="No"/>
    <s v="Yes"/>
    <s v="Yes"/>
    <s v="No"/>
    <x v="0"/>
    <s v="Adenocarcinoma"/>
    <x v="3"/>
    <n v="2.6"/>
    <s v="No"/>
    <s v="CT Scan"/>
    <s v="Surgery"/>
    <n v="22"/>
    <s v="Yes"/>
  </r>
  <r>
    <s v="LC-1048"/>
    <n v="2021"/>
    <d v="2021-08-19T00:00:00"/>
    <s v="Europe"/>
    <s v="Italy"/>
    <n v="62"/>
    <x v="0"/>
    <x v="2"/>
    <n v="0"/>
    <n v="0"/>
    <x v="0"/>
    <x v="0"/>
    <x v="0"/>
    <x v="1"/>
    <x v="0"/>
    <n v="31.6"/>
    <x v="1"/>
    <s v="No"/>
    <x v="0"/>
    <x v="0"/>
    <x v="0"/>
    <s v="No Mutation"/>
    <s v="Yes"/>
    <s v="Yes"/>
    <s v="Yes"/>
    <s v="No"/>
    <s v="Yes"/>
    <s v="No"/>
    <s v="No"/>
    <s v="Yes"/>
    <s v="Yes"/>
    <s v="No"/>
    <x v="0"/>
    <s v="Large Cell"/>
    <x v="2"/>
    <n v="6.4"/>
    <s v="No"/>
    <s v="Bronchoscopy"/>
    <s v="Chemotherapy"/>
    <n v="12"/>
    <s v="No"/>
  </r>
  <r>
    <s v="LC-1049"/>
    <n v="2022"/>
    <d v="2022-12-08T00:00:00"/>
    <s v="Americas"/>
    <s v="Argentina"/>
    <n v="66"/>
    <x v="1"/>
    <x v="2"/>
    <n v="0"/>
    <n v="0"/>
    <x v="0"/>
    <x v="1"/>
    <x v="1"/>
    <x v="2"/>
    <x v="1"/>
    <n v="27.1"/>
    <x v="0"/>
    <s v="No"/>
    <x v="0"/>
    <x v="0"/>
    <x v="0"/>
    <s v="EGFR"/>
    <s v="No"/>
    <s v="No"/>
    <s v="No"/>
    <s v="No"/>
    <s v="Yes"/>
    <s v="No"/>
    <s v="Yes"/>
    <s v="No"/>
    <s v="Yes"/>
    <s v="No"/>
    <x v="0"/>
    <s v="Adenocarcinoma"/>
    <x v="3"/>
    <n v="4.3"/>
    <s v="No"/>
    <s v="Chest X-Ray"/>
    <s v="Chemotherapy"/>
    <n v="31"/>
    <s v="Yes"/>
  </r>
  <r>
    <s v="LC-1050"/>
    <n v="2017"/>
    <d v="2017-11-27T00:00:00"/>
    <s v="Eastern Mediterranean"/>
    <s v="Iran"/>
    <n v="55"/>
    <x v="1"/>
    <x v="2"/>
    <n v="0"/>
    <n v="0"/>
    <x v="1"/>
    <x v="0"/>
    <x v="0"/>
    <x v="1"/>
    <x v="2"/>
    <n v="28.9"/>
    <x v="2"/>
    <s v="No"/>
    <x v="0"/>
    <x v="1"/>
    <x v="0"/>
    <s v="TP53"/>
    <s v="Yes"/>
    <s v="Yes"/>
    <s v="No"/>
    <s v="No"/>
    <s v="No"/>
    <s v="Yes"/>
    <s v="No"/>
    <s v="No"/>
    <s v="No"/>
    <s v="No"/>
    <x v="0"/>
    <s v="Adenocarcinoma"/>
    <x v="1"/>
    <n v="0.8"/>
    <s v="No"/>
    <s v="LDCT Screening"/>
    <s v="Targeted Therapy"/>
    <n v="41"/>
    <s v="Yes"/>
  </r>
  <r>
    <s v="LC-1051"/>
    <n v="2015"/>
    <d v="2015-11-28T00:00:00"/>
    <s v="Americas"/>
    <s v="USA"/>
    <n v="59"/>
    <x v="0"/>
    <x v="2"/>
    <n v="0"/>
    <n v="0"/>
    <x v="0"/>
    <x v="0"/>
    <x v="0"/>
    <x v="2"/>
    <x v="0"/>
    <n v="27.8"/>
    <x v="2"/>
    <s v="No"/>
    <x v="0"/>
    <x v="0"/>
    <x v="0"/>
    <s v="ALK"/>
    <s v="Yes"/>
    <s v="No"/>
    <s v="No"/>
    <s v="No"/>
    <s v="No"/>
    <s v="Yes"/>
    <s v="No"/>
    <s v="No"/>
    <s v="No"/>
    <s v="No"/>
    <x v="0"/>
    <s v="Adenocarcinoma"/>
    <x v="3"/>
    <n v="4.9000000000000004"/>
    <s v="No"/>
    <s v="LDCT Screening"/>
    <s v="Surgery + Chemotherapy"/>
    <n v="26"/>
    <s v="Yes"/>
  </r>
  <r>
    <s v="LC-1052"/>
    <n v="2015"/>
    <d v="2015-02-13T00:00:00"/>
    <s v="Western Pacific"/>
    <s v="Malaysia"/>
    <n v="76"/>
    <x v="0"/>
    <x v="2"/>
    <n v="0"/>
    <n v="0"/>
    <x v="1"/>
    <x v="0"/>
    <x v="0"/>
    <x v="0"/>
    <x v="2"/>
    <n v="27.2"/>
    <x v="2"/>
    <s v="No"/>
    <x v="0"/>
    <x v="0"/>
    <x v="0"/>
    <s v="No Mutation"/>
    <s v="No"/>
    <s v="No"/>
    <s v="No"/>
    <s v="Yes"/>
    <s v="Yes"/>
    <s v="No"/>
    <s v="No"/>
    <s v="No"/>
    <s v="No"/>
    <s v="No"/>
    <x v="0"/>
    <s v="Squamous Cell"/>
    <x v="3"/>
    <n v="5"/>
    <s v="No"/>
    <s v="CT Scan"/>
    <s v="Radiotherapy"/>
    <n v="23"/>
    <s v="No"/>
  </r>
  <r>
    <s v="LC-1053"/>
    <n v="2018"/>
    <d v="2018-07-18T00:00:00"/>
    <s v="Eastern Mediterranean"/>
    <s v="Oman"/>
    <n v="69"/>
    <x v="1"/>
    <x v="2"/>
    <n v="0"/>
    <n v="0"/>
    <x v="0"/>
    <x v="0"/>
    <x v="0"/>
    <x v="2"/>
    <x v="0"/>
    <n v="24.6"/>
    <x v="0"/>
    <s v="No"/>
    <x v="0"/>
    <x v="0"/>
    <x v="0"/>
    <s v="No Mutation"/>
    <s v="Yes"/>
    <s v="No"/>
    <s v="No"/>
    <s v="No"/>
    <s v="No"/>
    <s v="Yes"/>
    <s v="No"/>
    <s v="No"/>
    <s v="No"/>
    <s v="No"/>
    <x v="0"/>
    <s v="Adenocarcinoma"/>
    <x v="3"/>
    <n v="4.7"/>
    <s v="No"/>
    <s v="PET Scan"/>
    <s v="Immunotherapy"/>
    <n v="37"/>
    <s v="Yes"/>
  </r>
  <r>
    <s v="LC-1054"/>
    <n v="2017"/>
    <d v="2017-01-21T00:00:00"/>
    <s v="Europe"/>
    <s v="UK"/>
    <n v="58"/>
    <x v="1"/>
    <x v="2"/>
    <n v="0"/>
    <n v="0"/>
    <x v="0"/>
    <x v="0"/>
    <x v="0"/>
    <x v="2"/>
    <x v="1"/>
    <n v="27.4"/>
    <x v="0"/>
    <s v="No"/>
    <x v="0"/>
    <x v="0"/>
    <x v="0"/>
    <s v="EGFR"/>
    <s v="Yes"/>
    <s v="Yes"/>
    <s v="Yes"/>
    <s v="No"/>
    <s v="Yes"/>
    <s v="No"/>
    <s v="No"/>
    <s v="No"/>
    <s v="Yes"/>
    <s v="Yes"/>
    <x v="0"/>
    <s v="Large Cell"/>
    <x v="2"/>
    <n v="5"/>
    <s v="No"/>
    <s v="PET Scan"/>
    <s v="Chemotherapy"/>
    <n v="18"/>
    <s v="No"/>
  </r>
  <r>
    <s v="LC-1055"/>
    <n v="2022"/>
    <d v="2022-12-06T00:00:00"/>
    <s v="Western Pacific"/>
    <s v="Japan"/>
    <n v="63"/>
    <x v="0"/>
    <x v="0"/>
    <n v="9"/>
    <n v="30"/>
    <x v="1"/>
    <x v="0"/>
    <x v="1"/>
    <x v="1"/>
    <x v="0"/>
    <n v="25"/>
    <x v="2"/>
    <s v="No"/>
    <x v="1"/>
    <x v="0"/>
    <x v="0"/>
    <s v="TP53"/>
    <s v="No"/>
    <s v="Yes"/>
    <s v="No"/>
    <s v="No"/>
    <s v="Yes"/>
    <s v="Yes"/>
    <s v="No"/>
    <s v="Yes"/>
    <s v="No"/>
    <s v="No"/>
    <x v="0"/>
    <s v="Squamous Cell"/>
    <x v="3"/>
    <n v="3.7"/>
    <s v="No"/>
    <s v="CT Scan"/>
    <s v="Surgery + Chemotherapy"/>
    <n v="31"/>
    <s v="Yes"/>
  </r>
  <r>
    <s v="LC-1056"/>
    <n v="2025"/>
    <d v="2025-08-28T00:00:00"/>
    <s v="Western Pacific"/>
    <s v="Malaysia"/>
    <n v="47"/>
    <x v="0"/>
    <x v="0"/>
    <n v="27"/>
    <n v="28"/>
    <x v="1"/>
    <x v="0"/>
    <x v="1"/>
    <x v="0"/>
    <x v="1"/>
    <n v="35.799999999999997"/>
    <x v="2"/>
    <s v="Yes"/>
    <x v="0"/>
    <x v="0"/>
    <x v="0"/>
    <s v="KRAS"/>
    <s v="Yes"/>
    <s v="Yes"/>
    <s v="No"/>
    <s v="No"/>
    <s v="Yes"/>
    <s v="Yes"/>
    <s v="No"/>
    <s v="No"/>
    <s v="No"/>
    <s v="No"/>
    <x v="0"/>
    <s v="Adenocarcinoma"/>
    <x v="1"/>
    <n v="1.6"/>
    <s v="No"/>
    <s v="CT Scan"/>
    <s v="Surgery + Chemotherapy"/>
    <n v="73"/>
    <s v="No"/>
  </r>
  <r>
    <s v="LC-1057"/>
    <n v="2023"/>
    <d v="2023-11-26T00:00:00"/>
    <s v="Americas"/>
    <s v="Colombia"/>
    <n v="54"/>
    <x v="0"/>
    <x v="2"/>
    <n v="0"/>
    <n v="0"/>
    <x v="0"/>
    <x v="1"/>
    <x v="0"/>
    <x v="0"/>
    <x v="1"/>
    <n v="22.4"/>
    <x v="0"/>
    <s v="No"/>
    <x v="0"/>
    <x v="0"/>
    <x v="0"/>
    <s v="ALK"/>
    <s v="No"/>
    <s v="No"/>
    <s v="Yes"/>
    <s v="No"/>
    <s v="Yes"/>
    <s v="No"/>
    <s v="Yes"/>
    <s v="Yes"/>
    <s v="No"/>
    <s v="No"/>
    <x v="0"/>
    <s v="Squamous Cell"/>
    <x v="0"/>
    <n v="7.1"/>
    <s v="Yes"/>
    <s v="Biopsy"/>
    <s v="Targeted Therapy"/>
    <n v="8"/>
    <s v="No"/>
  </r>
  <r>
    <s v="LC-1058"/>
    <n v="2018"/>
    <d v="2018-10-28T00:00:00"/>
    <s v="Americas"/>
    <s v="Canada"/>
    <n v="60"/>
    <x v="1"/>
    <x v="2"/>
    <n v="0"/>
    <n v="0"/>
    <x v="1"/>
    <x v="0"/>
    <x v="0"/>
    <x v="2"/>
    <x v="1"/>
    <n v="24.6"/>
    <x v="2"/>
    <s v="No"/>
    <x v="0"/>
    <x v="0"/>
    <x v="0"/>
    <s v="No Mutation"/>
    <s v="Yes"/>
    <s v="Yes"/>
    <s v="No"/>
    <s v="Yes"/>
    <s v="No"/>
    <s v="No"/>
    <s v="Yes"/>
    <s v="No"/>
    <s v="No"/>
    <s v="No"/>
    <x v="0"/>
    <s v="Adenocarcinoma"/>
    <x v="1"/>
    <n v="1.8"/>
    <s v="No"/>
    <s v="CT Scan"/>
    <s v="Surgery"/>
    <n v="69"/>
    <s v="Yes"/>
  </r>
  <r>
    <s v="LC-1059"/>
    <n v="2023"/>
    <d v="2023-09-02T00:00:00"/>
    <s v="Americas"/>
    <s v="Mexico"/>
    <n v="61"/>
    <x v="1"/>
    <x v="1"/>
    <n v="16"/>
    <n v="8"/>
    <x v="1"/>
    <x v="0"/>
    <x v="0"/>
    <x v="2"/>
    <x v="0"/>
    <n v="29.5"/>
    <x v="2"/>
    <s v="Yes"/>
    <x v="0"/>
    <x v="0"/>
    <x v="0"/>
    <s v="TP53"/>
    <s v="Yes"/>
    <s v="No"/>
    <s v="Yes"/>
    <s v="No"/>
    <s v="Yes"/>
    <s v="No"/>
    <s v="No"/>
    <s v="Yes"/>
    <s v="No"/>
    <s v="No"/>
    <x v="0"/>
    <s v="Adenocarcinoma"/>
    <x v="0"/>
    <n v="5.4"/>
    <s v="Yes"/>
    <s v="CT Scan"/>
    <s v="Radiotherapy"/>
    <n v="10"/>
    <s v="No"/>
  </r>
  <r>
    <s v="LC-1060"/>
    <n v="2019"/>
    <d v="2019-04-28T00:00:00"/>
    <s v="Western Pacific"/>
    <s v="Mongolia"/>
    <n v="55"/>
    <x v="1"/>
    <x v="0"/>
    <n v="21"/>
    <n v="27"/>
    <x v="1"/>
    <x v="0"/>
    <x v="0"/>
    <x v="0"/>
    <x v="1"/>
    <n v="32.5"/>
    <x v="2"/>
    <s v="No"/>
    <x v="0"/>
    <x v="0"/>
    <x v="0"/>
    <s v="No Mutation"/>
    <s v="Yes"/>
    <s v="Yes"/>
    <s v="No"/>
    <s v="Yes"/>
    <s v="No"/>
    <s v="Yes"/>
    <s v="No"/>
    <s v="Yes"/>
    <s v="Yes"/>
    <s v="Yes"/>
    <x v="1"/>
    <s v="Not Applicable"/>
    <x v="2"/>
    <n v="7.7"/>
    <s v="Yes"/>
    <s v="PET Scan"/>
    <s v="Targeted Therapy"/>
    <n v="29"/>
    <s v="No"/>
  </r>
  <r>
    <s v="LC-1061"/>
    <n v="2018"/>
    <d v="2018-08-09T00:00:00"/>
    <s v="Americas"/>
    <s v="USA"/>
    <n v="54"/>
    <x v="0"/>
    <x v="2"/>
    <n v="0"/>
    <n v="0"/>
    <x v="0"/>
    <x v="0"/>
    <x v="0"/>
    <x v="2"/>
    <x v="1"/>
    <n v="20.100000000000001"/>
    <x v="1"/>
    <s v="No"/>
    <x v="0"/>
    <x v="0"/>
    <x v="0"/>
    <s v="No Mutation"/>
    <s v="No"/>
    <s v="No"/>
    <s v="No"/>
    <s v="No"/>
    <s v="Yes"/>
    <s v="Yes"/>
    <s v="No"/>
    <s v="No"/>
    <s v="No"/>
    <s v="No"/>
    <x v="0"/>
    <s v="Adenocarcinoma"/>
    <x v="1"/>
    <n v="2.5"/>
    <s v="No"/>
    <s v="CT Scan"/>
    <s v="Radiotherapy"/>
    <n v="51"/>
    <s v="Yes"/>
  </r>
  <r>
    <s v="LC-1062"/>
    <n v="2016"/>
    <d v="2016-02-22T00:00:00"/>
    <s v="Europe"/>
    <s v="Spain"/>
    <n v="78"/>
    <x v="1"/>
    <x v="0"/>
    <n v="27"/>
    <n v="31"/>
    <x v="0"/>
    <x v="0"/>
    <x v="0"/>
    <x v="2"/>
    <x v="0"/>
    <n v="30.2"/>
    <x v="1"/>
    <s v="No"/>
    <x v="0"/>
    <x v="0"/>
    <x v="0"/>
    <s v="No Mutation"/>
    <s v="Yes"/>
    <s v="Yes"/>
    <s v="Yes"/>
    <s v="No"/>
    <s v="Yes"/>
    <s v="Yes"/>
    <s v="No"/>
    <s v="Yes"/>
    <s v="No"/>
    <s v="No"/>
    <x v="1"/>
    <s v="Not Applicable"/>
    <x v="3"/>
    <n v="3.9"/>
    <s v="No"/>
    <s v="Biopsy"/>
    <s v="Chemotherapy"/>
    <n v="47"/>
    <s v="No"/>
  </r>
  <r>
    <s v="LC-1063"/>
    <n v="2018"/>
    <d v="2018-09-19T00:00:00"/>
    <s v="Europe"/>
    <s v="UK"/>
    <n v="57"/>
    <x v="1"/>
    <x v="0"/>
    <n v="22"/>
    <n v="21"/>
    <x v="0"/>
    <x v="0"/>
    <x v="0"/>
    <x v="0"/>
    <x v="0"/>
    <n v="24.3"/>
    <x v="2"/>
    <s v="No"/>
    <x v="0"/>
    <x v="0"/>
    <x v="0"/>
    <s v="TP53"/>
    <s v="Yes"/>
    <s v="Yes"/>
    <s v="Yes"/>
    <s v="No"/>
    <s v="Yes"/>
    <s v="No"/>
    <s v="No"/>
    <s v="No"/>
    <s v="No"/>
    <s v="No"/>
    <x v="0"/>
    <s v="Adenocarcinoma"/>
    <x v="0"/>
    <n v="10.7"/>
    <s v="Yes"/>
    <s v="PET Scan"/>
    <s v="Immunotherapy"/>
    <n v="15"/>
    <s v="No"/>
  </r>
  <r>
    <s v="LC-1064"/>
    <n v="2024"/>
    <d v="2024-03-28T00:00:00"/>
    <s v="Western Pacific"/>
    <s v="Vietnam"/>
    <n v="64"/>
    <x v="1"/>
    <x v="2"/>
    <n v="0"/>
    <n v="0"/>
    <x v="1"/>
    <x v="1"/>
    <x v="1"/>
    <x v="1"/>
    <x v="0"/>
    <n v="16"/>
    <x v="1"/>
    <s v="No"/>
    <x v="0"/>
    <x v="0"/>
    <x v="0"/>
    <s v="No Mutation"/>
    <s v="Yes"/>
    <s v="No"/>
    <s v="No"/>
    <s v="No"/>
    <s v="Yes"/>
    <s v="No"/>
    <s v="No"/>
    <s v="No"/>
    <s v="No"/>
    <s v="Yes"/>
    <x v="0"/>
    <s v="Squamous Cell"/>
    <x v="0"/>
    <n v="6.9"/>
    <s v="Yes"/>
    <s v="Biopsy"/>
    <s v="Immunotherapy"/>
    <n v="10"/>
    <s v="No"/>
  </r>
  <r>
    <s v="LC-1065"/>
    <n v="2021"/>
    <d v="2021-01-07T00:00:00"/>
    <s v="Western Pacific"/>
    <s v="Mongolia"/>
    <n v="60"/>
    <x v="0"/>
    <x v="2"/>
    <n v="0"/>
    <n v="0"/>
    <x v="1"/>
    <x v="1"/>
    <x v="0"/>
    <x v="0"/>
    <x v="2"/>
    <n v="29.1"/>
    <x v="2"/>
    <s v="No"/>
    <x v="0"/>
    <x v="0"/>
    <x v="0"/>
    <s v="EGFR"/>
    <s v="No"/>
    <s v="No"/>
    <s v="No"/>
    <s v="No"/>
    <s v="Yes"/>
    <s v="No"/>
    <s v="Yes"/>
    <s v="No"/>
    <s v="No"/>
    <s v="Yes"/>
    <x v="0"/>
    <s v="Adenocarcinoma"/>
    <x v="3"/>
    <n v="4.9000000000000004"/>
    <s v="No"/>
    <s v="Bronchoscopy"/>
    <s v="Chemotherapy"/>
    <n v="48"/>
    <s v="No"/>
  </r>
  <r>
    <s v="LC-1066"/>
    <n v="2018"/>
    <d v="2018-03-25T00:00:00"/>
    <s v="Western Pacific"/>
    <s v="Malaysia"/>
    <n v="49"/>
    <x v="0"/>
    <x v="1"/>
    <n v="12"/>
    <n v="6"/>
    <x v="1"/>
    <x v="0"/>
    <x v="0"/>
    <x v="2"/>
    <x v="1"/>
    <n v="28.5"/>
    <x v="1"/>
    <s v="Yes"/>
    <x v="0"/>
    <x v="0"/>
    <x v="0"/>
    <s v="BRAF"/>
    <s v="Yes"/>
    <s v="Yes"/>
    <s v="No"/>
    <s v="No"/>
    <s v="Yes"/>
    <s v="Yes"/>
    <s v="No"/>
    <s v="No"/>
    <s v="No"/>
    <s v="No"/>
    <x v="0"/>
    <s v="Squamous Cell"/>
    <x v="1"/>
    <n v="2"/>
    <s v="No"/>
    <s v="Biopsy"/>
    <s v="Radiotherapy"/>
    <n v="78"/>
    <s v="No"/>
  </r>
  <r>
    <s v="LC-1067"/>
    <n v="2022"/>
    <d v="2022-02-10T00:00:00"/>
    <s v="South-East Asia"/>
    <s v="Indonesia"/>
    <n v="69"/>
    <x v="1"/>
    <x v="2"/>
    <n v="0"/>
    <n v="0"/>
    <x v="0"/>
    <x v="0"/>
    <x v="0"/>
    <x v="0"/>
    <x v="2"/>
    <n v="22.1"/>
    <x v="1"/>
    <s v="No"/>
    <x v="0"/>
    <x v="0"/>
    <x v="0"/>
    <s v="No Mutation"/>
    <s v="No"/>
    <s v="Yes"/>
    <s v="Yes"/>
    <s v="Yes"/>
    <s v="Yes"/>
    <s v="No"/>
    <s v="Yes"/>
    <s v="No"/>
    <s v="No"/>
    <s v="No"/>
    <x v="0"/>
    <s v="Adenocarcinoma"/>
    <x v="1"/>
    <n v="2"/>
    <s v="No"/>
    <s v="LDCT Screening"/>
    <s v="Surgery"/>
    <n v="55"/>
    <s v="Yes"/>
  </r>
  <r>
    <s v="LC-1068"/>
    <n v="2025"/>
    <d v="2025-10-08T00:00:00"/>
    <s v="Europe"/>
    <s v="Sweden"/>
    <n v="63"/>
    <x v="0"/>
    <x v="2"/>
    <n v="0"/>
    <n v="0"/>
    <x v="0"/>
    <x v="0"/>
    <x v="0"/>
    <x v="1"/>
    <x v="2"/>
    <n v="24.4"/>
    <x v="0"/>
    <s v="No"/>
    <x v="0"/>
    <x v="0"/>
    <x v="0"/>
    <s v="TP53"/>
    <s v="No"/>
    <s v="No"/>
    <s v="No"/>
    <s v="Yes"/>
    <s v="Yes"/>
    <s v="No"/>
    <s v="No"/>
    <s v="No"/>
    <s v="No"/>
    <s v="No"/>
    <x v="1"/>
    <s v="Not Applicable"/>
    <x v="1"/>
    <n v="2.2000000000000002"/>
    <s v="No"/>
    <s v="CT Scan"/>
    <s v="Surgery"/>
    <n v="29"/>
    <s v="Yes"/>
  </r>
  <r>
    <s v="LC-1069"/>
    <n v="2016"/>
    <d v="2016-07-22T00:00:00"/>
    <s v="Western Pacific"/>
    <s v="Singapore"/>
    <n v="56"/>
    <x v="0"/>
    <x v="0"/>
    <n v="34"/>
    <n v="16"/>
    <x v="1"/>
    <x v="1"/>
    <x v="0"/>
    <x v="2"/>
    <x v="0"/>
    <n v="26"/>
    <x v="2"/>
    <s v="No"/>
    <x v="0"/>
    <x v="0"/>
    <x v="0"/>
    <s v="No Mutation"/>
    <s v="No"/>
    <s v="Yes"/>
    <s v="Yes"/>
    <s v="Yes"/>
    <s v="No"/>
    <s v="No"/>
    <s v="Yes"/>
    <s v="No"/>
    <s v="No"/>
    <s v="No"/>
    <x v="0"/>
    <s v="Squamous Cell"/>
    <x v="3"/>
    <n v="4.2"/>
    <s v="No"/>
    <s v="CT Scan"/>
    <s v="Chemotherapy"/>
    <n v="32"/>
    <s v="Yes"/>
  </r>
  <r>
    <s v="LC-1070"/>
    <n v="2020"/>
    <d v="2020-06-13T00:00:00"/>
    <s v="Europe"/>
    <s v="France"/>
    <n v="69"/>
    <x v="1"/>
    <x v="0"/>
    <n v="30"/>
    <n v="22"/>
    <x v="1"/>
    <x v="0"/>
    <x v="0"/>
    <x v="2"/>
    <x v="0"/>
    <n v="27"/>
    <x v="1"/>
    <s v="Yes"/>
    <x v="0"/>
    <x v="0"/>
    <x v="0"/>
    <s v="No Mutation"/>
    <s v="Yes"/>
    <s v="No"/>
    <s v="Yes"/>
    <s v="Yes"/>
    <s v="Yes"/>
    <s v="No"/>
    <s v="Yes"/>
    <s v="No"/>
    <s v="No"/>
    <s v="No"/>
    <x v="0"/>
    <s v="Squamous Cell"/>
    <x v="0"/>
    <n v="6.3"/>
    <s v="Yes"/>
    <s v="Bronchoscopy"/>
    <s v="Immunotherapy"/>
    <n v="18"/>
    <s v="No"/>
  </r>
  <r>
    <s v="LC-1071"/>
    <n v="2016"/>
    <d v="2016-12-24T00:00:00"/>
    <s v="South-East Asia"/>
    <s v="Bangladesh"/>
    <n v="52"/>
    <x v="0"/>
    <x v="2"/>
    <n v="0"/>
    <n v="0"/>
    <x v="1"/>
    <x v="0"/>
    <x v="0"/>
    <x v="0"/>
    <x v="1"/>
    <n v="25"/>
    <x v="1"/>
    <s v="No"/>
    <x v="0"/>
    <x v="0"/>
    <x v="0"/>
    <s v="No Mutation"/>
    <s v="No"/>
    <s v="Yes"/>
    <s v="No"/>
    <s v="No"/>
    <s v="Yes"/>
    <s v="No"/>
    <s v="No"/>
    <s v="No"/>
    <s v="No"/>
    <s v="Yes"/>
    <x v="1"/>
    <s v="Not Applicable"/>
    <x v="0"/>
    <n v="3.5"/>
    <s v="Yes"/>
    <s v="Biopsy"/>
    <s v="Chemo + Radiation"/>
    <n v="13"/>
    <s v="No"/>
  </r>
  <r>
    <s v="LC-1072"/>
    <n v="2025"/>
    <d v="2025-09-24T00:00:00"/>
    <s v="Western Pacific"/>
    <s v="Vietnam"/>
    <n v="55"/>
    <x v="0"/>
    <x v="2"/>
    <n v="0"/>
    <n v="0"/>
    <x v="0"/>
    <x v="0"/>
    <x v="1"/>
    <x v="1"/>
    <x v="2"/>
    <n v="16"/>
    <x v="2"/>
    <s v="No"/>
    <x v="0"/>
    <x v="0"/>
    <x v="0"/>
    <s v="No Mutation"/>
    <s v="Yes"/>
    <s v="Yes"/>
    <s v="No"/>
    <s v="No"/>
    <s v="Yes"/>
    <s v="No"/>
    <s v="No"/>
    <s v="No"/>
    <s v="No"/>
    <s v="No"/>
    <x v="0"/>
    <s v="Adenocarcinoma"/>
    <x v="1"/>
    <n v="3.3"/>
    <s v="No"/>
    <s v="LDCT Screening"/>
    <s v="Surgery"/>
    <n v="62"/>
    <s v="No"/>
  </r>
  <r>
    <s v="LC-1073"/>
    <n v="2015"/>
    <d v="2015-01-04T00:00:00"/>
    <s v="Europe"/>
    <s v="Turkey"/>
    <n v="54"/>
    <x v="1"/>
    <x v="0"/>
    <n v="18"/>
    <n v="16"/>
    <x v="1"/>
    <x v="0"/>
    <x v="0"/>
    <x v="1"/>
    <x v="2"/>
    <n v="27.9"/>
    <x v="0"/>
    <s v="No"/>
    <x v="0"/>
    <x v="0"/>
    <x v="0"/>
    <s v="KRAS"/>
    <s v="Yes"/>
    <s v="Yes"/>
    <s v="Yes"/>
    <s v="Yes"/>
    <s v="Yes"/>
    <s v="No"/>
    <s v="No"/>
    <s v="No"/>
    <s v="No"/>
    <s v="No"/>
    <x v="0"/>
    <s v="Squamous Cell"/>
    <x v="0"/>
    <n v="8.3000000000000007"/>
    <s v="Yes"/>
    <s v="CT Scan"/>
    <s v="Radiotherapy"/>
    <n v="10"/>
    <s v="No"/>
  </r>
  <r>
    <s v="LC-1074"/>
    <n v="2024"/>
    <d v="2024-04-27T00:00:00"/>
    <s v="Western Pacific"/>
    <s v="Japan"/>
    <n v="70"/>
    <x v="0"/>
    <x v="2"/>
    <n v="0"/>
    <n v="0"/>
    <x v="1"/>
    <x v="0"/>
    <x v="0"/>
    <x v="1"/>
    <x v="1"/>
    <n v="20.2"/>
    <x v="0"/>
    <s v="No"/>
    <x v="0"/>
    <x v="0"/>
    <x v="0"/>
    <s v="No Mutation"/>
    <s v="No"/>
    <s v="Yes"/>
    <s v="Yes"/>
    <s v="Yes"/>
    <s v="Yes"/>
    <s v="No"/>
    <s v="No"/>
    <s v="Yes"/>
    <s v="No"/>
    <s v="No"/>
    <x v="0"/>
    <s v="Adenocarcinoma"/>
    <x v="2"/>
    <n v="4.5999999999999996"/>
    <s v="No"/>
    <s v="CT Scan"/>
    <s v="Chemotherapy"/>
    <n v="35"/>
    <s v="No"/>
  </r>
  <r>
    <s v="LC-1075"/>
    <n v="2019"/>
    <d v="2019-06-20T00:00:00"/>
    <s v="Europe"/>
    <s v="Sweden"/>
    <n v="38"/>
    <x v="0"/>
    <x v="2"/>
    <n v="0"/>
    <n v="0"/>
    <x v="0"/>
    <x v="1"/>
    <x v="0"/>
    <x v="0"/>
    <x v="2"/>
    <n v="22.4"/>
    <x v="0"/>
    <s v="No"/>
    <x v="0"/>
    <x v="0"/>
    <x v="0"/>
    <s v="KRAS"/>
    <s v="No"/>
    <s v="No"/>
    <s v="No"/>
    <s v="No"/>
    <s v="Yes"/>
    <s v="No"/>
    <s v="No"/>
    <s v="No"/>
    <s v="No"/>
    <s v="No"/>
    <x v="0"/>
    <s v="Squamous Cell"/>
    <x v="2"/>
    <n v="5.7"/>
    <s v="No"/>
    <s v="Chest X-Ray"/>
    <s v="Surgery + Chemotherapy"/>
    <n v="35"/>
    <s v="Yes"/>
  </r>
  <r>
    <s v="LC-1076"/>
    <n v="2021"/>
    <d v="2021-10-13T00:00:00"/>
    <s v="Western Pacific"/>
    <s v="Vietnam"/>
    <n v="74"/>
    <x v="0"/>
    <x v="0"/>
    <n v="16"/>
    <n v="36"/>
    <x v="0"/>
    <x v="1"/>
    <x v="0"/>
    <x v="1"/>
    <x v="1"/>
    <n v="25.4"/>
    <x v="2"/>
    <s v="No"/>
    <x v="0"/>
    <x v="0"/>
    <x v="0"/>
    <s v="KRAS"/>
    <s v="Yes"/>
    <s v="No"/>
    <s v="No"/>
    <s v="Yes"/>
    <s v="Yes"/>
    <s v="No"/>
    <s v="Yes"/>
    <s v="No"/>
    <s v="No"/>
    <s v="No"/>
    <x v="0"/>
    <s v="Adenocarcinoma"/>
    <x v="0"/>
    <n v="8.5"/>
    <s v="Yes"/>
    <s v="LDCT Screening"/>
    <s v="Immunotherapy"/>
    <n v="10"/>
    <s v="No"/>
  </r>
  <r>
    <s v="LC-1077"/>
    <n v="2022"/>
    <d v="2022-01-21T00:00:00"/>
    <s v="Eastern Mediterranean"/>
    <s v="Iraq"/>
    <n v="48"/>
    <x v="1"/>
    <x v="1"/>
    <n v="24"/>
    <n v="9"/>
    <x v="0"/>
    <x v="1"/>
    <x v="0"/>
    <x v="1"/>
    <x v="0"/>
    <n v="21.2"/>
    <x v="0"/>
    <s v="Yes"/>
    <x v="0"/>
    <x v="0"/>
    <x v="0"/>
    <s v="TP53"/>
    <s v="Yes"/>
    <s v="No"/>
    <s v="No"/>
    <s v="Yes"/>
    <s v="Yes"/>
    <s v="No"/>
    <s v="No"/>
    <s v="Yes"/>
    <s v="No"/>
    <s v="No"/>
    <x v="0"/>
    <s v="Adenocarcinoma"/>
    <x v="2"/>
    <n v="5.7"/>
    <s v="No"/>
    <s v="CT Scan"/>
    <s v="Chemotherapy"/>
    <n v="23"/>
    <s v="Yes"/>
  </r>
  <r>
    <s v="LC-1078"/>
    <n v="2020"/>
    <d v="2020-08-16T00:00:00"/>
    <s v="South-East Asia"/>
    <s v="Thailand"/>
    <n v="80"/>
    <x v="0"/>
    <x v="2"/>
    <n v="0"/>
    <n v="0"/>
    <x v="0"/>
    <x v="0"/>
    <x v="0"/>
    <x v="2"/>
    <x v="2"/>
    <n v="21.7"/>
    <x v="0"/>
    <s v="No"/>
    <x v="0"/>
    <x v="1"/>
    <x v="0"/>
    <s v="No Mutation"/>
    <s v="Yes"/>
    <s v="No"/>
    <s v="No"/>
    <s v="No"/>
    <s v="Yes"/>
    <s v="No"/>
    <s v="Yes"/>
    <s v="Yes"/>
    <s v="No"/>
    <s v="No"/>
    <x v="0"/>
    <s v="Squamous Cell"/>
    <x v="1"/>
    <n v="2.2999999999999998"/>
    <s v="No"/>
    <s v="LDCT Screening"/>
    <s v="Surgery"/>
    <n v="82"/>
    <s v="Yes"/>
  </r>
  <r>
    <s v="LC-1079"/>
    <n v="2020"/>
    <d v="2020-06-18T00:00:00"/>
    <s v="Americas"/>
    <s v="Chile"/>
    <n v="43"/>
    <x v="1"/>
    <x v="2"/>
    <n v="0"/>
    <n v="0"/>
    <x v="0"/>
    <x v="0"/>
    <x v="0"/>
    <x v="0"/>
    <x v="2"/>
    <n v="25.6"/>
    <x v="0"/>
    <s v="Yes"/>
    <x v="0"/>
    <x v="1"/>
    <x v="0"/>
    <s v="EGFR"/>
    <s v="No"/>
    <s v="No"/>
    <s v="No"/>
    <s v="No"/>
    <s v="Yes"/>
    <s v="Yes"/>
    <s v="Yes"/>
    <s v="Yes"/>
    <s v="No"/>
    <s v="Yes"/>
    <x v="0"/>
    <s v="Large Cell"/>
    <x v="1"/>
    <n v="2.1"/>
    <s v="No"/>
    <s v="Bronchoscopy"/>
    <s v="Targeted Therapy"/>
    <n v="63"/>
    <s v="Yes"/>
  </r>
  <r>
    <s v="LC-1080"/>
    <n v="2017"/>
    <d v="2017-07-06T00:00:00"/>
    <s v="Americas"/>
    <s v="Venezuela"/>
    <n v="57"/>
    <x v="1"/>
    <x v="0"/>
    <n v="31"/>
    <n v="20"/>
    <x v="0"/>
    <x v="0"/>
    <x v="0"/>
    <x v="0"/>
    <x v="2"/>
    <n v="27.6"/>
    <x v="0"/>
    <s v="No"/>
    <x v="0"/>
    <x v="0"/>
    <x v="0"/>
    <s v="TP53"/>
    <s v="Yes"/>
    <s v="Yes"/>
    <s v="Yes"/>
    <s v="No"/>
    <s v="Yes"/>
    <s v="No"/>
    <s v="No"/>
    <s v="No"/>
    <s v="No"/>
    <s v="No"/>
    <x v="0"/>
    <s v="Adenocarcinoma"/>
    <x v="2"/>
    <n v="5.6"/>
    <s v="No"/>
    <s v="Chest X-Ray"/>
    <s v="Chemo + Radiation"/>
    <n v="8"/>
    <s v="No"/>
  </r>
  <r>
    <s v="LC-1081"/>
    <n v="2020"/>
    <d v="2020-11-13T00:00:00"/>
    <s v="Western Pacific"/>
    <s v="Japan"/>
    <n v="64"/>
    <x v="0"/>
    <x v="2"/>
    <n v="0"/>
    <n v="0"/>
    <x v="1"/>
    <x v="0"/>
    <x v="1"/>
    <x v="1"/>
    <x v="0"/>
    <n v="27.4"/>
    <x v="0"/>
    <s v="No"/>
    <x v="0"/>
    <x v="0"/>
    <x v="0"/>
    <s v="No Mutation"/>
    <s v="Yes"/>
    <s v="No"/>
    <s v="Yes"/>
    <s v="Yes"/>
    <s v="Yes"/>
    <s v="No"/>
    <s v="Yes"/>
    <s v="No"/>
    <s v="No"/>
    <s v="No"/>
    <x v="0"/>
    <s v="Adenocarcinoma"/>
    <x v="0"/>
    <n v="8.6"/>
    <s v="Yes"/>
    <s v="Biopsy"/>
    <s v="Palliative Care"/>
    <n v="7"/>
    <s v="No"/>
  </r>
  <r>
    <s v="LC-1082"/>
    <n v="2018"/>
    <d v="2018-10-10T00:00:00"/>
    <s v="Western Pacific"/>
    <s v="Australia"/>
    <n v="56"/>
    <x v="1"/>
    <x v="0"/>
    <n v="35"/>
    <n v="26"/>
    <x v="0"/>
    <x v="1"/>
    <x v="0"/>
    <x v="0"/>
    <x v="2"/>
    <n v="22.8"/>
    <x v="0"/>
    <s v="Yes"/>
    <x v="0"/>
    <x v="0"/>
    <x v="0"/>
    <s v="No Mutation"/>
    <s v="Yes"/>
    <s v="No"/>
    <s v="Yes"/>
    <s v="No"/>
    <s v="Yes"/>
    <s v="Yes"/>
    <s v="Yes"/>
    <s v="No"/>
    <s v="Yes"/>
    <s v="No"/>
    <x v="0"/>
    <s v="Adenocarcinoma"/>
    <x v="3"/>
    <n v="2.2000000000000002"/>
    <s v="No"/>
    <s v="CT Scan"/>
    <s v="Surgery + Chemotherapy"/>
    <n v="35"/>
    <s v="Yes"/>
  </r>
  <r>
    <s v="LC-1083"/>
    <n v="2020"/>
    <d v="2020-12-03T00:00:00"/>
    <s v="South-East Asia"/>
    <s v="Bangladesh"/>
    <n v="61"/>
    <x v="0"/>
    <x v="2"/>
    <n v="0"/>
    <n v="0"/>
    <x v="1"/>
    <x v="0"/>
    <x v="0"/>
    <x v="1"/>
    <x v="0"/>
    <n v="25.5"/>
    <x v="1"/>
    <s v="No"/>
    <x v="0"/>
    <x v="0"/>
    <x v="0"/>
    <s v="BRAF"/>
    <s v="Yes"/>
    <s v="No"/>
    <s v="Yes"/>
    <s v="No"/>
    <s v="No"/>
    <s v="No"/>
    <s v="No"/>
    <s v="No"/>
    <s v="Yes"/>
    <s v="No"/>
    <x v="0"/>
    <s v="Adenocarcinoma"/>
    <x v="3"/>
    <n v="3.9"/>
    <s v="No"/>
    <s v="Biopsy"/>
    <s v="Surgery + Chemotherapy"/>
    <n v="30"/>
    <s v="Yes"/>
  </r>
  <r>
    <s v="LC-1084"/>
    <n v="2022"/>
    <d v="2022-05-05T00:00:00"/>
    <s v="Americas"/>
    <s v="Chile"/>
    <n v="64"/>
    <x v="0"/>
    <x v="2"/>
    <n v="0"/>
    <n v="0"/>
    <x v="0"/>
    <x v="0"/>
    <x v="0"/>
    <x v="2"/>
    <x v="0"/>
    <n v="25.7"/>
    <x v="0"/>
    <s v="No"/>
    <x v="1"/>
    <x v="0"/>
    <x v="0"/>
    <s v="No Mutation"/>
    <s v="Yes"/>
    <s v="No"/>
    <s v="No"/>
    <s v="No"/>
    <s v="No"/>
    <s v="No"/>
    <s v="No"/>
    <s v="Yes"/>
    <s v="No"/>
    <s v="Yes"/>
    <x v="0"/>
    <s v="Adenocarcinoma"/>
    <x v="3"/>
    <n v="3.6"/>
    <s v="No"/>
    <s v="CT Scan"/>
    <s v="Radiotherapy"/>
    <n v="6"/>
    <s v="No"/>
  </r>
  <r>
    <s v="LC-1085"/>
    <n v="2020"/>
    <d v="2020-12-26T00:00:00"/>
    <s v="Europe"/>
    <s v="France"/>
    <n v="57"/>
    <x v="1"/>
    <x v="0"/>
    <n v="15"/>
    <n v="29"/>
    <x v="1"/>
    <x v="0"/>
    <x v="0"/>
    <x v="0"/>
    <x v="2"/>
    <n v="24.5"/>
    <x v="0"/>
    <s v="No"/>
    <x v="0"/>
    <x v="0"/>
    <x v="0"/>
    <s v="No Mutation"/>
    <s v="Yes"/>
    <s v="No"/>
    <s v="No"/>
    <s v="Yes"/>
    <s v="Yes"/>
    <s v="Yes"/>
    <s v="Yes"/>
    <s v="Yes"/>
    <s v="No"/>
    <s v="No"/>
    <x v="0"/>
    <s v="Squamous Cell"/>
    <x v="0"/>
    <n v="5.6"/>
    <s v="Yes"/>
    <s v="CT Scan"/>
    <s v="Immunotherapy"/>
    <n v="3"/>
    <s v="No"/>
  </r>
  <r>
    <s v="LC-1086"/>
    <n v="2025"/>
    <d v="2025-12-13T00:00:00"/>
    <s v="Europe"/>
    <s v="Russia"/>
    <n v="52"/>
    <x v="0"/>
    <x v="2"/>
    <n v="0"/>
    <n v="0"/>
    <x v="0"/>
    <x v="0"/>
    <x v="1"/>
    <x v="1"/>
    <x v="2"/>
    <n v="24.5"/>
    <x v="0"/>
    <s v="No"/>
    <x v="0"/>
    <x v="1"/>
    <x v="0"/>
    <s v="No Mutation"/>
    <s v="Yes"/>
    <s v="Yes"/>
    <s v="No"/>
    <s v="No"/>
    <s v="Yes"/>
    <s v="No"/>
    <s v="No"/>
    <s v="No"/>
    <s v="Yes"/>
    <s v="No"/>
    <x v="0"/>
    <s v="Adenocarcinoma"/>
    <x v="2"/>
    <n v="5.0999999999999996"/>
    <s v="Yes"/>
    <s v="Bronchoscopy"/>
    <s v="Radiotherapy"/>
    <n v="8"/>
    <s v="No"/>
  </r>
  <r>
    <s v="LC-1087"/>
    <n v="2017"/>
    <d v="2017-06-04T00:00:00"/>
    <s v="Africa"/>
    <s v="South Africa"/>
    <n v="39"/>
    <x v="1"/>
    <x v="2"/>
    <n v="0"/>
    <n v="0"/>
    <x v="1"/>
    <x v="0"/>
    <x v="0"/>
    <x v="0"/>
    <x v="0"/>
    <n v="24.2"/>
    <x v="0"/>
    <s v="No"/>
    <x v="0"/>
    <x v="0"/>
    <x v="0"/>
    <s v="TP53"/>
    <s v="Yes"/>
    <s v="No"/>
    <s v="No"/>
    <s v="Yes"/>
    <s v="Yes"/>
    <s v="No"/>
    <s v="No"/>
    <s v="Yes"/>
    <s v="No"/>
    <s v="No"/>
    <x v="0"/>
    <s v="Adenocarcinoma"/>
    <x v="0"/>
    <n v="5.9"/>
    <s v="Yes"/>
    <s v="Biopsy"/>
    <s v="Targeted Therapy"/>
    <n v="10"/>
    <s v="No"/>
  </r>
  <r>
    <s v="LC-1088"/>
    <n v="2018"/>
    <d v="2018-01-10T00:00:00"/>
    <s v="South-East Asia"/>
    <s v="Maldives"/>
    <n v="50"/>
    <x v="0"/>
    <x v="2"/>
    <n v="0"/>
    <n v="0"/>
    <x v="1"/>
    <x v="1"/>
    <x v="0"/>
    <x v="1"/>
    <x v="2"/>
    <n v="23.9"/>
    <x v="2"/>
    <s v="No"/>
    <x v="0"/>
    <x v="0"/>
    <x v="1"/>
    <s v="EGFR"/>
    <s v="No"/>
    <s v="No"/>
    <s v="Yes"/>
    <s v="No"/>
    <s v="No"/>
    <s v="No"/>
    <s v="Yes"/>
    <s v="No"/>
    <s v="No"/>
    <s v="No"/>
    <x v="0"/>
    <s v="Large Cell"/>
    <x v="1"/>
    <n v="2.1"/>
    <s v="No"/>
    <s v="CT Scan"/>
    <s v="Surgery"/>
    <n v="80"/>
    <s v="No"/>
  </r>
  <r>
    <s v="LC-1089"/>
    <n v="2024"/>
    <d v="2024-06-25T00:00:00"/>
    <s v="South-East Asia"/>
    <s v="Myanmar"/>
    <n v="56"/>
    <x v="1"/>
    <x v="2"/>
    <n v="0"/>
    <n v="0"/>
    <x v="0"/>
    <x v="0"/>
    <x v="0"/>
    <x v="1"/>
    <x v="2"/>
    <n v="25.7"/>
    <x v="2"/>
    <s v="No"/>
    <x v="0"/>
    <x v="0"/>
    <x v="0"/>
    <s v="EGFR"/>
    <s v="No"/>
    <s v="Yes"/>
    <s v="Yes"/>
    <s v="No"/>
    <s v="No"/>
    <s v="Yes"/>
    <s v="No"/>
    <s v="No"/>
    <s v="No"/>
    <s v="No"/>
    <x v="0"/>
    <s v="Squamous Cell"/>
    <x v="2"/>
    <n v="5.5"/>
    <s v="Yes"/>
    <s v="Biopsy"/>
    <s v="Chemo + Radiation"/>
    <n v="19"/>
    <s v="No"/>
  </r>
  <r>
    <s v="LC-1090"/>
    <n v="2024"/>
    <d v="2024-02-05T00:00:00"/>
    <s v="Americas"/>
    <s v="Canada"/>
    <n v="65"/>
    <x v="1"/>
    <x v="2"/>
    <n v="0"/>
    <n v="0"/>
    <x v="1"/>
    <x v="1"/>
    <x v="0"/>
    <x v="2"/>
    <x v="2"/>
    <n v="23.3"/>
    <x v="1"/>
    <s v="No"/>
    <x v="0"/>
    <x v="0"/>
    <x v="0"/>
    <s v="EGFR"/>
    <s v="No"/>
    <s v="No"/>
    <s v="No"/>
    <s v="No"/>
    <s v="No"/>
    <s v="No"/>
    <s v="No"/>
    <s v="No"/>
    <s v="No"/>
    <s v="No"/>
    <x v="0"/>
    <s v="Adenocarcinoma"/>
    <x v="2"/>
    <n v="3.8"/>
    <s v="Yes"/>
    <s v="CT Scan"/>
    <s v="Immunotherapy"/>
    <n v="23"/>
    <s v="No"/>
  </r>
  <r>
    <s v="LC-1091"/>
    <n v="2025"/>
    <d v="2025-03-14T00:00:00"/>
    <s v="Western Pacific"/>
    <s v="New Zealand"/>
    <n v="48"/>
    <x v="1"/>
    <x v="2"/>
    <n v="0"/>
    <n v="0"/>
    <x v="0"/>
    <x v="0"/>
    <x v="0"/>
    <x v="0"/>
    <x v="2"/>
    <n v="21.5"/>
    <x v="1"/>
    <s v="No"/>
    <x v="0"/>
    <x v="0"/>
    <x v="1"/>
    <s v="EGFR"/>
    <s v="No"/>
    <s v="Yes"/>
    <s v="Yes"/>
    <s v="No"/>
    <s v="Yes"/>
    <s v="Yes"/>
    <s v="No"/>
    <s v="No"/>
    <s v="Yes"/>
    <s v="No"/>
    <x v="0"/>
    <s v="Adenocarcinoma"/>
    <x v="2"/>
    <n v="7"/>
    <s v="No"/>
    <s v="PET Scan"/>
    <s v="Chemo + Radiation"/>
    <n v="17"/>
    <s v="No"/>
  </r>
  <r>
    <s v="LC-1092"/>
    <n v="2025"/>
    <d v="2025-09-18T00:00:00"/>
    <s v="Western Pacific"/>
    <s v="Singapore"/>
    <n v="59"/>
    <x v="1"/>
    <x v="0"/>
    <n v="14"/>
    <n v="24"/>
    <x v="1"/>
    <x v="0"/>
    <x v="0"/>
    <x v="0"/>
    <x v="0"/>
    <n v="25"/>
    <x v="1"/>
    <s v="No"/>
    <x v="0"/>
    <x v="0"/>
    <x v="0"/>
    <s v="RET"/>
    <s v="Yes"/>
    <s v="Yes"/>
    <s v="No"/>
    <s v="Yes"/>
    <s v="No"/>
    <s v="Yes"/>
    <s v="No"/>
    <s v="No"/>
    <s v="No"/>
    <s v="No"/>
    <x v="0"/>
    <s v="Large Cell"/>
    <x v="1"/>
    <n v="1.6"/>
    <s v="No"/>
    <s v="Chest X-Ray"/>
    <s v="Radiotherapy"/>
    <n v="36"/>
    <s v="Yes"/>
  </r>
  <r>
    <s v="LC-1093"/>
    <n v="2016"/>
    <d v="2016-07-04T00:00:00"/>
    <s v="Europe"/>
    <s v="UK"/>
    <n v="63"/>
    <x v="1"/>
    <x v="2"/>
    <n v="0"/>
    <n v="0"/>
    <x v="1"/>
    <x v="0"/>
    <x v="0"/>
    <x v="0"/>
    <x v="2"/>
    <n v="19.5"/>
    <x v="2"/>
    <s v="No"/>
    <x v="0"/>
    <x v="0"/>
    <x v="0"/>
    <s v="EGFR"/>
    <s v="Yes"/>
    <s v="No"/>
    <s v="No"/>
    <s v="No"/>
    <s v="No"/>
    <s v="No"/>
    <s v="Yes"/>
    <s v="No"/>
    <s v="No"/>
    <s v="No"/>
    <x v="0"/>
    <s v="Adenocarcinoma"/>
    <x v="1"/>
    <n v="1.8"/>
    <s v="No"/>
    <s v="LDCT Screening"/>
    <s v="Surgery"/>
    <n v="78"/>
    <s v="Yes"/>
  </r>
  <r>
    <s v="LC-1094"/>
    <n v="2017"/>
    <d v="2017-02-12T00:00:00"/>
    <s v="South-East Asia"/>
    <s v="Timor-Leste"/>
    <n v="56"/>
    <x v="1"/>
    <x v="2"/>
    <n v="0"/>
    <n v="0"/>
    <x v="1"/>
    <x v="0"/>
    <x v="1"/>
    <x v="0"/>
    <x v="2"/>
    <n v="26.5"/>
    <x v="2"/>
    <s v="No"/>
    <x v="0"/>
    <x v="0"/>
    <x v="0"/>
    <s v="No Mutation"/>
    <s v="Yes"/>
    <s v="No"/>
    <s v="No"/>
    <s v="No"/>
    <s v="Yes"/>
    <s v="No"/>
    <s v="No"/>
    <s v="No"/>
    <s v="No"/>
    <s v="No"/>
    <x v="0"/>
    <s v="Large Cell"/>
    <x v="1"/>
    <n v="1.8"/>
    <s v="No"/>
    <s v="Bronchoscopy"/>
    <s v="Surgery"/>
    <n v="41"/>
    <s v="Yes"/>
  </r>
  <r>
    <s v="LC-1095"/>
    <n v="2016"/>
    <d v="2016-02-20T00:00:00"/>
    <s v="Western Pacific"/>
    <s v="Mongolia"/>
    <n v="48"/>
    <x v="0"/>
    <x v="2"/>
    <n v="0"/>
    <n v="0"/>
    <x v="0"/>
    <x v="0"/>
    <x v="0"/>
    <x v="1"/>
    <x v="0"/>
    <n v="33.1"/>
    <x v="0"/>
    <s v="Yes"/>
    <x v="0"/>
    <x v="0"/>
    <x v="0"/>
    <s v="EGFR"/>
    <s v="No"/>
    <s v="Yes"/>
    <s v="No"/>
    <s v="No"/>
    <s v="No"/>
    <s v="No"/>
    <s v="No"/>
    <s v="No"/>
    <s v="No"/>
    <s v="No"/>
    <x v="0"/>
    <s v="Large Cell"/>
    <x v="3"/>
    <n v="2.9"/>
    <s v="No"/>
    <s v="CT Scan"/>
    <s v="Immunotherapy"/>
    <n v="57"/>
    <s v="No"/>
  </r>
  <r>
    <s v="LC-1096"/>
    <n v="2024"/>
    <d v="2024-06-28T00:00:00"/>
    <s v="Western Pacific"/>
    <s v="Malaysia"/>
    <n v="74"/>
    <x v="0"/>
    <x v="2"/>
    <n v="0"/>
    <n v="0"/>
    <x v="0"/>
    <x v="0"/>
    <x v="0"/>
    <x v="1"/>
    <x v="0"/>
    <n v="22.6"/>
    <x v="2"/>
    <s v="No"/>
    <x v="0"/>
    <x v="0"/>
    <x v="0"/>
    <s v="ALK"/>
    <s v="Yes"/>
    <s v="No"/>
    <s v="No"/>
    <s v="No"/>
    <s v="Yes"/>
    <s v="No"/>
    <s v="No"/>
    <s v="No"/>
    <s v="Yes"/>
    <s v="Yes"/>
    <x v="0"/>
    <s v="Large Cell"/>
    <x v="2"/>
    <n v="6.7"/>
    <s v="No"/>
    <s v="PET Scan"/>
    <s v="Chemo + Radiation"/>
    <n v="25"/>
    <s v="No"/>
  </r>
  <r>
    <s v="LC-1097"/>
    <n v="2025"/>
    <d v="2025-01-10T00:00:00"/>
    <s v="Western Pacific"/>
    <s v="Malaysia"/>
    <n v="60"/>
    <x v="0"/>
    <x v="2"/>
    <n v="0"/>
    <n v="0"/>
    <x v="1"/>
    <x v="0"/>
    <x v="0"/>
    <x v="0"/>
    <x v="1"/>
    <n v="22.4"/>
    <x v="1"/>
    <s v="No"/>
    <x v="0"/>
    <x v="0"/>
    <x v="1"/>
    <s v="ROS1"/>
    <s v="Yes"/>
    <s v="No"/>
    <s v="No"/>
    <s v="No"/>
    <s v="No"/>
    <s v="No"/>
    <s v="No"/>
    <s v="No"/>
    <s v="Yes"/>
    <s v="No"/>
    <x v="0"/>
    <s v="Large Cell"/>
    <x v="0"/>
    <n v="9.9"/>
    <s v="Yes"/>
    <s v="Biopsy"/>
    <s v="Chemotherapy"/>
    <n v="17"/>
    <s v="No"/>
  </r>
  <r>
    <s v="LC-1098"/>
    <n v="2015"/>
    <d v="2015-07-25T00:00:00"/>
    <s v="Europe"/>
    <s v="Germany"/>
    <n v="53"/>
    <x v="0"/>
    <x v="2"/>
    <n v="0"/>
    <n v="0"/>
    <x v="1"/>
    <x v="0"/>
    <x v="0"/>
    <x v="2"/>
    <x v="2"/>
    <n v="29.5"/>
    <x v="2"/>
    <s v="No"/>
    <x v="0"/>
    <x v="0"/>
    <x v="0"/>
    <s v="No Mutation"/>
    <s v="Yes"/>
    <s v="No"/>
    <s v="No"/>
    <s v="No"/>
    <s v="Yes"/>
    <s v="No"/>
    <s v="No"/>
    <s v="No"/>
    <s v="Yes"/>
    <s v="No"/>
    <x v="0"/>
    <s v="Adenocarcinoma"/>
    <x v="1"/>
    <n v="1.4"/>
    <s v="No"/>
    <s v="LDCT Screening"/>
    <s v="Surgery"/>
    <n v="34"/>
    <s v="Yes"/>
  </r>
  <r>
    <s v="LC-1099"/>
    <n v="2024"/>
    <d v="2024-12-18T00:00:00"/>
    <s v="Europe"/>
    <s v="Italy"/>
    <n v="68"/>
    <x v="1"/>
    <x v="0"/>
    <n v="6"/>
    <n v="28"/>
    <x v="0"/>
    <x v="0"/>
    <x v="0"/>
    <x v="2"/>
    <x v="0"/>
    <n v="21.3"/>
    <x v="2"/>
    <s v="Yes"/>
    <x v="0"/>
    <x v="0"/>
    <x v="1"/>
    <s v="No Mutation"/>
    <s v="Yes"/>
    <s v="Yes"/>
    <s v="No"/>
    <s v="Yes"/>
    <s v="Yes"/>
    <s v="Yes"/>
    <s v="No"/>
    <s v="No"/>
    <s v="No"/>
    <s v="No"/>
    <x v="0"/>
    <s v="Large Cell"/>
    <x v="2"/>
    <n v="5.0999999999999996"/>
    <s v="No"/>
    <s v="Chest X-Ray"/>
    <s v="Chemo + Radiation"/>
    <n v="20"/>
    <s v="No"/>
  </r>
  <r>
    <s v="LC-1100"/>
    <n v="2022"/>
    <d v="2022-10-17T00:00:00"/>
    <s v="Europe"/>
    <s v="France"/>
    <n v="47"/>
    <x v="1"/>
    <x v="0"/>
    <n v="31"/>
    <n v="26"/>
    <x v="0"/>
    <x v="1"/>
    <x v="0"/>
    <x v="0"/>
    <x v="2"/>
    <n v="27.7"/>
    <x v="1"/>
    <s v="No"/>
    <x v="0"/>
    <x v="0"/>
    <x v="0"/>
    <s v="KRAS"/>
    <s v="Yes"/>
    <s v="Yes"/>
    <s v="No"/>
    <s v="Yes"/>
    <s v="Yes"/>
    <s v="Yes"/>
    <s v="Yes"/>
    <s v="No"/>
    <s v="No"/>
    <s v="No"/>
    <x v="0"/>
    <s v="Squamous Cell"/>
    <x v="3"/>
    <n v="4.9000000000000004"/>
    <s v="No"/>
    <s v="Biopsy"/>
    <s v="Surgery"/>
    <n v="32"/>
    <s v="Yes"/>
  </r>
  <r>
    <s v="LC-1101"/>
    <n v="2023"/>
    <d v="2023-11-13T00:00:00"/>
    <s v="Western Pacific"/>
    <s v="South Korea"/>
    <n v="65"/>
    <x v="1"/>
    <x v="1"/>
    <n v="24"/>
    <n v="14"/>
    <x v="1"/>
    <x v="0"/>
    <x v="0"/>
    <x v="2"/>
    <x v="2"/>
    <n v="30.5"/>
    <x v="1"/>
    <s v="No"/>
    <x v="0"/>
    <x v="0"/>
    <x v="0"/>
    <s v="TP53"/>
    <s v="No"/>
    <s v="Yes"/>
    <s v="Yes"/>
    <s v="No"/>
    <s v="Yes"/>
    <s v="No"/>
    <s v="Yes"/>
    <s v="No"/>
    <s v="No"/>
    <s v="No"/>
    <x v="0"/>
    <s v="Adenocarcinoma"/>
    <x v="1"/>
    <n v="2.2999999999999998"/>
    <s v="No"/>
    <s v="CT Scan"/>
    <s v="Radiotherapy"/>
    <n v="71"/>
    <s v="Yes"/>
  </r>
  <r>
    <s v="LC-1102"/>
    <n v="2019"/>
    <d v="2019-03-09T00:00:00"/>
    <s v="Western Pacific"/>
    <s v="Philippines"/>
    <n v="68"/>
    <x v="1"/>
    <x v="1"/>
    <n v="3"/>
    <n v="29"/>
    <x v="0"/>
    <x v="0"/>
    <x v="0"/>
    <x v="1"/>
    <x v="0"/>
    <n v="26.2"/>
    <x v="1"/>
    <s v="No"/>
    <x v="0"/>
    <x v="0"/>
    <x v="0"/>
    <s v="KRAS"/>
    <s v="No"/>
    <s v="No"/>
    <s v="No"/>
    <s v="No"/>
    <s v="Yes"/>
    <s v="Yes"/>
    <s v="No"/>
    <s v="No"/>
    <s v="No"/>
    <s v="Yes"/>
    <x v="0"/>
    <s v="Squamous Cell"/>
    <x v="1"/>
    <n v="1.1000000000000001"/>
    <s v="No"/>
    <s v="Chest X-Ray"/>
    <s v="Surgery"/>
    <n v="44"/>
    <s v="Yes"/>
  </r>
  <r>
    <s v="LC-1103"/>
    <n v="2021"/>
    <d v="2021-05-16T00:00:00"/>
    <s v="South-East Asia"/>
    <s v="Indonesia"/>
    <n v="51"/>
    <x v="0"/>
    <x v="1"/>
    <n v="21"/>
    <n v="13"/>
    <x v="0"/>
    <x v="0"/>
    <x v="0"/>
    <x v="0"/>
    <x v="2"/>
    <n v="30.7"/>
    <x v="1"/>
    <s v="No"/>
    <x v="0"/>
    <x v="0"/>
    <x v="0"/>
    <s v="No Mutation"/>
    <s v="Yes"/>
    <s v="No"/>
    <s v="Yes"/>
    <s v="No"/>
    <s v="Yes"/>
    <s v="No"/>
    <s v="No"/>
    <s v="No"/>
    <s v="No"/>
    <s v="No"/>
    <x v="1"/>
    <s v="Not Applicable"/>
    <x v="0"/>
    <n v="4.7"/>
    <s v="Yes"/>
    <s v="Biopsy"/>
    <s v="Targeted Therapy"/>
    <n v="7"/>
    <s v="No"/>
  </r>
  <r>
    <s v="LC-1104"/>
    <n v="2020"/>
    <d v="2020-02-06T00:00:00"/>
    <s v="Eastern Mediterranean"/>
    <s v="Lebanon"/>
    <n v="62"/>
    <x v="1"/>
    <x v="1"/>
    <n v="13"/>
    <n v="19"/>
    <x v="1"/>
    <x v="0"/>
    <x v="1"/>
    <x v="1"/>
    <x v="2"/>
    <n v="26"/>
    <x v="1"/>
    <s v="Yes"/>
    <x v="1"/>
    <x v="0"/>
    <x v="0"/>
    <s v="No Mutation"/>
    <s v="No"/>
    <s v="Yes"/>
    <s v="No"/>
    <s v="No"/>
    <s v="No"/>
    <s v="No"/>
    <s v="No"/>
    <s v="No"/>
    <s v="Yes"/>
    <s v="No"/>
    <x v="0"/>
    <s v="Squamous Cell"/>
    <x v="0"/>
    <n v="7.4"/>
    <s v="Yes"/>
    <s v="PET Scan"/>
    <s v="Targeted Therapy"/>
    <n v="1"/>
    <s v="No"/>
  </r>
  <r>
    <s v="LC-1105"/>
    <n v="2022"/>
    <d v="2022-05-14T00:00:00"/>
    <s v="Americas"/>
    <s v="Argentina"/>
    <n v="68"/>
    <x v="1"/>
    <x v="2"/>
    <n v="0"/>
    <n v="0"/>
    <x v="1"/>
    <x v="0"/>
    <x v="0"/>
    <x v="2"/>
    <x v="0"/>
    <n v="22.9"/>
    <x v="0"/>
    <s v="No"/>
    <x v="0"/>
    <x v="0"/>
    <x v="0"/>
    <s v="KRAS"/>
    <s v="No"/>
    <s v="No"/>
    <s v="No"/>
    <s v="No"/>
    <s v="No"/>
    <s v="No"/>
    <s v="Yes"/>
    <s v="Yes"/>
    <s v="No"/>
    <s v="No"/>
    <x v="0"/>
    <s v="Adenocarcinoma"/>
    <x v="3"/>
    <n v="4.5"/>
    <s v="No"/>
    <s v="Biopsy"/>
    <s v="Targeted Therapy"/>
    <n v="12"/>
    <s v="Yes"/>
  </r>
  <r>
    <s v="LC-1106"/>
    <n v="2023"/>
    <d v="2023-08-26T00:00:00"/>
    <s v="Americas"/>
    <s v="Canada"/>
    <n v="52"/>
    <x v="1"/>
    <x v="2"/>
    <n v="0"/>
    <n v="0"/>
    <x v="1"/>
    <x v="0"/>
    <x v="0"/>
    <x v="0"/>
    <x v="0"/>
    <n v="30.9"/>
    <x v="2"/>
    <s v="No"/>
    <x v="0"/>
    <x v="0"/>
    <x v="0"/>
    <s v="ALK"/>
    <s v="No"/>
    <s v="Yes"/>
    <s v="No"/>
    <s v="No"/>
    <s v="Yes"/>
    <s v="No"/>
    <s v="No"/>
    <s v="No"/>
    <s v="No"/>
    <s v="No"/>
    <x v="0"/>
    <s v="Squamous Cell"/>
    <x v="0"/>
    <n v="6.7"/>
    <s v="Yes"/>
    <s v="CT Scan"/>
    <s v="Immunotherapy"/>
    <n v="9"/>
    <s v="No"/>
  </r>
  <r>
    <s v="LC-1107"/>
    <n v="2017"/>
    <d v="2017-06-09T00:00:00"/>
    <s v="Americas"/>
    <s v="Mexico"/>
    <n v="55"/>
    <x v="0"/>
    <x v="0"/>
    <n v="33"/>
    <n v="13"/>
    <x v="0"/>
    <x v="0"/>
    <x v="0"/>
    <x v="1"/>
    <x v="2"/>
    <n v="28.1"/>
    <x v="0"/>
    <s v="No"/>
    <x v="0"/>
    <x v="0"/>
    <x v="0"/>
    <s v="No Mutation"/>
    <s v="Yes"/>
    <s v="Yes"/>
    <s v="Yes"/>
    <s v="No"/>
    <s v="No"/>
    <s v="No"/>
    <s v="Yes"/>
    <s v="No"/>
    <s v="No"/>
    <s v="No"/>
    <x v="0"/>
    <s v="Squamous Cell"/>
    <x v="3"/>
    <n v="4.8"/>
    <s v="No"/>
    <s v="PET Scan"/>
    <s v="Surgery + Chemotherapy"/>
    <n v="28"/>
    <s v="Yes"/>
  </r>
  <r>
    <s v="LC-1108"/>
    <n v="2025"/>
    <d v="2025-12-21T00:00:00"/>
    <s v="Western Pacific"/>
    <s v="New Zealand"/>
    <n v="63"/>
    <x v="1"/>
    <x v="1"/>
    <n v="9"/>
    <n v="21"/>
    <x v="0"/>
    <x v="0"/>
    <x v="1"/>
    <x v="2"/>
    <x v="0"/>
    <n v="23.8"/>
    <x v="1"/>
    <s v="Yes"/>
    <x v="0"/>
    <x v="0"/>
    <x v="1"/>
    <s v="No Mutation"/>
    <s v="No"/>
    <s v="No"/>
    <s v="No"/>
    <s v="Yes"/>
    <s v="Yes"/>
    <s v="Yes"/>
    <s v="No"/>
    <s v="No"/>
    <s v="Yes"/>
    <s v="No"/>
    <x v="0"/>
    <s v="Adenocarcinoma"/>
    <x v="2"/>
    <n v="4"/>
    <s v="No"/>
    <s v="PET Scan"/>
    <s v="Chemotherapy"/>
    <n v="19"/>
    <s v="No"/>
  </r>
  <r>
    <s v="LC-1109"/>
    <n v="2023"/>
    <d v="2023-10-20T00:00:00"/>
    <s v="Americas"/>
    <s v="Mexico"/>
    <n v="58"/>
    <x v="1"/>
    <x v="2"/>
    <n v="0"/>
    <n v="0"/>
    <x v="1"/>
    <x v="0"/>
    <x v="1"/>
    <x v="1"/>
    <x v="0"/>
    <n v="30.4"/>
    <x v="1"/>
    <s v="No"/>
    <x v="0"/>
    <x v="0"/>
    <x v="0"/>
    <s v="No Mutation"/>
    <s v="No"/>
    <s v="Yes"/>
    <s v="No"/>
    <s v="Yes"/>
    <s v="Yes"/>
    <s v="No"/>
    <s v="No"/>
    <s v="Yes"/>
    <s v="No"/>
    <s v="No"/>
    <x v="0"/>
    <s v="Adenocarcinoma"/>
    <x v="0"/>
    <n v="9.6"/>
    <s v="Yes"/>
    <s v="CT Scan"/>
    <s v="Chemotherapy"/>
    <n v="11"/>
    <s v="No"/>
  </r>
  <r>
    <s v="LC-1110"/>
    <n v="2015"/>
    <d v="2015-08-04T00:00:00"/>
    <s v="Americas"/>
    <s v="Brazil"/>
    <n v="61"/>
    <x v="1"/>
    <x v="2"/>
    <n v="0"/>
    <n v="0"/>
    <x v="0"/>
    <x v="0"/>
    <x v="0"/>
    <x v="2"/>
    <x v="2"/>
    <n v="31.6"/>
    <x v="0"/>
    <s v="No"/>
    <x v="0"/>
    <x v="0"/>
    <x v="0"/>
    <s v="EGFR"/>
    <s v="No"/>
    <s v="No"/>
    <s v="No"/>
    <s v="No"/>
    <s v="No"/>
    <s v="No"/>
    <s v="No"/>
    <s v="Yes"/>
    <s v="No"/>
    <s v="No"/>
    <x v="0"/>
    <s v="Adenocarcinoma"/>
    <x v="2"/>
    <n v="5.9"/>
    <s v="No"/>
    <s v="Biopsy"/>
    <s v="Chemo + Radiation"/>
    <n v="19"/>
    <s v="No"/>
  </r>
  <r>
    <s v="LC-1111"/>
    <n v="2024"/>
    <d v="2024-05-01T00:00:00"/>
    <s v="Europe"/>
    <s v="Turkey"/>
    <n v="64"/>
    <x v="1"/>
    <x v="0"/>
    <n v="25"/>
    <n v="23"/>
    <x v="1"/>
    <x v="0"/>
    <x v="0"/>
    <x v="0"/>
    <x v="1"/>
    <n v="30"/>
    <x v="2"/>
    <s v="No"/>
    <x v="0"/>
    <x v="0"/>
    <x v="0"/>
    <s v="No Mutation"/>
    <s v="Yes"/>
    <s v="Yes"/>
    <s v="Yes"/>
    <s v="Yes"/>
    <s v="No"/>
    <s v="Yes"/>
    <s v="Yes"/>
    <s v="No"/>
    <s v="No"/>
    <s v="No"/>
    <x v="0"/>
    <s v="Squamous Cell"/>
    <x v="1"/>
    <n v="2.9"/>
    <s v="No"/>
    <s v="LDCT Screening"/>
    <s v="Surgery"/>
    <n v="63"/>
    <s v="Yes"/>
  </r>
  <r>
    <s v="LC-1112"/>
    <n v="2015"/>
    <d v="2015-06-27T00:00:00"/>
    <s v="Western Pacific"/>
    <s v="Mongolia"/>
    <n v="55"/>
    <x v="1"/>
    <x v="2"/>
    <n v="0"/>
    <n v="0"/>
    <x v="0"/>
    <x v="0"/>
    <x v="1"/>
    <x v="1"/>
    <x v="1"/>
    <n v="26.4"/>
    <x v="1"/>
    <s v="No"/>
    <x v="0"/>
    <x v="0"/>
    <x v="0"/>
    <s v="ALK"/>
    <s v="No"/>
    <s v="No"/>
    <s v="No"/>
    <s v="No"/>
    <s v="Yes"/>
    <s v="No"/>
    <s v="No"/>
    <s v="Yes"/>
    <s v="No"/>
    <s v="No"/>
    <x v="0"/>
    <s v="Adenocarcinoma"/>
    <x v="3"/>
    <n v="2.4"/>
    <s v="No"/>
    <s v="Biopsy"/>
    <s v="Targeted Therapy"/>
    <n v="36"/>
    <s v="Yes"/>
  </r>
  <r>
    <s v="LC-1113"/>
    <n v="2025"/>
    <d v="2025-07-26T00:00:00"/>
    <s v="Africa"/>
    <s v="Ghana"/>
    <n v="53"/>
    <x v="1"/>
    <x v="2"/>
    <n v="0"/>
    <n v="0"/>
    <x v="1"/>
    <x v="0"/>
    <x v="1"/>
    <x v="2"/>
    <x v="0"/>
    <n v="30.1"/>
    <x v="0"/>
    <s v="No"/>
    <x v="0"/>
    <x v="1"/>
    <x v="0"/>
    <s v="EGFR"/>
    <s v="No"/>
    <s v="Yes"/>
    <s v="Yes"/>
    <s v="No"/>
    <s v="Yes"/>
    <s v="No"/>
    <s v="No"/>
    <s v="Yes"/>
    <s v="No"/>
    <s v="No"/>
    <x v="0"/>
    <s v="Adenocarcinoma"/>
    <x v="3"/>
    <n v="2"/>
    <s v="No"/>
    <s v="Biopsy"/>
    <s v="Chemotherapy"/>
    <n v="51"/>
    <s v="No"/>
  </r>
  <r>
    <s v="LC-1114"/>
    <n v="2020"/>
    <d v="2020-08-11T00:00:00"/>
    <s v="Eastern Mediterranean"/>
    <s v="Lebanon"/>
    <n v="44"/>
    <x v="0"/>
    <x v="2"/>
    <n v="0"/>
    <n v="0"/>
    <x v="1"/>
    <x v="0"/>
    <x v="0"/>
    <x v="1"/>
    <x v="0"/>
    <n v="28"/>
    <x v="1"/>
    <s v="No"/>
    <x v="0"/>
    <x v="0"/>
    <x v="0"/>
    <s v="No Mutation"/>
    <s v="No"/>
    <s v="No"/>
    <s v="No"/>
    <s v="No"/>
    <s v="Yes"/>
    <s v="Yes"/>
    <s v="Yes"/>
    <s v="Yes"/>
    <s v="No"/>
    <s v="No"/>
    <x v="0"/>
    <s v="Adenocarcinoma"/>
    <x v="0"/>
    <n v="6.3"/>
    <s v="Yes"/>
    <s v="PET Scan"/>
    <s v="Immunotherapy"/>
    <n v="14"/>
    <s v="No"/>
  </r>
  <r>
    <s v="LC-1115"/>
    <n v="2024"/>
    <d v="2024-11-20T00:00:00"/>
    <s v="Eastern Mediterranean"/>
    <s v="Saudi Arabia"/>
    <n v="66"/>
    <x v="1"/>
    <x v="0"/>
    <n v="22"/>
    <n v="41"/>
    <x v="1"/>
    <x v="0"/>
    <x v="0"/>
    <x v="1"/>
    <x v="2"/>
    <n v="30.2"/>
    <x v="1"/>
    <s v="No"/>
    <x v="0"/>
    <x v="0"/>
    <x v="0"/>
    <s v="KRAS"/>
    <s v="No"/>
    <s v="Yes"/>
    <s v="No"/>
    <s v="No"/>
    <s v="Yes"/>
    <s v="Yes"/>
    <s v="Yes"/>
    <s v="No"/>
    <s v="No"/>
    <s v="No"/>
    <x v="1"/>
    <s v="Not Applicable"/>
    <x v="1"/>
    <n v="1.7"/>
    <s v="No"/>
    <s v="CT Scan"/>
    <s v="Surgery"/>
    <n v="42"/>
    <s v="Yes"/>
  </r>
  <r>
    <s v="LC-1116"/>
    <n v="2023"/>
    <d v="2023-05-11T00:00:00"/>
    <s v="Europe"/>
    <s v="Sweden"/>
    <n v="59"/>
    <x v="1"/>
    <x v="1"/>
    <n v="10"/>
    <n v="24"/>
    <x v="1"/>
    <x v="0"/>
    <x v="1"/>
    <x v="2"/>
    <x v="0"/>
    <n v="24.2"/>
    <x v="0"/>
    <s v="No"/>
    <x v="0"/>
    <x v="0"/>
    <x v="0"/>
    <s v="ALK"/>
    <s v="No"/>
    <s v="No"/>
    <s v="No"/>
    <s v="No"/>
    <s v="No"/>
    <s v="No"/>
    <s v="No"/>
    <s v="No"/>
    <s v="No"/>
    <s v="No"/>
    <x v="0"/>
    <s v="Adenocarcinoma"/>
    <x v="1"/>
    <n v="2.5"/>
    <s v="No"/>
    <s v="LDCT Screening"/>
    <s v="Surgery"/>
    <n v="61"/>
    <s v="Yes"/>
  </r>
  <r>
    <s v="LC-1117"/>
    <n v="2017"/>
    <d v="2017-12-07T00:00:00"/>
    <s v="Eastern Mediterranean"/>
    <s v="Oman"/>
    <n v="68"/>
    <x v="0"/>
    <x v="2"/>
    <n v="0"/>
    <n v="0"/>
    <x v="0"/>
    <x v="0"/>
    <x v="0"/>
    <x v="1"/>
    <x v="0"/>
    <n v="17.8"/>
    <x v="0"/>
    <s v="No"/>
    <x v="0"/>
    <x v="0"/>
    <x v="1"/>
    <s v="EGFR"/>
    <s v="Yes"/>
    <s v="No"/>
    <s v="No"/>
    <s v="No"/>
    <s v="Yes"/>
    <s v="No"/>
    <s v="No"/>
    <s v="No"/>
    <s v="No"/>
    <s v="No"/>
    <x v="1"/>
    <s v="Not Applicable"/>
    <x v="0"/>
    <n v="6.2"/>
    <s v="Yes"/>
    <s v="Bronchoscopy"/>
    <s v="Palliative Care"/>
    <n v="15"/>
    <s v="No"/>
  </r>
  <r>
    <s v="LC-1118"/>
    <n v="2023"/>
    <d v="2023-06-06T00:00:00"/>
    <s v="Western Pacific"/>
    <s v="Malaysia"/>
    <n v="55"/>
    <x v="0"/>
    <x v="2"/>
    <n v="0"/>
    <n v="0"/>
    <x v="0"/>
    <x v="1"/>
    <x v="0"/>
    <x v="1"/>
    <x v="0"/>
    <n v="30.9"/>
    <x v="0"/>
    <s v="No"/>
    <x v="0"/>
    <x v="0"/>
    <x v="1"/>
    <s v="No Mutation"/>
    <s v="Yes"/>
    <s v="No"/>
    <s v="Yes"/>
    <s v="No"/>
    <s v="Yes"/>
    <s v="No"/>
    <s v="No"/>
    <s v="Yes"/>
    <s v="Yes"/>
    <s v="No"/>
    <x v="0"/>
    <s v="Adenocarcinoma"/>
    <x v="2"/>
    <n v="5"/>
    <s v="No"/>
    <s v="Biopsy"/>
    <s v="Chemotherapy"/>
    <n v="12"/>
    <s v="No"/>
  </r>
  <r>
    <s v="LC-1119"/>
    <n v="2021"/>
    <d v="2021-06-10T00:00:00"/>
    <s v="Africa"/>
    <s v="Morocco"/>
    <n v="42"/>
    <x v="0"/>
    <x v="2"/>
    <n v="0"/>
    <n v="0"/>
    <x v="0"/>
    <x v="0"/>
    <x v="1"/>
    <x v="1"/>
    <x v="0"/>
    <n v="21.8"/>
    <x v="2"/>
    <s v="No"/>
    <x v="1"/>
    <x v="1"/>
    <x v="0"/>
    <s v="No Mutation"/>
    <s v="No"/>
    <s v="No"/>
    <s v="Yes"/>
    <s v="No"/>
    <s v="Yes"/>
    <s v="No"/>
    <s v="No"/>
    <s v="No"/>
    <s v="Yes"/>
    <s v="Yes"/>
    <x v="0"/>
    <s v="Adenocarcinoma"/>
    <x v="1"/>
    <n v="1.8"/>
    <s v="No"/>
    <s v="Biopsy"/>
    <s v="Surgery"/>
    <n v="51"/>
    <s v="Yes"/>
  </r>
  <r>
    <s v="LC-1120"/>
    <n v="2015"/>
    <d v="2015-10-26T00:00:00"/>
    <s v="Western Pacific"/>
    <s v="Australia"/>
    <n v="73"/>
    <x v="1"/>
    <x v="2"/>
    <n v="0"/>
    <n v="0"/>
    <x v="1"/>
    <x v="1"/>
    <x v="1"/>
    <x v="1"/>
    <x v="0"/>
    <n v="22"/>
    <x v="0"/>
    <s v="No"/>
    <x v="0"/>
    <x v="0"/>
    <x v="0"/>
    <s v="HER2"/>
    <s v="No"/>
    <s v="No"/>
    <s v="No"/>
    <s v="No"/>
    <s v="Yes"/>
    <s v="No"/>
    <s v="No"/>
    <s v="No"/>
    <s v="No"/>
    <s v="No"/>
    <x v="0"/>
    <s v="Adenocarcinoma"/>
    <x v="1"/>
    <n v="2.9"/>
    <s v="No"/>
    <s v="LDCT Screening"/>
    <s v="Radiotherapy"/>
    <n v="39"/>
    <s v="Yes"/>
  </r>
  <r>
    <s v="LC-1121"/>
    <n v="2023"/>
    <d v="2023-06-13T00:00:00"/>
    <s v="Western Pacific"/>
    <s v="Philippines"/>
    <n v="57"/>
    <x v="0"/>
    <x v="2"/>
    <n v="0"/>
    <n v="0"/>
    <x v="0"/>
    <x v="0"/>
    <x v="1"/>
    <x v="0"/>
    <x v="0"/>
    <n v="23.7"/>
    <x v="2"/>
    <s v="No"/>
    <x v="1"/>
    <x v="0"/>
    <x v="0"/>
    <s v="No Mutation"/>
    <s v="Yes"/>
    <s v="Yes"/>
    <s v="No"/>
    <s v="No"/>
    <s v="Yes"/>
    <s v="No"/>
    <s v="No"/>
    <s v="No"/>
    <s v="No"/>
    <s v="No"/>
    <x v="1"/>
    <s v="Not Applicable"/>
    <x v="3"/>
    <n v="4.8"/>
    <s v="No"/>
    <s v="CT Scan"/>
    <s v="Radiotherapy"/>
    <n v="22"/>
    <s v="Yes"/>
  </r>
  <r>
    <s v="LC-1122"/>
    <n v="2017"/>
    <d v="2017-07-12T00:00:00"/>
    <s v="Western Pacific"/>
    <s v="Japan"/>
    <n v="59"/>
    <x v="0"/>
    <x v="2"/>
    <n v="0"/>
    <n v="0"/>
    <x v="1"/>
    <x v="0"/>
    <x v="0"/>
    <x v="1"/>
    <x v="1"/>
    <n v="30.4"/>
    <x v="2"/>
    <s v="No"/>
    <x v="0"/>
    <x v="0"/>
    <x v="0"/>
    <s v="No Mutation"/>
    <s v="No"/>
    <s v="Yes"/>
    <s v="No"/>
    <s v="No"/>
    <s v="No"/>
    <s v="Yes"/>
    <s v="No"/>
    <s v="No"/>
    <s v="No"/>
    <s v="No"/>
    <x v="0"/>
    <s v="Adenocarcinoma"/>
    <x v="3"/>
    <n v="3.2"/>
    <s v="No"/>
    <s v="Biopsy"/>
    <s v="Targeted Therapy"/>
    <n v="48"/>
    <s v="No"/>
  </r>
  <r>
    <s v="LC-1123"/>
    <n v="2015"/>
    <d v="2015-10-07T00:00:00"/>
    <s v="Europe"/>
    <s v="Sweden"/>
    <n v="71"/>
    <x v="0"/>
    <x v="2"/>
    <n v="0"/>
    <n v="0"/>
    <x v="1"/>
    <x v="1"/>
    <x v="1"/>
    <x v="0"/>
    <x v="2"/>
    <n v="27.4"/>
    <x v="1"/>
    <s v="No"/>
    <x v="0"/>
    <x v="0"/>
    <x v="0"/>
    <s v="KRAS"/>
    <s v="No"/>
    <s v="No"/>
    <s v="No"/>
    <s v="No"/>
    <s v="Yes"/>
    <s v="No"/>
    <s v="No"/>
    <s v="No"/>
    <s v="No"/>
    <s v="No"/>
    <x v="0"/>
    <s v="Adenocarcinoma"/>
    <x v="2"/>
    <n v="6.2"/>
    <s v="No"/>
    <s v="Bronchoscopy"/>
    <s v="Chemo + Radiation"/>
    <n v="9"/>
    <s v="No"/>
  </r>
  <r>
    <s v="LC-1124"/>
    <n v="2020"/>
    <d v="2020-09-06T00:00:00"/>
    <s v="Europe"/>
    <s v="Netherlands"/>
    <n v="63"/>
    <x v="1"/>
    <x v="0"/>
    <n v="50"/>
    <n v="24"/>
    <x v="0"/>
    <x v="0"/>
    <x v="0"/>
    <x v="0"/>
    <x v="2"/>
    <n v="24"/>
    <x v="0"/>
    <s v="No"/>
    <x v="0"/>
    <x v="1"/>
    <x v="0"/>
    <s v="EGFR"/>
    <s v="Yes"/>
    <s v="Yes"/>
    <s v="No"/>
    <s v="No"/>
    <s v="No"/>
    <s v="No"/>
    <s v="No"/>
    <s v="Yes"/>
    <s v="No"/>
    <s v="No"/>
    <x v="0"/>
    <s v="Adenocarcinoma"/>
    <x v="3"/>
    <n v="2.8"/>
    <s v="No"/>
    <s v="PET Scan"/>
    <s v="Surgery + Chemotherapy"/>
    <n v="13"/>
    <s v="Yes"/>
  </r>
  <r>
    <s v="LC-1125"/>
    <n v="2025"/>
    <d v="2025-01-24T00:00:00"/>
    <s v="Western Pacific"/>
    <s v="New Zealand"/>
    <n v="42"/>
    <x v="0"/>
    <x v="2"/>
    <n v="0"/>
    <n v="0"/>
    <x v="1"/>
    <x v="1"/>
    <x v="1"/>
    <x v="1"/>
    <x v="0"/>
    <n v="32.799999999999997"/>
    <x v="2"/>
    <s v="No"/>
    <x v="0"/>
    <x v="0"/>
    <x v="0"/>
    <s v="EGFR"/>
    <s v="No"/>
    <s v="Yes"/>
    <s v="No"/>
    <s v="No"/>
    <s v="No"/>
    <s v="Yes"/>
    <s v="No"/>
    <s v="No"/>
    <s v="Yes"/>
    <s v="No"/>
    <x v="0"/>
    <s v="Adenocarcinoma"/>
    <x v="3"/>
    <n v="3.1"/>
    <s v="No"/>
    <s v="Bronchoscopy"/>
    <s v="Surgery + Chemotherapy"/>
    <n v="33"/>
    <s v="No"/>
  </r>
  <r>
    <s v="LC-1126"/>
    <n v="2022"/>
    <d v="2022-12-07T00:00:00"/>
    <s v="Western Pacific"/>
    <s v="New Zealand"/>
    <n v="50"/>
    <x v="0"/>
    <x v="2"/>
    <n v="0"/>
    <n v="0"/>
    <x v="0"/>
    <x v="0"/>
    <x v="0"/>
    <x v="1"/>
    <x v="0"/>
    <n v="24.4"/>
    <x v="2"/>
    <s v="No"/>
    <x v="0"/>
    <x v="0"/>
    <x v="0"/>
    <s v="ROS1"/>
    <s v="No"/>
    <s v="No"/>
    <s v="Yes"/>
    <s v="No"/>
    <s v="No"/>
    <s v="No"/>
    <s v="No"/>
    <s v="No"/>
    <s v="No"/>
    <s v="No"/>
    <x v="0"/>
    <s v="Adenocarcinoma"/>
    <x v="1"/>
    <n v="1.8"/>
    <s v="No"/>
    <s v="CT Scan"/>
    <s v="Radiotherapy"/>
    <n v="98"/>
    <s v="No"/>
  </r>
  <r>
    <s v="LC-1127"/>
    <n v="2025"/>
    <d v="2025-05-27T00:00:00"/>
    <s v="Western Pacific"/>
    <s v="Japan"/>
    <n v="53"/>
    <x v="1"/>
    <x v="0"/>
    <n v="14"/>
    <n v="18"/>
    <x v="0"/>
    <x v="1"/>
    <x v="1"/>
    <x v="2"/>
    <x v="2"/>
    <n v="19.399999999999999"/>
    <x v="0"/>
    <s v="No"/>
    <x v="1"/>
    <x v="0"/>
    <x v="0"/>
    <s v="No Mutation"/>
    <s v="Yes"/>
    <s v="No"/>
    <s v="Yes"/>
    <s v="No"/>
    <s v="Yes"/>
    <s v="Yes"/>
    <s v="Yes"/>
    <s v="No"/>
    <s v="No"/>
    <s v="No"/>
    <x v="1"/>
    <s v="Not Applicable"/>
    <x v="0"/>
    <n v="5.9"/>
    <s v="Yes"/>
    <s v="Biopsy"/>
    <s v="Targeted Therapy"/>
    <n v="7"/>
    <s v="No"/>
  </r>
  <r>
    <s v="LC-1128"/>
    <n v="2021"/>
    <d v="2021-07-22T00:00:00"/>
    <s v="Western Pacific"/>
    <s v="New Zealand"/>
    <n v="44"/>
    <x v="0"/>
    <x v="0"/>
    <n v="16"/>
    <n v="16"/>
    <x v="0"/>
    <x v="0"/>
    <x v="0"/>
    <x v="1"/>
    <x v="2"/>
    <n v="25.4"/>
    <x v="2"/>
    <s v="No"/>
    <x v="0"/>
    <x v="0"/>
    <x v="0"/>
    <s v="KRAS"/>
    <s v="Yes"/>
    <s v="Yes"/>
    <s v="No"/>
    <s v="No"/>
    <s v="Yes"/>
    <s v="No"/>
    <s v="Yes"/>
    <s v="Yes"/>
    <s v="No"/>
    <s v="No"/>
    <x v="0"/>
    <s v="Adenocarcinoma"/>
    <x v="0"/>
    <n v="9.5"/>
    <s v="Yes"/>
    <s v="Chest X-Ray"/>
    <s v="Chemotherapy"/>
    <n v="1"/>
    <s v="No"/>
  </r>
  <r>
    <s v="LC-1129"/>
    <n v="2021"/>
    <d v="2021-03-21T00:00:00"/>
    <s v="Africa"/>
    <s v="Ethiopia"/>
    <n v="62"/>
    <x v="1"/>
    <x v="2"/>
    <n v="0"/>
    <n v="0"/>
    <x v="1"/>
    <x v="0"/>
    <x v="0"/>
    <x v="2"/>
    <x v="2"/>
    <n v="22.2"/>
    <x v="0"/>
    <s v="No"/>
    <x v="0"/>
    <x v="0"/>
    <x v="0"/>
    <s v="ALK"/>
    <s v="Yes"/>
    <s v="No"/>
    <s v="No"/>
    <s v="No"/>
    <s v="Yes"/>
    <s v="Yes"/>
    <s v="No"/>
    <s v="No"/>
    <s v="No"/>
    <s v="No"/>
    <x v="0"/>
    <s v="Adenocarcinoma"/>
    <x v="0"/>
    <n v="3.8"/>
    <s v="Yes"/>
    <s v="Biopsy"/>
    <s v="Chemotherapy"/>
    <n v="15"/>
    <s v="No"/>
  </r>
  <r>
    <s v="LC-1130"/>
    <n v="2023"/>
    <d v="2023-04-09T00:00:00"/>
    <s v="Western Pacific"/>
    <s v="South Korea"/>
    <n v="59"/>
    <x v="0"/>
    <x v="2"/>
    <n v="0"/>
    <n v="0"/>
    <x v="0"/>
    <x v="0"/>
    <x v="0"/>
    <x v="1"/>
    <x v="0"/>
    <n v="35.4"/>
    <x v="2"/>
    <s v="No"/>
    <x v="0"/>
    <x v="0"/>
    <x v="0"/>
    <s v="KRAS"/>
    <s v="Yes"/>
    <s v="Yes"/>
    <s v="Yes"/>
    <s v="No"/>
    <s v="Yes"/>
    <s v="No"/>
    <s v="No"/>
    <s v="No"/>
    <s v="No"/>
    <s v="No"/>
    <x v="0"/>
    <s v="Adenocarcinoma"/>
    <x v="2"/>
    <n v="6.9"/>
    <s v="No"/>
    <s v="Bronchoscopy"/>
    <s v="Chemotherapy"/>
    <n v="24"/>
    <s v="No"/>
  </r>
  <r>
    <s v="LC-1131"/>
    <n v="2023"/>
    <d v="2023-12-14T00:00:00"/>
    <s v="Western Pacific"/>
    <s v="Malaysia"/>
    <n v="54"/>
    <x v="0"/>
    <x v="2"/>
    <n v="0"/>
    <n v="0"/>
    <x v="0"/>
    <x v="0"/>
    <x v="0"/>
    <x v="0"/>
    <x v="0"/>
    <n v="27.6"/>
    <x v="2"/>
    <s v="No"/>
    <x v="0"/>
    <x v="0"/>
    <x v="0"/>
    <s v="ROS1"/>
    <s v="No"/>
    <s v="No"/>
    <s v="No"/>
    <s v="No"/>
    <s v="No"/>
    <s v="No"/>
    <s v="Yes"/>
    <s v="Yes"/>
    <s v="No"/>
    <s v="No"/>
    <x v="0"/>
    <s v="Adenocarcinoma"/>
    <x v="3"/>
    <n v="2.5"/>
    <s v="No"/>
    <s v="Bronchoscopy"/>
    <s v="Radiotherapy"/>
    <n v="22"/>
    <s v="No"/>
  </r>
  <r>
    <s v="LC-1132"/>
    <n v="2024"/>
    <d v="2024-02-15T00:00:00"/>
    <s v="South-East Asia"/>
    <s v="Bhutan"/>
    <n v="62"/>
    <x v="1"/>
    <x v="2"/>
    <n v="0"/>
    <n v="0"/>
    <x v="1"/>
    <x v="0"/>
    <x v="1"/>
    <x v="1"/>
    <x v="1"/>
    <n v="24.5"/>
    <x v="0"/>
    <s v="No"/>
    <x v="0"/>
    <x v="0"/>
    <x v="0"/>
    <s v="ALK"/>
    <s v="Yes"/>
    <s v="No"/>
    <s v="No"/>
    <s v="Yes"/>
    <s v="Yes"/>
    <s v="No"/>
    <s v="No"/>
    <s v="No"/>
    <s v="No"/>
    <s v="No"/>
    <x v="0"/>
    <s v="Squamous Cell"/>
    <x v="1"/>
    <n v="3.2"/>
    <s v="No"/>
    <s v="Bronchoscopy"/>
    <s v="Surgery"/>
    <n v="82"/>
    <s v="Yes"/>
  </r>
  <r>
    <s v="LC-1133"/>
    <n v="2017"/>
    <d v="2017-08-19T00:00:00"/>
    <s v="South-East Asia"/>
    <s v="Nepal"/>
    <n v="64"/>
    <x v="0"/>
    <x v="2"/>
    <n v="0"/>
    <n v="0"/>
    <x v="1"/>
    <x v="0"/>
    <x v="0"/>
    <x v="1"/>
    <x v="0"/>
    <n v="25.2"/>
    <x v="0"/>
    <s v="No"/>
    <x v="0"/>
    <x v="0"/>
    <x v="0"/>
    <s v="KRAS"/>
    <s v="No"/>
    <s v="No"/>
    <s v="Yes"/>
    <s v="No"/>
    <s v="No"/>
    <s v="No"/>
    <s v="No"/>
    <s v="Yes"/>
    <s v="No"/>
    <s v="Yes"/>
    <x v="0"/>
    <s v="Adenocarcinoma"/>
    <x v="1"/>
    <n v="1.7"/>
    <s v="No"/>
    <s v="LDCT Screening"/>
    <s v="Surgery"/>
    <n v="47"/>
    <s v="Yes"/>
  </r>
  <r>
    <s v="LC-1134"/>
    <n v="2018"/>
    <d v="2018-09-17T00:00:00"/>
    <s v="Americas"/>
    <s v="Chile"/>
    <n v="75"/>
    <x v="1"/>
    <x v="0"/>
    <n v="24"/>
    <n v="50"/>
    <x v="1"/>
    <x v="0"/>
    <x v="0"/>
    <x v="2"/>
    <x v="0"/>
    <n v="28.8"/>
    <x v="1"/>
    <s v="No"/>
    <x v="0"/>
    <x v="0"/>
    <x v="0"/>
    <s v="No Mutation"/>
    <s v="Yes"/>
    <s v="Yes"/>
    <s v="No"/>
    <s v="Yes"/>
    <s v="No"/>
    <s v="No"/>
    <s v="Yes"/>
    <s v="No"/>
    <s v="No"/>
    <s v="No"/>
    <x v="0"/>
    <s v="Adenocarcinoma"/>
    <x v="0"/>
    <n v="6.9"/>
    <s v="Yes"/>
    <s v="PET Scan"/>
    <s v="Chemotherapy"/>
    <n v="4"/>
    <s v="No"/>
  </r>
  <r>
    <s v="LC-1135"/>
    <n v="2021"/>
    <d v="2021-09-02T00:00:00"/>
    <s v="Europe"/>
    <s v="Russia"/>
    <n v="75"/>
    <x v="1"/>
    <x v="1"/>
    <n v="24"/>
    <n v="10"/>
    <x v="1"/>
    <x v="0"/>
    <x v="0"/>
    <x v="2"/>
    <x v="0"/>
    <n v="30.5"/>
    <x v="1"/>
    <s v="No"/>
    <x v="0"/>
    <x v="0"/>
    <x v="0"/>
    <s v="No Mutation"/>
    <s v="No"/>
    <s v="Yes"/>
    <s v="No"/>
    <s v="No"/>
    <s v="Yes"/>
    <s v="Yes"/>
    <s v="Yes"/>
    <s v="No"/>
    <s v="Yes"/>
    <s v="No"/>
    <x v="0"/>
    <s v="Adenocarcinoma"/>
    <x v="2"/>
    <n v="5.4"/>
    <s v="No"/>
    <s v="Bronchoscopy"/>
    <s v="Chemo + Radiation"/>
    <n v="28"/>
    <s v="No"/>
  </r>
  <r>
    <s v="LC-1136"/>
    <n v="2020"/>
    <d v="2020-12-26T00:00:00"/>
    <s v="Americas"/>
    <s v="Cuba"/>
    <n v="37"/>
    <x v="0"/>
    <x v="2"/>
    <n v="0"/>
    <n v="0"/>
    <x v="1"/>
    <x v="1"/>
    <x v="0"/>
    <x v="2"/>
    <x v="2"/>
    <n v="28.1"/>
    <x v="1"/>
    <s v="No"/>
    <x v="0"/>
    <x v="0"/>
    <x v="0"/>
    <s v="BRAF"/>
    <s v="No"/>
    <s v="No"/>
    <s v="No"/>
    <s v="No"/>
    <s v="Yes"/>
    <s v="Yes"/>
    <s v="No"/>
    <s v="No"/>
    <s v="No"/>
    <s v="No"/>
    <x v="0"/>
    <s v="Adenocarcinoma"/>
    <x v="3"/>
    <n v="2"/>
    <s v="No"/>
    <s v="PET Scan"/>
    <s v="Surgery + Chemotherapy"/>
    <n v="19"/>
    <s v="No"/>
  </r>
  <r>
    <s v="LC-1137"/>
    <n v="2025"/>
    <d v="2025-10-21T00:00:00"/>
    <s v="South-East Asia"/>
    <s v="Bangladesh"/>
    <n v="49"/>
    <x v="1"/>
    <x v="1"/>
    <n v="17"/>
    <n v="7"/>
    <x v="1"/>
    <x v="0"/>
    <x v="1"/>
    <x v="1"/>
    <x v="2"/>
    <n v="33.299999999999997"/>
    <x v="1"/>
    <s v="No"/>
    <x v="0"/>
    <x v="1"/>
    <x v="0"/>
    <s v="No Mutation"/>
    <s v="Yes"/>
    <s v="No"/>
    <s v="No"/>
    <s v="No"/>
    <s v="Yes"/>
    <s v="No"/>
    <s v="Yes"/>
    <s v="No"/>
    <s v="No"/>
    <s v="No"/>
    <x v="0"/>
    <s v="Squamous Cell"/>
    <x v="2"/>
    <n v="7.7"/>
    <s v="No"/>
    <s v="CT Scan"/>
    <s v="Surgery + Chemotherapy"/>
    <n v="21"/>
    <s v="No"/>
  </r>
  <r>
    <s v="LC-1138"/>
    <n v="2024"/>
    <d v="2024-02-25T00:00:00"/>
    <s v="Europe"/>
    <s v="Italy"/>
    <n v="49"/>
    <x v="0"/>
    <x v="2"/>
    <n v="0"/>
    <n v="0"/>
    <x v="0"/>
    <x v="0"/>
    <x v="1"/>
    <x v="0"/>
    <x v="2"/>
    <n v="24"/>
    <x v="0"/>
    <s v="No"/>
    <x v="0"/>
    <x v="0"/>
    <x v="0"/>
    <s v="No Mutation"/>
    <s v="No"/>
    <s v="No"/>
    <s v="No"/>
    <s v="No"/>
    <s v="Yes"/>
    <s v="No"/>
    <s v="No"/>
    <s v="No"/>
    <s v="No"/>
    <s v="No"/>
    <x v="1"/>
    <s v="Not Applicable"/>
    <x v="1"/>
    <n v="1.3"/>
    <s v="No"/>
    <s v="CT Scan"/>
    <s v="Surgery"/>
    <n v="70"/>
    <s v="Yes"/>
  </r>
  <r>
    <s v="LC-1139"/>
    <n v="2022"/>
    <d v="2022-11-22T00:00:00"/>
    <s v="Europe"/>
    <s v="Russia"/>
    <n v="53"/>
    <x v="1"/>
    <x v="0"/>
    <n v="37"/>
    <n v="15"/>
    <x v="1"/>
    <x v="0"/>
    <x v="0"/>
    <x v="1"/>
    <x v="0"/>
    <n v="24.3"/>
    <x v="1"/>
    <s v="No"/>
    <x v="0"/>
    <x v="0"/>
    <x v="0"/>
    <s v="KRAS"/>
    <s v="Yes"/>
    <s v="Yes"/>
    <s v="Yes"/>
    <s v="Yes"/>
    <s v="Yes"/>
    <s v="Yes"/>
    <s v="Yes"/>
    <s v="No"/>
    <s v="No"/>
    <s v="No"/>
    <x v="1"/>
    <s v="Not Applicable"/>
    <x v="2"/>
    <n v="5.9"/>
    <s v="Yes"/>
    <s v="CT Scan"/>
    <s v="Immunotherapy"/>
    <n v="13"/>
    <s v="No"/>
  </r>
  <r>
    <s v="LC-1140"/>
    <n v="2019"/>
    <d v="2019-03-21T00:00:00"/>
    <s v="South-East Asia"/>
    <s v="Bhutan"/>
    <n v="67"/>
    <x v="0"/>
    <x v="2"/>
    <n v="0"/>
    <n v="0"/>
    <x v="0"/>
    <x v="0"/>
    <x v="0"/>
    <x v="1"/>
    <x v="0"/>
    <n v="24.4"/>
    <x v="0"/>
    <s v="No"/>
    <x v="0"/>
    <x v="1"/>
    <x v="0"/>
    <s v="HER2"/>
    <s v="Yes"/>
    <s v="No"/>
    <s v="No"/>
    <s v="No"/>
    <s v="No"/>
    <s v="No"/>
    <s v="No"/>
    <s v="Yes"/>
    <s v="No"/>
    <s v="No"/>
    <x v="0"/>
    <s v="Adenocarcinoma"/>
    <x v="1"/>
    <n v="2.9"/>
    <s v="No"/>
    <s v="PET Scan"/>
    <s v="Surgery"/>
    <n v="73"/>
    <s v="Yes"/>
  </r>
  <r>
    <s v="LC-1141"/>
    <n v="2017"/>
    <d v="2017-01-19T00:00:00"/>
    <s v="Western Pacific"/>
    <s v="Malaysia"/>
    <n v="64"/>
    <x v="0"/>
    <x v="0"/>
    <n v="29"/>
    <n v="16"/>
    <x v="1"/>
    <x v="1"/>
    <x v="0"/>
    <x v="1"/>
    <x v="0"/>
    <n v="22.2"/>
    <x v="0"/>
    <s v="Yes"/>
    <x v="0"/>
    <x v="0"/>
    <x v="0"/>
    <s v="No Mutation"/>
    <s v="Yes"/>
    <s v="Yes"/>
    <s v="No"/>
    <s v="No"/>
    <s v="Yes"/>
    <s v="Yes"/>
    <s v="Yes"/>
    <s v="No"/>
    <s v="Yes"/>
    <s v="No"/>
    <x v="0"/>
    <s v="Adenocarcinoma"/>
    <x v="3"/>
    <n v="2.5"/>
    <s v="No"/>
    <s v="Chest X-Ray"/>
    <s v="Chemotherapy"/>
    <n v="66"/>
    <s v="Yes"/>
  </r>
  <r>
    <s v="LC-1142"/>
    <n v="2019"/>
    <d v="2019-06-26T00:00:00"/>
    <s v="Europe"/>
    <s v="Turkey"/>
    <n v="57"/>
    <x v="1"/>
    <x v="2"/>
    <n v="0"/>
    <n v="0"/>
    <x v="1"/>
    <x v="0"/>
    <x v="0"/>
    <x v="0"/>
    <x v="2"/>
    <n v="23.7"/>
    <x v="1"/>
    <s v="No"/>
    <x v="0"/>
    <x v="0"/>
    <x v="0"/>
    <s v="No Mutation"/>
    <s v="No"/>
    <s v="No"/>
    <s v="No"/>
    <s v="Yes"/>
    <s v="Yes"/>
    <s v="Yes"/>
    <s v="Yes"/>
    <s v="No"/>
    <s v="Yes"/>
    <s v="No"/>
    <x v="0"/>
    <s v="Adenocarcinoma"/>
    <x v="1"/>
    <n v="1.8"/>
    <s v="No"/>
    <s v="Biopsy"/>
    <s v="Surgery + Chemotherapy"/>
    <n v="73"/>
    <s v="Yes"/>
  </r>
  <r>
    <s v="LC-1143"/>
    <n v="2022"/>
    <d v="2022-02-01T00:00:00"/>
    <s v="South-East Asia"/>
    <s v="Bangladesh"/>
    <n v="65"/>
    <x v="1"/>
    <x v="2"/>
    <n v="0"/>
    <n v="0"/>
    <x v="0"/>
    <x v="0"/>
    <x v="1"/>
    <x v="2"/>
    <x v="1"/>
    <n v="25.7"/>
    <x v="1"/>
    <s v="No"/>
    <x v="0"/>
    <x v="0"/>
    <x v="0"/>
    <s v="ALK"/>
    <s v="No"/>
    <s v="No"/>
    <s v="Yes"/>
    <s v="No"/>
    <s v="No"/>
    <s v="No"/>
    <s v="No"/>
    <s v="Yes"/>
    <s v="No"/>
    <s v="No"/>
    <x v="0"/>
    <s v="Adenocarcinoma"/>
    <x v="1"/>
    <n v="1.7"/>
    <s v="No"/>
    <s v="Biopsy"/>
    <s v="Surgery"/>
    <n v="47"/>
    <s v="No"/>
  </r>
  <r>
    <s v="LC-1144"/>
    <n v="2018"/>
    <d v="2018-05-08T00:00:00"/>
    <s v="Western Pacific"/>
    <s v="Singapore"/>
    <n v="40"/>
    <x v="0"/>
    <x v="2"/>
    <n v="0"/>
    <n v="0"/>
    <x v="1"/>
    <x v="1"/>
    <x v="0"/>
    <x v="0"/>
    <x v="2"/>
    <n v="27.2"/>
    <x v="1"/>
    <s v="No"/>
    <x v="0"/>
    <x v="0"/>
    <x v="0"/>
    <s v="No Mutation"/>
    <s v="No"/>
    <s v="No"/>
    <s v="Yes"/>
    <s v="No"/>
    <s v="Yes"/>
    <s v="No"/>
    <s v="No"/>
    <s v="No"/>
    <s v="Yes"/>
    <s v="No"/>
    <x v="0"/>
    <s v="Large Cell"/>
    <x v="0"/>
    <n v="6.6"/>
    <s v="Yes"/>
    <s v="Biopsy"/>
    <s v="Chemotherapy"/>
    <n v="11"/>
    <s v="No"/>
  </r>
  <r>
    <s v="LC-1145"/>
    <n v="2023"/>
    <d v="2023-12-17T00:00:00"/>
    <s v="South-East Asia"/>
    <s v="Timor-Leste"/>
    <n v="74"/>
    <x v="1"/>
    <x v="2"/>
    <n v="0"/>
    <n v="0"/>
    <x v="1"/>
    <x v="0"/>
    <x v="0"/>
    <x v="1"/>
    <x v="0"/>
    <n v="27.6"/>
    <x v="2"/>
    <s v="No"/>
    <x v="0"/>
    <x v="0"/>
    <x v="0"/>
    <s v="EGFR"/>
    <s v="Yes"/>
    <s v="Yes"/>
    <s v="No"/>
    <s v="No"/>
    <s v="Yes"/>
    <s v="Yes"/>
    <s v="No"/>
    <s v="No"/>
    <s v="No"/>
    <s v="Yes"/>
    <x v="0"/>
    <s v="Adenocarcinoma"/>
    <x v="2"/>
    <n v="5"/>
    <s v="No"/>
    <s v="Biopsy"/>
    <s v="Surgery + Chemotherapy"/>
    <n v="12"/>
    <s v="No"/>
  </r>
  <r>
    <s v="LC-1146"/>
    <n v="2018"/>
    <d v="2018-10-23T00:00:00"/>
    <s v="Europe"/>
    <s v="Sweden"/>
    <n v="54"/>
    <x v="1"/>
    <x v="0"/>
    <n v="9"/>
    <n v="7"/>
    <x v="1"/>
    <x v="0"/>
    <x v="1"/>
    <x v="1"/>
    <x v="1"/>
    <n v="22.8"/>
    <x v="1"/>
    <s v="No"/>
    <x v="0"/>
    <x v="0"/>
    <x v="0"/>
    <s v="KRAS"/>
    <s v="Yes"/>
    <s v="Yes"/>
    <s v="Yes"/>
    <s v="Yes"/>
    <s v="No"/>
    <s v="No"/>
    <s v="No"/>
    <s v="No"/>
    <s v="No"/>
    <s v="No"/>
    <x v="1"/>
    <s v="Not Applicable"/>
    <x v="0"/>
    <n v="6.5"/>
    <s v="Yes"/>
    <s v="Biopsy"/>
    <s v="Radiotherapy"/>
    <n v="2"/>
    <s v="No"/>
  </r>
  <r>
    <s v="LC-1147"/>
    <n v="2024"/>
    <d v="2024-04-15T00:00:00"/>
    <s v="Americas"/>
    <s v="Colombia"/>
    <n v="73"/>
    <x v="0"/>
    <x v="0"/>
    <n v="29"/>
    <n v="34"/>
    <x v="1"/>
    <x v="0"/>
    <x v="0"/>
    <x v="2"/>
    <x v="0"/>
    <n v="23.4"/>
    <x v="2"/>
    <s v="Yes"/>
    <x v="0"/>
    <x v="0"/>
    <x v="0"/>
    <s v="TP53"/>
    <s v="No"/>
    <s v="No"/>
    <s v="No"/>
    <s v="No"/>
    <s v="Yes"/>
    <s v="No"/>
    <s v="Yes"/>
    <s v="No"/>
    <s v="No"/>
    <s v="No"/>
    <x v="0"/>
    <s v="Large Cell"/>
    <x v="0"/>
    <n v="10"/>
    <s v="Yes"/>
    <s v="PET Scan"/>
    <s v="Chemotherapy"/>
    <n v="2"/>
    <s v="No"/>
  </r>
  <r>
    <s v="LC-1148"/>
    <n v="2016"/>
    <d v="2016-07-15T00:00:00"/>
    <s v="Americas"/>
    <s v="Venezuela"/>
    <n v="56"/>
    <x v="0"/>
    <x v="2"/>
    <n v="0"/>
    <n v="0"/>
    <x v="0"/>
    <x v="0"/>
    <x v="0"/>
    <x v="1"/>
    <x v="0"/>
    <n v="32.9"/>
    <x v="1"/>
    <s v="No"/>
    <x v="1"/>
    <x v="0"/>
    <x v="0"/>
    <s v="EGFR"/>
    <s v="No"/>
    <s v="No"/>
    <s v="No"/>
    <s v="No"/>
    <s v="No"/>
    <s v="No"/>
    <s v="No"/>
    <s v="Yes"/>
    <s v="No"/>
    <s v="No"/>
    <x v="0"/>
    <s v="Adenocarcinoma"/>
    <x v="0"/>
    <n v="4.8"/>
    <s v="Yes"/>
    <s v="PET Scan"/>
    <s v="Chemotherapy"/>
    <n v="5"/>
    <s v="No"/>
  </r>
  <r>
    <s v="LC-1149"/>
    <n v="2025"/>
    <d v="2025-12-17T00:00:00"/>
    <s v="South-East Asia"/>
    <s v="Indonesia"/>
    <n v="65"/>
    <x v="0"/>
    <x v="2"/>
    <n v="0"/>
    <n v="0"/>
    <x v="1"/>
    <x v="0"/>
    <x v="1"/>
    <x v="1"/>
    <x v="0"/>
    <n v="24.7"/>
    <x v="2"/>
    <s v="No"/>
    <x v="1"/>
    <x v="0"/>
    <x v="0"/>
    <s v="BRAF"/>
    <s v="Yes"/>
    <s v="No"/>
    <s v="No"/>
    <s v="No"/>
    <s v="Yes"/>
    <s v="No"/>
    <s v="No"/>
    <s v="No"/>
    <s v="No"/>
    <s v="No"/>
    <x v="0"/>
    <s v="Adenocarcinoma"/>
    <x v="3"/>
    <n v="6.2"/>
    <s v="No"/>
    <s v="Bronchoscopy"/>
    <s v="Targeted Therapy"/>
    <n v="52"/>
    <s v="Yes"/>
  </r>
  <r>
    <s v="LC-1150"/>
    <n v="2024"/>
    <d v="2024-06-01T00:00:00"/>
    <s v="Western Pacific"/>
    <s v="New Zealand"/>
    <n v="72"/>
    <x v="1"/>
    <x v="0"/>
    <n v="34"/>
    <n v="35"/>
    <x v="1"/>
    <x v="0"/>
    <x v="1"/>
    <x v="2"/>
    <x v="0"/>
    <n v="24.6"/>
    <x v="1"/>
    <s v="No"/>
    <x v="0"/>
    <x v="0"/>
    <x v="0"/>
    <s v="EGFR"/>
    <s v="Yes"/>
    <s v="Yes"/>
    <s v="Yes"/>
    <s v="Yes"/>
    <s v="No"/>
    <s v="Yes"/>
    <s v="Yes"/>
    <s v="No"/>
    <s v="No"/>
    <s v="No"/>
    <x v="1"/>
    <s v="Not Applicable"/>
    <x v="1"/>
    <n v="2"/>
    <s v="No"/>
    <s v="Biopsy"/>
    <s v="Radiotherapy"/>
    <n v="43"/>
    <s v="No"/>
  </r>
  <r>
    <s v="LC-1151"/>
    <n v="2018"/>
    <d v="2018-02-10T00:00:00"/>
    <s v="Americas"/>
    <s v="Chile"/>
    <n v="70"/>
    <x v="1"/>
    <x v="2"/>
    <n v="0"/>
    <n v="0"/>
    <x v="1"/>
    <x v="0"/>
    <x v="0"/>
    <x v="0"/>
    <x v="2"/>
    <n v="27.7"/>
    <x v="1"/>
    <s v="No"/>
    <x v="0"/>
    <x v="0"/>
    <x v="0"/>
    <s v="EGFR"/>
    <s v="Yes"/>
    <s v="No"/>
    <s v="No"/>
    <s v="Yes"/>
    <s v="Yes"/>
    <s v="No"/>
    <s v="Yes"/>
    <s v="No"/>
    <s v="No"/>
    <s v="No"/>
    <x v="0"/>
    <s v="Adenocarcinoma"/>
    <x v="0"/>
    <n v="10.5"/>
    <s v="Yes"/>
    <s v="Bronchoscopy"/>
    <s v="Chemo + Radiation"/>
    <n v="1"/>
    <s v="No"/>
  </r>
  <r>
    <s v="LC-1152"/>
    <n v="2019"/>
    <d v="2019-02-04T00:00:00"/>
    <s v="Europe"/>
    <s v="France"/>
    <n v="56"/>
    <x v="1"/>
    <x v="2"/>
    <n v="0"/>
    <n v="0"/>
    <x v="0"/>
    <x v="0"/>
    <x v="0"/>
    <x v="0"/>
    <x v="0"/>
    <n v="29.9"/>
    <x v="2"/>
    <s v="No"/>
    <x v="0"/>
    <x v="0"/>
    <x v="0"/>
    <s v="EGFR"/>
    <s v="Yes"/>
    <s v="Yes"/>
    <s v="Yes"/>
    <s v="No"/>
    <s v="Yes"/>
    <s v="Yes"/>
    <s v="No"/>
    <s v="No"/>
    <s v="No"/>
    <s v="No"/>
    <x v="0"/>
    <s v="Adenocarcinoma"/>
    <x v="0"/>
    <n v="5.0999999999999996"/>
    <s v="Yes"/>
    <s v="CT Scan"/>
    <s v="Palliative Care"/>
    <n v="12"/>
    <s v="No"/>
  </r>
  <r>
    <s v="LC-1153"/>
    <n v="2019"/>
    <d v="2019-06-10T00:00:00"/>
    <s v="Eastern Mediterranean"/>
    <s v="Jordan"/>
    <n v="41"/>
    <x v="0"/>
    <x v="0"/>
    <n v="5"/>
    <n v="23"/>
    <x v="0"/>
    <x v="0"/>
    <x v="0"/>
    <x v="0"/>
    <x v="0"/>
    <n v="24.3"/>
    <x v="2"/>
    <s v="No"/>
    <x v="0"/>
    <x v="0"/>
    <x v="0"/>
    <s v="MET"/>
    <s v="No"/>
    <s v="No"/>
    <s v="Yes"/>
    <s v="No"/>
    <s v="No"/>
    <s v="Yes"/>
    <s v="Yes"/>
    <s v="Yes"/>
    <s v="No"/>
    <s v="No"/>
    <x v="1"/>
    <s v="Not Applicable"/>
    <x v="0"/>
    <n v="8.9"/>
    <s v="Yes"/>
    <s v="PET Scan"/>
    <s v="Targeted Therapy"/>
    <n v="9"/>
    <s v="No"/>
  </r>
  <r>
    <s v="LC-1154"/>
    <n v="2025"/>
    <d v="2025-08-26T00:00:00"/>
    <s v="Western Pacific"/>
    <s v="Australia"/>
    <n v="55"/>
    <x v="0"/>
    <x v="2"/>
    <n v="0"/>
    <n v="0"/>
    <x v="1"/>
    <x v="1"/>
    <x v="0"/>
    <x v="0"/>
    <x v="0"/>
    <n v="29.8"/>
    <x v="2"/>
    <s v="Yes"/>
    <x v="0"/>
    <x v="0"/>
    <x v="0"/>
    <s v="BRAF"/>
    <s v="No"/>
    <s v="Yes"/>
    <s v="No"/>
    <s v="No"/>
    <s v="No"/>
    <s v="Yes"/>
    <s v="No"/>
    <s v="No"/>
    <s v="No"/>
    <s v="No"/>
    <x v="0"/>
    <s v="Large Cell"/>
    <x v="3"/>
    <n v="3.4"/>
    <s v="No"/>
    <s v="PET Scan"/>
    <s v="Chemotherapy"/>
    <n v="32"/>
    <s v="Yes"/>
  </r>
  <r>
    <s v="LC-1155"/>
    <n v="2019"/>
    <d v="2019-09-16T00:00:00"/>
    <s v="Europe"/>
    <s v="Russia"/>
    <n v="54"/>
    <x v="0"/>
    <x v="1"/>
    <n v="6"/>
    <n v="23"/>
    <x v="1"/>
    <x v="0"/>
    <x v="0"/>
    <x v="0"/>
    <x v="0"/>
    <n v="27.9"/>
    <x v="0"/>
    <s v="No"/>
    <x v="0"/>
    <x v="0"/>
    <x v="0"/>
    <s v="No Mutation"/>
    <s v="Yes"/>
    <s v="No"/>
    <s v="Yes"/>
    <s v="Yes"/>
    <s v="Yes"/>
    <s v="No"/>
    <s v="Yes"/>
    <s v="No"/>
    <s v="Yes"/>
    <s v="No"/>
    <x v="0"/>
    <s v="Squamous Cell"/>
    <x v="0"/>
    <n v="8.8000000000000007"/>
    <s v="Yes"/>
    <s v="CT Scan"/>
    <s v="Chemotherapy"/>
    <n v="7"/>
    <s v="No"/>
  </r>
  <r>
    <s v="LC-1156"/>
    <n v="2017"/>
    <d v="2017-08-04T00:00:00"/>
    <s v="Western Pacific"/>
    <s v="New Zealand"/>
    <n v="56"/>
    <x v="0"/>
    <x v="2"/>
    <n v="0"/>
    <n v="0"/>
    <x v="0"/>
    <x v="1"/>
    <x v="0"/>
    <x v="0"/>
    <x v="2"/>
    <n v="30.6"/>
    <x v="0"/>
    <s v="No"/>
    <x v="0"/>
    <x v="0"/>
    <x v="0"/>
    <s v="EGFR"/>
    <s v="No"/>
    <s v="No"/>
    <s v="Yes"/>
    <s v="Yes"/>
    <s v="Yes"/>
    <s v="No"/>
    <s v="No"/>
    <s v="No"/>
    <s v="Yes"/>
    <s v="No"/>
    <x v="0"/>
    <s v="Adenocarcinoma"/>
    <x v="2"/>
    <n v="6.2"/>
    <s v="No"/>
    <s v="CT Scan"/>
    <s v="Immunotherapy"/>
    <n v="12"/>
    <s v="No"/>
  </r>
  <r>
    <s v="LC-1157"/>
    <n v="2020"/>
    <d v="2020-12-23T00:00:00"/>
    <s v="Americas"/>
    <s v="Peru"/>
    <n v="48"/>
    <x v="0"/>
    <x v="2"/>
    <n v="0"/>
    <n v="0"/>
    <x v="0"/>
    <x v="0"/>
    <x v="1"/>
    <x v="2"/>
    <x v="1"/>
    <n v="33.6"/>
    <x v="0"/>
    <s v="No"/>
    <x v="0"/>
    <x v="1"/>
    <x v="0"/>
    <s v="No Mutation"/>
    <s v="No"/>
    <s v="No"/>
    <s v="Yes"/>
    <s v="No"/>
    <s v="Yes"/>
    <s v="No"/>
    <s v="No"/>
    <s v="No"/>
    <s v="No"/>
    <s v="No"/>
    <x v="1"/>
    <s v="Not Applicable"/>
    <x v="1"/>
    <n v="0.8"/>
    <s v="Yes"/>
    <s v="CT Scan"/>
    <s v="Surgery"/>
    <n v="39"/>
    <s v="Yes"/>
  </r>
  <r>
    <s v="LC-1158"/>
    <n v="2022"/>
    <d v="2022-06-03T00:00:00"/>
    <s v="South-East Asia"/>
    <s v="Myanmar"/>
    <n v="65"/>
    <x v="1"/>
    <x v="0"/>
    <n v="35"/>
    <n v="26"/>
    <x v="0"/>
    <x v="0"/>
    <x v="1"/>
    <x v="1"/>
    <x v="1"/>
    <n v="28.9"/>
    <x v="0"/>
    <s v="Yes"/>
    <x v="1"/>
    <x v="0"/>
    <x v="0"/>
    <s v="TP53"/>
    <s v="Yes"/>
    <s v="Yes"/>
    <s v="Yes"/>
    <s v="Yes"/>
    <s v="Yes"/>
    <s v="No"/>
    <s v="Yes"/>
    <s v="No"/>
    <s v="Yes"/>
    <s v="No"/>
    <x v="0"/>
    <s v="Adenocarcinoma"/>
    <x v="2"/>
    <n v="7.5"/>
    <s v="No"/>
    <s v="Biopsy"/>
    <s v="Chemotherapy"/>
    <n v="12"/>
    <s v="No"/>
  </r>
  <r>
    <s v="LC-1159"/>
    <n v="2025"/>
    <d v="2025-01-26T00:00:00"/>
    <s v="Europe"/>
    <s v="Germany"/>
    <n v="68"/>
    <x v="1"/>
    <x v="2"/>
    <n v="0"/>
    <n v="0"/>
    <x v="0"/>
    <x v="0"/>
    <x v="0"/>
    <x v="0"/>
    <x v="1"/>
    <n v="28.9"/>
    <x v="1"/>
    <s v="No"/>
    <x v="0"/>
    <x v="0"/>
    <x v="0"/>
    <s v="EGFR"/>
    <s v="Yes"/>
    <s v="Yes"/>
    <s v="No"/>
    <s v="No"/>
    <s v="No"/>
    <s v="No"/>
    <s v="No"/>
    <s v="Yes"/>
    <s v="No"/>
    <s v="Yes"/>
    <x v="1"/>
    <s v="Not Applicable"/>
    <x v="3"/>
    <n v="2"/>
    <s v="No"/>
    <s v="CT Scan"/>
    <s v="Surgery"/>
    <n v="45"/>
    <s v="Yes"/>
  </r>
  <r>
    <s v="LC-1160"/>
    <n v="2024"/>
    <d v="2024-01-28T00:00:00"/>
    <s v="Europe"/>
    <s v="Russia"/>
    <n v="70"/>
    <x v="1"/>
    <x v="1"/>
    <n v="26"/>
    <n v="16"/>
    <x v="1"/>
    <x v="0"/>
    <x v="0"/>
    <x v="1"/>
    <x v="1"/>
    <n v="25.8"/>
    <x v="0"/>
    <s v="Yes"/>
    <x v="0"/>
    <x v="0"/>
    <x v="0"/>
    <s v="No Mutation"/>
    <s v="No"/>
    <s v="No"/>
    <s v="No"/>
    <s v="Yes"/>
    <s v="Yes"/>
    <s v="No"/>
    <s v="No"/>
    <s v="No"/>
    <s v="No"/>
    <s v="No"/>
    <x v="0"/>
    <s v="Adenocarcinoma"/>
    <x v="1"/>
    <n v="2.5"/>
    <s v="No"/>
    <s v="CT Scan"/>
    <s v="Immunotherapy"/>
    <n v="61"/>
    <s v="Yes"/>
  </r>
  <r>
    <s v="LC-1161"/>
    <n v="2024"/>
    <d v="2024-11-04T00:00:00"/>
    <s v="Africa"/>
    <s v="Kenya"/>
    <n v="74"/>
    <x v="1"/>
    <x v="1"/>
    <n v="21"/>
    <n v="28"/>
    <x v="1"/>
    <x v="1"/>
    <x v="0"/>
    <x v="0"/>
    <x v="0"/>
    <n v="27.1"/>
    <x v="1"/>
    <s v="Yes"/>
    <x v="0"/>
    <x v="0"/>
    <x v="0"/>
    <s v="No Mutation"/>
    <s v="No"/>
    <s v="Yes"/>
    <s v="No"/>
    <s v="No"/>
    <s v="No"/>
    <s v="No"/>
    <s v="Yes"/>
    <s v="No"/>
    <s v="No"/>
    <s v="No"/>
    <x v="0"/>
    <s v="Adenocarcinoma"/>
    <x v="1"/>
    <n v="1.7"/>
    <s v="No"/>
    <s v="LDCT Screening"/>
    <s v="Surgery"/>
    <n v="48"/>
    <s v="Yes"/>
  </r>
  <r>
    <s v="LC-1162"/>
    <n v="2025"/>
    <d v="2025-12-08T00:00:00"/>
    <s v="South-East Asia"/>
    <s v="Timor-Leste"/>
    <n v="60"/>
    <x v="0"/>
    <x v="2"/>
    <n v="0"/>
    <n v="0"/>
    <x v="0"/>
    <x v="0"/>
    <x v="1"/>
    <x v="1"/>
    <x v="0"/>
    <n v="27.8"/>
    <x v="2"/>
    <s v="No"/>
    <x v="0"/>
    <x v="0"/>
    <x v="0"/>
    <s v="No Mutation"/>
    <s v="No"/>
    <s v="No"/>
    <s v="Yes"/>
    <s v="No"/>
    <s v="Yes"/>
    <s v="No"/>
    <s v="No"/>
    <s v="Yes"/>
    <s v="No"/>
    <s v="No"/>
    <x v="0"/>
    <s v="Adenocarcinoma"/>
    <x v="3"/>
    <n v="2.4"/>
    <s v="No"/>
    <s v="PET Scan"/>
    <s v="Chemotherapy"/>
    <n v="48"/>
    <s v="No"/>
  </r>
  <r>
    <s v="LC-1163"/>
    <n v="2020"/>
    <d v="2020-03-18T00:00:00"/>
    <s v="Western Pacific"/>
    <s v="South Korea"/>
    <n v="70"/>
    <x v="0"/>
    <x v="2"/>
    <n v="0"/>
    <n v="0"/>
    <x v="1"/>
    <x v="0"/>
    <x v="0"/>
    <x v="1"/>
    <x v="0"/>
    <n v="22.4"/>
    <x v="1"/>
    <s v="No"/>
    <x v="0"/>
    <x v="1"/>
    <x v="0"/>
    <s v="KRAS"/>
    <s v="Yes"/>
    <s v="Yes"/>
    <s v="No"/>
    <s v="Yes"/>
    <s v="Yes"/>
    <s v="Yes"/>
    <s v="No"/>
    <s v="Yes"/>
    <s v="No"/>
    <s v="No"/>
    <x v="0"/>
    <s v="Adenocarcinoma"/>
    <x v="1"/>
    <n v="2.2000000000000002"/>
    <s v="No"/>
    <s v="Biopsy"/>
    <s v="Surgery + Chemotherapy"/>
    <n v="60"/>
    <s v="Yes"/>
  </r>
  <r>
    <s v="LC-1164"/>
    <n v="2020"/>
    <d v="2020-06-18T00:00:00"/>
    <s v="Europe"/>
    <s v="Turkey"/>
    <n v="54"/>
    <x v="1"/>
    <x v="2"/>
    <n v="0"/>
    <n v="0"/>
    <x v="1"/>
    <x v="1"/>
    <x v="0"/>
    <x v="2"/>
    <x v="0"/>
    <n v="26.9"/>
    <x v="1"/>
    <s v="Yes"/>
    <x v="0"/>
    <x v="1"/>
    <x v="0"/>
    <s v="KRAS"/>
    <s v="No"/>
    <s v="No"/>
    <s v="Yes"/>
    <s v="No"/>
    <s v="No"/>
    <s v="No"/>
    <s v="No"/>
    <s v="No"/>
    <s v="No"/>
    <s v="No"/>
    <x v="0"/>
    <s v="Adenocarcinoma"/>
    <x v="0"/>
    <n v="6.2"/>
    <s v="Yes"/>
    <s v="CT Scan"/>
    <s v="Immunotherapy"/>
    <n v="8"/>
    <s v="No"/>
  </r>
  <r>
    <s v="LC-1165"/>
    <n v="2018"/>
    <d v="2018-08-08T00:00:00"/>
    <s v="Western Pacific"/>
    <s v="Malaysia"/>
    <n v="52"/>
    <x v="1"/>
    <x v="0"/>
    <n v="5"/>
    <n v="10"/>
    <x v="1"/>
    <x v="0"/>
    <x v="1"/>
    <x v="1"/>
    <x v="0"/>
    <n v="22.3"/>
    <x v="0"/>
    <s v="No"/>
    <x v="1"/>
    <x v="0"/>
    <x v="0"/>
    <s v="No Mutation"/>
    <s v="Yes"/>
    <s v="Yes"/>
    <s v="Yes"/>
    <s v="Yes"/>
    <s v="Yes"/>
    <s v="No"/>
    <s v="No"/>
    <s v="Yes"/>
    <s v="No"/>
    <s v="No"/>
    <x v="0"/>
    <s v="Adenocarcinoma"/>
    <x v="0"/>
    <n v="3.8"/>
    <s v="Yes"/>
    <s v="Bronchoscopy"/>
    <s v="Radiotherapy"/>
    <n v="11"/>
    <s v="No"/>
  </r>
  <r>
    <s v="LC-1166"/>
    <n v="2023"/>
    <d v="2023-11-06T00:00:00"/>
    <s v="Africa"/>
    <s v="Kenya"/>
    <n v="38"/>
    <x v="0"/>
    <x v="2"/>
    <n v="0"/>
    <n v="0"/>
    <x v="1"/>
    <x v="1"/>
    <x v="1"/>
    <x v="0"/>
    <x v="0"/>
    <n v="28.3"/>
    <x v="0"/>
    <s v="No"/>
    <x v="0"/>
    <x v="0"/>
    <x v="0"/>
    <s v="EGFR"/>
    <s v="Yes"/>
    <s v="No"/>
    <s v="No"/>
    <s v="No"/>
    <s v="Yes"/>
    <s v="No"/>
    <s v="No"/>
    <s v="No"/>
    <s v="Yes"/>
    <s v="No"/>
    <x v="0"/>
    <s v="Adenocarcinoma"/>
    <x v="1"/>
    <n v="2.6"/>
    <s v="No"/>
    <s v="Bronchoscopy"/>
    <s v="Surgery + Chemotherapy"/>
    <n v="93"/>
    <s v="Yes"/>
  </r>
  <r>
    <s v="LC-1167"/>
    <n v="2023"/>
    <d v="2023-11-22T00:00:00"/>
    <s v="Europe"/>
    <s v="Turkey"/>
    <n v="47"/>
    <x v="0"/>
    <x v="1"/>
    <n v="33"/>
    <n v="15"/>
    <x v="0"/>
    <x v="0"/>
    <x v="0"/>
    <x v="2"/>
    <x v="1"/>
    <n v="21.2"/>
    <x v="0"/>
    <s v="No"/>
    <x v="0"/>
    <x v="0"/>
    <x v="0"/>
    <s v="No Mutation"/>
    <s v="No"/>
    <s v="Yes"/>
    <s v="No"/>
    <s v="No"/>
    <s v="Yes"/>
    <s v="No"/>
    <s v="No"/>
    <s v="No"/>
    <s v="No"/>
    <s v="No"/>
    <x v="0"/>
    <s v="Squamous Cell"/>
    <x v="2"/>
    <n v="6.7"/>
    <s v="No"/>
    <s v="PET Scan"/>
    <s v="Radiotherapy"/>
    <n v="21"/>
    <s v="No"/>
  </r>
  <r>
    <s v="LC-1168"/>
    <n v="2021"/>
    <d v="2021-07-01T00:00:00"/>
    <s v="South-East Asia"/>
    <s v="Bhutan"/>
    <n v="63"/>
    <x v="1"/>
    <x v="2"/>
    <n v="0"/>
    <n v="0"/>
    <x v="0"/>
    <x v="0"/>
    <x v="1"/>
    <x v="1"/>
    <x v="2"/>
    <n v="20.6"/>
    <x v="2"/>
    <s v="No"/>
    <x v="0"/>
    <x v="1"/>
    <x v="0"/>
    <s v="KRAS"/>
    <s v="Yes"/>
    <s v="Yes"/>
    <s v="Yes"/>
    <s v="No"/>
    <s v="Yes"/>
    <s v="No"/>
    <s v="No"/>
    <s v="No"/>
    <s v="No"/>
    <s v="No"/>
    <x v="0"/>
    <s v="Adenocarcinoma"/>
    <x v="3"/>
    <n v="4.5"/>
    <s v="No"/>
    <s v="Biopsy"/>
    <s v="Chemotherapy"/>
    <n v="40"/>
    <s v="No"/>
  </r>
  <r>
    <s v="LC-1169"/>
    <n v="2019"/>
    <d v="2019-04-15T00:00:00"/>
    <s v="South-East Asia"/>
    <s v="Bhutan"/>
    <n v="72"/>
    <x v="0"/>
    <x v="2"/>
    <n v="0"/>
    <n v="0"/>
    <x v="0"/>
    <x v="0"/>
    <x v="1"/>
    <x v="0"/>
    <x v="0"/>
    <n v="25.4"/>
    <x v="0"/>
    <s v="No"/>
    <x v="0"/>
    <x v="1"/>
    <x v="0"/>
    <s v="No Mutation"/>
    <s v="No"/>
    <s v="No"/>
    <s v="No"/>
    <s v="No"/>
    <s v="Yes"/>
    <s v="No"/>
    <s v="No"/>
    <s v="No"/>
    <s v="No"/>
    <s v="No"/>
    <x v="0"/>
    <s v="Adenocarcinoma"/>
    <x v="1"/>
    <n v="1.7"/>
    <s v="No"/>
    <s v="CT Scan"/>
    <s v="Surgery"/>
    <n v="79"/>
    <s v="Yes"/>
  </r>
  <r>
    <s v="LC-1170"/>
    <n v="2018"/>
    <d v="2018-07-13T00:00:00"/>
    <s v="South-East Asia"/>
    <s v="India"/>
    <n v="53"/>
    <x v="1"/>
    <x v="2"/>
    <n v="0"/>
    <n v="0"/>
    <x v="0"/>
    <x v="1"/>
    <x v="0"/>
    <x v="0"/>
    <x v="2"/>
    <n v="25.7"/>
    <x v="2"/>
    <s v="No"/>
    <x v="0"/>
    <x v="0"/>
    <x v="0"/>
    <s v="ROS1"/>
    <s v="No"/>
    <s v="Yes"/>
    <s v="No"/>
    <s v="No"/>
    <s v="No"/>
    <s v="Yes"/>
    <s v="Yes"/>
    <s v="Yes"/>
    <s v="No"/>
    <s v="No"/>
    <x v="0"/>
    <s v="Adenocarcinoma"/>
    <x v="3"/>
    <n v="5.4"/>
    <s v="No"/>
    <s v="PET Scan"/>
    <s v="Radiotherapy"/>
    <n v="30"/>
    <s v="Yes"/>
  </r>
  <r>
    <s v="LC-1171"/>
    <n v="2015"/>
    <d v="2015-12-07T00:00:00"/>
    <s v="Western Pacific"/>
    <s v="Australia"/>
    <n v="82"/>
    <x v="1"/>
    <x v="2"/>
    <n v="0"/>
    <n v="0"/>
    <x v="0"/>
    <x v="0"/>
    <x v="0"/>
    <x v="1"/>
    <x v="2"/>
    <n v="23.8"/>
    <x v="1"/>
    <s v="No"/>
    <x v="0"/>
    <x v="0"/>
    <x v="0"/>
    <s v="No Mutation"/>
    <s v="Yes"/>
    <s v="No"/>
    <s v="Yes"/>
    <s v="No"/>
    <s v="No"/>
    <s v="No"/>
    <s v="No"/>
    <s v="Yes"/>
    <s v="No"/>
    <s v="No"/>
    <x v="0"/>
    <s v="Adenocarcinoma"/>
    <x v="0"/>
    <n v="11.6"/>
    <s v="Yes"/>
    <s v="CT Scan"/>
    <s v="Palliative Care"/>
    <n v="21"/>
    <s v="No"/>
  </r>
  <r>
    <s v="LC-1172"/>
    <n v="2016"/>
    <d v="2016-05-25T00:00:00"/>
    <s v="South-East Asia"/>
    <s v="Bangladesh"/>
    <n v="80"/>
    <x v="1"/>
    <x v="1"/>
    <n v="13"/>
    <n v="24"/>
    <x v="1"/>
    <x v="1"/>
    <x v="0"/>
    <x v="1"/>
    <x v="1"/>
    <n v="25.7"/>
    <x v="2"/>
    <s v="No"/>
    <x v="0"/>
    <x v="0"/>
    <x v="0"/>
    <s v="KRAS"/>
    <s v="Yes"/>
    <s v="Yes"/>
    <s v="No"/>
    <s v="No"/>
    <s v="Yes"/>
    <s v="No"/>
    <s v="Yes"/>
    <s v="No"/>
    <s v="No"/>
    <s v="Yes"/>
    <x v="0"/>
    <s v="Adenocarcinoma"/>
    <x v="3"/>
    <n v="5.0999999999999996"/>
    <s v="No"/>
    <s v="Bronchoscopy"/>
    <s v="Radiotherapy"/>
    <n v="39"/>
    <s v="Yes"/>
  </r>
  <r>
    <s v="LC-1173"/>
    <n v="2022"/>
    <d v="2022-10-04T00:00:00"/>
    <s v="Eastern Mediterranean"/>
    <s v="Qatar"/>
    <n v="64"/>
    <x v="1"/>
    <x v="2"/>
    <n v="0"/>
    <n v="0"/>
    <x v="1"/>
    <x v="0"/>
    <x v="0"/>
    <x v="0"/>
    <x v="2"/>
    <n v="28.7"/>
    <x v="1"/>
    <s v="No"/>
    <x v="0"/>
    <x v="0"/>
    <x v="0"/>
    <s v="No Mutation"/>
    <s v="No"/>
    <s v="No"/>
    <s v="No"/>
    <s v="No"/>
    <s v="Yes"/>
    <s v="No"/>
    <s v="No"/>
    <s v="No"/>
    <s v="No"/>
    <s v="No"/>
    <x v="0"/>
    <s v="Adenocarcinoma"/>
    <x v="1"/>
    <n v="3.5"/>
    <s v="No"/>
    <s v="Bronchoscopy"/>
    <s v="Surgery"/>
    <n v="51"/>
    <s v="Yes"/>
  </r>
  <r>
    <s v="LC-1174"/>
    <n v="2018"/>
    <d v="2018-03-12T00:00:00"/>
    <s v="South-East Asia"/>
    <s v="Sri Lanka"/>
    <n v="63"/>
    <x v="1"/>
    <x v="2"/>
    <n v="0"/>
    <n v="0"/>
    <x v="0"/>
    <x v="0"/>
    <x v="0"/>
    <x v="0"/>
    <x v="0"/>
    <n v="26.8"/>
    <x v="2"/>
    <s v="Yes"/>
    <x v="0"/>
    <x v="0"/>
    <x v="0"/>
    <s v="EGFR"/>
    <s v="Yes"/>
    <s v="No"/>
    <s v="No"/>
    <s v="No"/>
    <s v="Yes"/>
    <s v="Yes"/>
    <s v="No"/>
    <s v="No"/>
    <s v="No"/>
    <s v="No"/>
    <x v="0"/>
    <s v="Adenocarcinoma"/>
    <x v="1"/>
    <n v="2.2000000000000002"/>
    <s v="No"/>
    <s v="Chest X-Ray"/>
    <s v="Surgery"/>
    <n v="54"/>
    <s v="Yes"/>
  </r>
  <r>
    <s v="LC-1175"/>
    <n v="2022"/>
    <d v="2022-04-15T00:00:00"/>
    <s v="Western Pacific"/>
    <s v="Japan"/>
    <n v="55"/>
    <x v="0"/>
    <x v="0"/>
    <n v="30"/>
    <n v="29"/>
    <x v="1"/>
    <x v="0"/>
    <x v="0"/>
    <x v="0"/>
    <x v="2"/>
    <n v="28.7"/>
    <x v="0"/>
    <s v="Yes"/>
    <x v="0"/>
    <x v="0"/>
    <x v="0"/>
    <s v="No Mutation"/>
    <s v="Yes"/>
    <s v="Yes"/>
    <s v="Yes"/>
    <s v="Yes"/>
    <s v="Yes"/>
    <s v="Yes"/>
    <s v="Yes"/>
    <s v="Yes"/>
    <s v="No"/>
    <s v="No"/>
    <x v="0"/>
    <s v="Squamous Cell"/>
    <x v="0"/>
    <n v="8.3000000000000007"/>
    <s v="Yes"/>
    <s v="PET Scan"/>
    <s v="Chemo + Radiation"/>
    <n v="4"/>
    <s v="No"/>
  </r>
  <r>
    <s v="LC-1176"/>
    <n v="2021"/>
    <d v="2021-05-22T00:00:00"/>
    <s v="Africa"/>
    <s v="Morocco"/>
    <n v="63"/>
    <x v="0"/>
    <x v="2"/>
    <n v="0"/>
    <n v="0"/>
    <x v="0"/>
    <x v="0"/>
    <x v="0"/>
    <x v="1"/>
    <x v="2"/>
    <n v="34.200000000000003"/>
    <x v="0"/>
    <s v="No"/>
    <x v="0"/>
    <x v="0"/>
    <x v="1"/>
    <s v="MET"/>
    <s v="Yes"/>
    <s v="No"/>
    <s v="Yes"/>
    <s v="No"/>
    <s v="No"/>
    <s v="No"/>
    <s v="No"/>
    <s v="No"/>
    <s v="No"/>
    <s v="Yes"/>
    <x v="0"/>
    <s v="Adenocarcinoma"/>
    <x v="0"/>
    <n v="4.8"/>
    <s v="Yes"/>
    <s v="Biopsy"/>
    <s v="Immunotherapy"/>
    <n v="7"/>
    <s v="No"/>
  </r>
  <r>
    <s v="LC-1177"/>
    <n v="2024"/>
    <d v="2024-09-21T00:00:00"/>
    <s v="Europe"/>
    <s v="Russia"/>
    <n v="43"/>
    <x v="1"/>
    <x v="2"/>
    <n v="0"/>
    <n v="0"/>
    <x v="1"/>
    <x v="1"/>
    <x v="0"/>
    <x v="1"/>
    <x v="2"/>
    <n v="23.4"/>
    <x v="1"/>
    <s v="No"/>
    <x v="0"/>
    <x v="0"/>
    <x v="0"/>
    <s v="EGFR"/>
    <s v="No"/>
    <s v="Yes"/>
    <s v="No"/>
    <s v="No"/>
    <s v="No"/>
    <s v="No"/>
    <s v="Yes"/>
    <s v="No"/>
    <s v="No"/>
    <s v="Yes"/>
    <x v="0"/>
    <s v="Adenocarcinoma"/>
    <x v="3"/>
    <n v="4.5999999999999996"/>
    <s v="No"/>
    <s v="CT Scan"/>
    <s v="Surgery"/>
    <n v="25"/>
    <s v="No"/>
  </r>
  <r>
    <s v="LC-1178"/>
    <n v="2017"/>
    <d v="2017-10-13T00:00:00"/>
    <s v="South-East Asia"/>
    <s v="Bhutan"/>
    <n v="53"/>
    <x v="0"/>
    <x v="0"/>
    <n v="30"/>
    <n v="27"/>
    <x v="0"/>
    <x v="0"/>
    <x v="0"/>
    <x v="2"/>
    <x v="0"/>
    <n v="30.4"/>
    <x v="0"/>
    <s v="No"/>
    <x v="0"/>
    <x v="0"/>
    <x v="0"/>
    <s v="MET"/>
    <s v="Yes"/>
    <s v="No"/>
    <s v="Yes"/>
    <s v="No"/>
    <s v="No"/>
    <s v="No"/>
    <s v="Yes"/>
    <s v="No"/>
    <s v="Yes"/>
    <s v="No"/>
    <x v="1"/>
    <s v="Not Applicable"/>
    <x v="2"/>
    <n v="3.5"/>
    <s v="No"/>
    <s v="Bronchoscopy"/>
    <s v="Targeted Therapy"/>
    <n v="22"/>
    <s v="No"/>
  </r>
  <r>
    <s v="LC-1179"/>
    <n v="2017"/>
    <d v="2017-07-19T00:00:00"/>
    <s v="Eastern Mediterranean"/>
    <s v="Iran"/>
    <n v="50"/>
    <x v="1"/>
    <x v="2"/>
    <n v="0"/>
    <n v="0"/>
    <x v="0"/>
    <x v="0"/>
    <x v="0"/>
    <x v="0"/>
    <x v="0"/>
    <n v="29.4"/>
    <x v="0"/>
    <s v="No"/>
    <x v="0"/>
    <x v="0"/>
    <x v="0"/>
    <s v="EGFR"/>
    <s v="Yes"/>
    <s v="No"/>
    <s v="No"/>
    <s v="No"/>
    <s v="No"/>
    <s v="Yes"/>
    <s v="No"/>
    <s v="No"/>
    <s v="No"/>
    <s v="No"/>
    <x v="0"/>
    <s v="Adenocarcinoma"/>
    <x v="2"/>
    <n v="6.5"/>
    <s v="No"/>
    <s v="Biopsy"/>
    <s v="Chemo + Radiation"/>
    <n v="22"/>
    <s v="Yes"/>
  </r>
  <r>
    <s v="LC-1180"/>
    <n v="2022"/>
    <d v="2022-06-12T00:00:00"/>
    <s v="Western Pacific"/>
    <s v="New Zealand"/>
    <n v="58"/>
    <x v="0"/>
    <x v="2"/>
    <n v="0"/>
    <n v="0"/>
    <x v="0"/>
    <x v="1"/>
    <x v="1"/>
    <x v="1"/>
    <x v="0"/>
    <n v="20.9"/>
    <x v="0"/>
    <s v="No"/>
    <x v="0"/>
    <x v="1"/>
    <x v="0"/>
    <s v="No Mutation"/>
    <s v="Yes"/>
    <s v="No"/>
    <s v="No"/>
    <s v="No"/>
    <s v="Yes"/>
    <s v="No"/>
    <s v="No"/>
    <s v="Yes"/>
    <s v="No"/>
    <s v="No"/>
    <x v="0"/>
    <s v="Adenocarcinoma"/>
    <x v="3"/>
    <n v="2.4"/>
    <s v="No"/>
    <s v="Biopsy"/>
    <s v="Immunotherapy"/>
    <n v="18"/>
    <s v="No"/>
  </r>
  <r>
    <s v="LC-1181"/>
    <n v="2020"/>
    <d v="2020-10-06T00:00:00"/>
    <s v="Western Pacific"/>
    <s v="Philippines"/>
    <n v="45"/>
    <x v="0"/>
    <x v="2"/>
    <n v="0"/>
    <n v="0"/>
    <x v="0"/>
    <x v="0"/>
    <x v="0"/>
    <x v="0"/>
    <x v="2"/>
    <n v="27.9"/>
    <x v="0"/>
    <s v="No"/>
    <x v="0"/>
    <x v="0"/>
    <x v="0"/>
    <s v="ROS1"/>
    <s v="No"/>
    <s v="No"/>
    <s v="No"/>
    <s v="Yes"/>
    <s v="Yes"/>
    <s v="No"/>
    <s v="Yes"/>
    <s v="No"/>
    <s v="No"/>
    <s v="No"/>
    <x v="0"/>
    <s v="Large Cell"/>
    <x v="1"/>
    <n v="1.6"/>
    <s v="No"/>
    <s v="Biopsy"/>
    <s v="Surgery"/>
    <n v="66"/>
    <s v="No"/>
  </r>
  <r>
    <s v="LC-1182"/>
    <n v="2016"/>
    <d v="2016-10-19T00:00:00"/>
    <s v="Europe"/>
    <s v="Germany"/>
    <n v="59"/>
    <x v="1"/>
    <x v="0"/>
    <n v="21"/>
    <n v="37"/>
    <x v="0"/>
    <x v="0"/>
    <x v="0"/>
    <x v="1"/>
    <x v="1"/>
    <n v="32.299999999999997"/>
    <x v="2"/>
    <s v="No"/>
    <x v="0"/>
    <x v="0"/>
    <x v="0"/>
    <s v="KRAS"/>
    <s v="No"/>
    <s v="No"/>
    <s v="Yes"/>
    <s v="Yes"/>
    <s v="Yes"/>
    <s v="No"/>
    <s v="Yes"/>
    <s v="No"/>
    <s v="No"/>
    <s v="No"/>
    <x v="0"/>
    <s v="Squamous Cell"/>
    <x v="2"/>
    <n v="5.2"/>
    <s v="No"/>
    <s v="LDCT Screening"/>
    <s v="Chemotherapy"/>
    <n v="25"/>
    <s v="No"/>
  </r>
  <r>
    <s v="LC-1183"/>
    <n v="2023"/>
    <d v="2023-11-05T00:00:00"/>
    <s v="Eastern Mediterranean"/>
    <s v="Jordan"/>
    <n v="43"/>
    <x v="1"/>
    <x v="2"/>
    <n v="0"/>
    <n v="0"/>
    <x v="1"/>
    <x v="0"/>
    <x v="0"/>
    <x v="0"/>
    <x v="0"/>
    <n v="24.4"/>
    <x v="0"/>
    <s v="No"/>
    <x v="0"/>
    <x v="0"/>
    <x v="0"/>
    <s v="No Mutation"/>
    <s v="No"/>
    <s v="Yes"/>
    <s v="Yes"/>
    <s v="No"/>
    <s v="Yes"/>
    <s v="No"/>
    <s v="No"/>
    <s v="No"/>
    <s v="Yes"/>
    <s v="No"/>
    <x v="0"/>
    <s v="Adenocarcinoma"/>
    <x v="1"/>
    <n v="3.1"/>
    <s v="No"/>
    <s v="CT Scan"/>
    <s v="Immunotherapy"/>
    <n v="85"/>
    <s v="Yes"/>
  </r>
  <r>
    <s v="LC-1184"/>
    <n v="2020"/>
    <d v="2020-02-08T00:00:00"/>
    <s v="Americas"/>
    <s v="Argentina"/>
    <n v="68"/>
    <x v="1"/>
    <x v="2"/>
    <n v="0"/>
    <n v="0"/>
    <x v="0"/>
    <x v="0"/>
    <x v="0"/>
    <x v="2"/>
    <x v="0"/>
    <n v="30.7"/>
    <x v="1"/>
    <s v="No"/>
    <x v="0"/>
    <x v="0"/>
    <x v="0"/>
    <s v="No Mutation"/>
    <s v="Yes"/>
    <s v="No"/>
    <s v="No"/>
    <s v="Yes"/>
    <s v="No"/>
    <s v="No"/>
    <s v="No"/>
    <s v="No"/>
    <s v="No"/>
    <s v="No"/>
    <x v="0"/>
    <s v="Adenocarcinoma"/>
    <x v="0"/>
    <n v="5.4"/>
    <s v="Yes"/>
    <s v="PET Scan"/>
    <s v="Chemotherapy"/>
    <n v="10"/>
    <s v="No"/>
  </r>
  <r>
    <s v="LC-1185"/>
    <n v="2025"/>
    <d v="2025-02-06T00:00:00"/>
    <s v="Western Pacific"/>
    <s v="Vietnam"/>
    <n v="63"/>
    <x v="1"/>
    <x v="2"/>
    <n v="0"/>
    <n v="0"/>
    <x v="0"/>
    <x v="0"/>
    <x v="0"/>
    <x v="1"/>
    <x v="2"/>
    <n v="22.3"/>
    <x v="2"/>
    <s v="No"/>
    <x v="0"/>
    <x v="1"/>
    <x v="0"/>
    <s v="No Mutation"/>
    <s v="Yes"/>
    <s v="No"/>
    <s v="No"/>
    <s v="No"/>
    <s v="Yes"/>
    <s v="No"/>
    <s v="No"/>
    <s v="No"/>
    <s v="Yes"/>
    <s v="Yes"/>
    <x v="0"/>
    <s v="Adenocarcinoma"/>
    <x v="3"/>
    <n v="5.0999999999999996"/>
    <s v="No"/>
    <s v="MRI"/>
    <s v="Radiotherapy"/>
    <n v="31"/>
    <s v="Yes"/>
  </r>
  <r>
    <s v="LC-1186"/>
    <n v="2024"/>
    <d v="2024-12-05T00:00:00"/>
    <s v="Europe"/>
    <s v="Netherlands"/>
    <n v="57"/>
    <x v="0"/>
    <x v="1"/>
    <n v="19"/>
    <n v="15"/>
    <x v="0"/>
    <x v="0"/>
    <x v="0"/>
    <x v="2"/>
    <x v="2"/>
    <n v="26.5"/>
    <x v="0"/>
    <s v="No"/>
    <x v="0"/>
    <x v="0"/>
    <x v="0"/>
    <s v="EGFR"/>
    <s v="No"/>
    <s v="Yes"/>
    <s v="Yes"/>
    <s v="Yes"/>
    <s v="Yes"/>
    <s v="Yes"/>
    <s v="No"/>
    <s v="No"/>
    <s v="No"/>
    <s v="No"/>
    <x v="0"/>
    <s v="Adenocarcinoma"/>
    <x v="1"/>
    <n v="1.3"/>
    <s v="No"/>
    <s v="Bronchoscopy"/>
    <s v="Immunotherapy"/>
    <n v="30"/>
    <s v="Yes"/>
  </r>
  <r>
    <s v="LC-1187"/>
    <n v="2023"/>
    <d v="2023-07-14T00:00:00"/>
    <s v="Western Pacific"/>
    <s v="Mongolia"/>
    <n v="83"/>
    <x v="1"/>
    <x v="2"/>
    <n v="0"/>
    <n v="0"/>
    <x v="0"/>
    <x v="0"/>
    <x v="0"/>
    <x v="2"/>
    <x v="2"/>
    <n v="25.4"/>
    <x v="1"/>
    <s v="No"/>
    <x v="0"/>
    <x v="0"/>
    <x v="0"/>
    <s v="ALK"/>
    <s v="No"/>
    <s v="No"/>
    <s v="No"/>
    <s v="No"/>
    <s v="No"/>
    <s v="No"/>
    <s v="No"/>
    <s v="No"/>
    <s v="No"/>
    <s v="No"/>
    <x v="0"/>
    <s v="Adenocarcinoma"/>
    <x v="2"/>
    <n v="5.2"/>
    <s v="No"/>
    <s v="CT Scan"/>
    <s v="Surgery + Chemotherapy"/>
    <n v="8"/>
    <s v="No"/>
  </r>
  <r>
    <s v="LC-1188"/>
    <n v="2017"/>
    <d v="2017-03-19T00:00:00"/>
    <s v="South-East Asia"/>
    <s v="Nepal"/>
    <n v="64"/>
    <x v="1"/>
    <x v="2"/>
    <n v="0"/>
    <n v="0"/>
    <x v="0"/>
    <x v="0"/>
    <x v="0"/>
    <x v="0"/>
    <x v="2"/>
    <n v="23.2"/>
    <x v="0"/>
    <s v="No"/>
    <x v="0"/>
    <x v="0"/>
    <x v="0"/>
    <s v="KRAS"/>
    <s v="Yes"/>
    <s v="No"/>
    <s v="No"/>
    <s v="No"/>
    <s v="Yes"/>
    <s v="Yes"/>
    <s v="No"/>
    <s v="Yes"/>
    <s v="No"/>
    <s v="No"/>
    <x v="0"/>
    <s v="Adenocarcinoma"/>
    <x v="0"/>
    <n v="8.1"/>
    <s v="Yes"/>
    <s v="Biopsy"/>
    <s v="Chemotherapy"/>
    <n v="12"/>
    <s v="No"/>
  </r>
  <r>
    <s v="LC-1189"/>
    <n v="2022"/>
    <d v="2022-07-06T00:00:00"/>
    <s v="South-East Asia"/>
    <s v="Maldives"/>
    <n v="77"/>
    <x v="1"/>
    <x v="2"/>
    <n v="0"/>
    <n v="0"/>
    <x v="0"/>
    <x v="0"/>
    <x v="0"/>
    <x v="0"/>
    <x v="2"/>
    <n v="24.2"/>
    <x v="0"/>
    <s v="No"/>
    <x v="0"/>
    <x v="0"/>
    <x v="0"/>
    <s v="No Mutation"/>
    <s v="No"/>
    <s v="Yes"/>
    <s v="No"/>
    <s v="No"/>
    <s v="Yes"/>
    <s v="No"/>
    <s v="Yes"/>
    <s v="Yes"/>
    <s v="Yes"/>
    <s v="No"/>
    <x v="0"/>
    <s v="Adenocarcinoma"/>
    <x v="3"/>
    <n v="6.4"/>
    <s v="No"/>
    <s v="PET Scan"/>
    <s v="Surgery + Chemotherapy"/>
    <n v="58"/>
    <s v="Yes"/>
  </r>
  <r>
    <s v="LC-1190"/>
    <n v="2015"/>
    <d v="2015-11-18T00:00:00"/>
    <s v="Americas"/>
    <s v="Brazil"/>
    <n v="65"/>
    <x v="0"/>
    <x v="2"/>
    <n v="0"/>
    <n v="0"/>
    <x v="0"/>
    <x v="0"/>
    <x v="1"/>
    <x v="0"/>
    <x v="2"/>
    <n v="29"/>
    <x v="2"/>
    <s v="No"/>
    <x v="0"/>
    <x v="0"/>
    <x v="1"/>
    <s v="No Mutation"/>
    <s v="No"/>
    <s v="No"/>
    <s v="No"/>
    <s v="No"/>
    <s v="No"/>
    <s v="Yes"/>
    <s v="No"/>
    <s v="No"/>
    <s v="No"/>
    <s v="No"/>
    <x v="0"/>
    <s v="Large Cell"/>
    <x v="2"/>
    <n v="9"/>
    <s v="Yes"/>
    <s v="PET Scan"/>
    <s v="Chemotherapy"/>
    <n v="15"/>
    <s v="No"/>
  </r>
  <r>
    <s v="LC-1191"/>
    <n v="2017"/>
    <d v="2017-09-06T00:00:00"/>
    <s v="South-East Asia"/>
    <s v="Maldives"/>
    <n v="47"/>
    <x v="1"/>
    <x v="2"/>
    <n v="0"/>
    <n v="0"/>
    <x v="1"/>
    <x v="1"/>
    <x v="0"/>
    <x v="1"/>
    <x v="2"/>
    <n v="31.9"/>
    <x v="2"/>
    <s v="No"/>
    <x v="0"/>
    <x v="0"/>
    <x v="0"/>
    <s v="KRAS"/>
    <s v="No"/>
    <s v="Yes"/>
    <s v="Yes"/>
    <s v="No"/>
    <s v="Yes"/>
    <s v="No"/>
    <s v="No"/>
    <s v="No"/>
    <s v="Yes"/>
    <s v="No"/>
    <x v="0"/>
    <s v="Large Cell"/>
    <x v="1"/>
    <n v="2"/>
    <s v="No"/>
    <s v="Biopsy"/>
    <s v="Targeted Therapy"/>
    <n v="69"/>
    <s v="Yes"/>
  </r>
  <r>
    <s v="LC-1192"/>
    <n v="2025"/>
    <d v="2025-05-05T00:00:00"/>
    <s v="South-East Asia"/>
    <s v="Indonesia"/>
    <n v="63"/>
    <x v="0"/>
    <x v="2"/>
    <n v="0"/>
    <n v="0"/>
    <x v="1"/>
    <x v="1"/>
    <x v="0"/>
    <x v="1"/>
    <x v="1"/>
    <n v="22.6"/>
    <x v="0"/>
    <s v="No"/>
    <x v="0"/>
    <x v="0"/>
    <x v="0"/>
    <s v="EGFR"/>
    <s v="No"/>
    <s v="No"/>
    <s v="Yes"/>
    <s v="No"/>
    <s v="No"/>
    <s v="No"/>
    <s v="Yes"/>
    <s v="Yes"/>
    <s v="No"/>
    <s v="No"/>
    <x v="1"/>
    <s v="Not Applicable"/>
    <x v="2"/>
    <n v="5.4"/>
    <s v="Yes"/>
    <s v="PET Scan"/>
    <s v="Immunotherapy"/>
    <n v="25"/>
    <s v="No"/>
  </r>
  <r>
    <s v="LC-1193"/>
    <n v="2022"/>
    <d v="2022-06-27T00:00:00"/>
    <s v="Eastern Mediterranean"/>
    <s v="Oman"/>
    <n v="57"/>
    <x v="0"/>
    <x v="2"/>
    <n v="0"/>
    <n v="0"/>
    <x v="0"/>
    <x v="0"/>
    <x v="0"/>
    <x v="1"/>
    <x v="0"/>
    <n v="29.4"/>
    <x v="1"/>
    <s v="No"/>
    <x v="0"/>
    <x v="1"/>
    <x v="0"/>
    <s v="ROS1"/>
    <s v="Yes"/>
    <s v="Yes"/>
    <s v="Yes"/>
    <s v="No"/>
    <s v="Yes"/>
    <s v="No"/>
    <s v="No"/>
    <s v="No"/>
    <s v="No"/>
    <s v="No"/>
    <x v="0"/>
    <s v="Large Cell"/>
    <x v="1"/>
    <n v="1.6"/>
    <s v="No"/>
    <s v="LDCT Screening"/>
    <s v="Immunotherapy"/>
    <n v="54"/>
    <s v="No"/>
  </r>
  <r>
    <s v="LC-1194"/>
    <n v="2019"/>
    <d v="2019-10-02T00:00:00"/>
    <s v="Western Pacific"/>
    <s v="Vietnam"/>
    <n v="65"/>
    <x v="1"/>
    <x v="2"/>
    <n v="0"/>
    <n v="0"/>
    <x v="1"/>
    <x v="0"/>
    <x v="1"/>
    <x v="1"/>
    <x v="2"/>
    <n v="24.8"/>
    <x v="0"/>
    <s v="No"/>
    <x v="0"/>
    <x v="0"/>
    <x v="0"/>
    <s v="TP53"/>
    <s v="Yes"/>
    <s v="No"/>
    <s v="No"/>
    <s v="No"/>
    <s v="Yes"/>
    <s v="No"/>
    <s v="No"/>
    <s v="No"/>
    <s v="No"/>
    <s v="No"/>
    <x v="0"/>
    <s v="Adenocarcinoma"/>
    <x v="1"/>
    <n v="2"/>
    <s v="No"/>
    <s v="CT Scan"/>
    <s v="Surgery"/>
    <n v="60"/>
    <s v="Yes"/>
  </r>
  <r>
    <s v="LC-1195"/>
    <n v="2018"/>
    <d v="2018-01-16T00:00:00"/>
    <s v="Americas"/>
    <s v="Brazil"/>
    <n v="61"/>
    <x v="1"/>
    <x v="1"/>
    <n v="3"/>
    <n v="3"/>
    <x v="1"/>
    <x v="0"/>
    <x v="0"/>
    <x v="2"/>
    <x v="0"/>
    <n v="29.5"/>
    <x v="0"/>
    <s v="Yes"/>
    <x v="0"/>
    <x v="0"/>
    <x v="0"/>
    <s v="No Mutation"/>
    <s v="Yes"/>
    <s v="Yes"/>
    <s v="No"/>
    <s v="Yes"/>
    <s v="No"/>
    <s v="No"/>
    <s v="No"/>
    <s v="Yes"/>
    <s v="No"/>
    <s v="No"/>
    <x v="1"/>
    <s v="Not Applicable"/>
    <x v="0"/>
    <n v="5"/>
    <s v="Yes"/>
    <s v="CT Scan"/>
    <s v="Palliative Care"/>
    <n v="5"/>
    <s v="No"/>
  </r>
  <r>
    <s v="LC-1196"/>
    <n v="2019"/>
    <d v="2019-04-27T00:00:00"/>
    <s v="Western Pacific"/>
    <s v="Malaysia"/>
    <n v="58"/>
    <x v="1"/>
    <x v="2"/>
    <n v="0"/>
    <n v="0"/>
    <x v="0"/>
    <x v="0"/>
    <x v="1"/>
    <x v="1"/>
    <x v="2"/>
    <n v="30.4"/>
    <x v="2"/>
    <s v="No"/>
    <x v="1"/>
    <x v="0"/>
    <x v="0"/>
    <s v="ALK"/>
    <s v="Yes"/>
    <s v="Yes"/>
    <s v="No"/>
    <s v="No"/>
    <s v="Yes"/>
    <s v="Yes"/>
    <s v="No"/>
    <s v="No"/>
    <s v="No"/>
    <s v="Yes"/>
    <x v="0"/>
    <s v="Adenocarcinoma"/>
    <x v="0"/>
    <n v="5"/>
    <s v="Yes"/>
    <s v="Chest X-Ray"/>
    <s v="Palliative Care"/>
    <n v="7"/>
    <s v="No"/>
  </r>
  <r>
    <s v="LC-1197"/>
    <n v="2022"/>
    <d v="2022-09-17T00:00:00"/>
    <s v="South-East Asia"/>
    <s v="Maldives"/>
    <n v="67"/>
    <x v="0"/>
    <x v="2"/>
    <n v="0"/>
    <n v="0"/>
    <x v="0"/>
    <x v="0"/>
    <x v="0"/>
    <x v="1"/>
    <x v="2"/>
    <n v="34.1"/>
    <x v="1"/>
    <s v="No"/>
    <x v="0"/>
    <x v="0"/>
    <x v="0"/>
    <s v="TP53"/>
    <s v="Yes"/>
    <s v="No"/>
    <s v="Yes"/>
    <s v="No"/>
    <s v="Yes"/>
    <s v="No"/>
    <s v="Yes"/>
    <s v="No"/>
    <s v="No"/>
    <s v="No"/>
    <x v="0"/>
    <s v="Adenocarcinoma"/>
    <x v="0"/>
    <n v="6.5"/>
    <s v="Yes"/>
    <s v="Bronchoscopy"/>
    <s v="Chemo + Radiation"/>
    <n v="2"/>
    <s v="No"/>
  </r>
  <r>
    <s v="LC-1198"/>
    <n v="2022"/>
    <d v="2022-07-22T00:00:00"/>
    <s v="Western Pacific"/>
    <s v="New Zealand"/>
    <n v="48"/>
    <x v="0"/>
    <x v="0"/>
    <n v="13"/>
    <n v="15"/>
    <x v="1"/>
    <x v="0"/>
    <x v="0"/>
    <x v="2"/>
    <x v="0"/>
    <n v="30.1"/>
    <x v="2"/>
    <s v="No"/>
    <x v="0"/>
    <x v="0"/>
    <x v="0"/>
    <s v="No Mutation"/>
    <s v="No"/>
    <s v="Yes"/>
    <s v="Yes"/>
    <s v="Yes"/>
    <s v="No"/>
    <s v="Yes"/>
    <s v="Yes"/>
    <s v="Yes"/>
    <s v="No"/>
    <s v="No"/>
    <x v="1"/>
    <s v="Not Applicable"/>
    <x v="2"/>
    <n v="7.1"/>
    <s v="Yes"/>
    <s v="MRI"/>
    <s v="Chemotherapy"/>
    <n v="16"/>
    <s v="No"/>
  </r>
  <r>
    <s v="LC-1199"/>
    <n v="2015"/>
    <d v="2015-07-23T00:00:00"/>
    <s v="South-East Asia"/>
    <s v="Maldives"/>
    <n v="51"/>
    <x v="1"/>
    <x v="0"/>
    <n v="24"/>
    <n v="23"/>
    <x v="1"/>
    <x v="0"/>
    <x v="0"/>
    <x v="0"/>
    <x v="0"/>
    <n v="27"/>
    <x v="0"/>
    <s v="No"/>
    <x v="0"/>
    <x v="0"/>
    <x v="1"/>
    <s v="KRAS"/>
    <s v="Yes"/>
    <s v="Yes"/>
    <s v="Yes"/>
    <s v="Yes"/>
    <s v="Yes"/>
    <s v="No"/>
    <s v="No"/>
    <s v="Yes"/>
    <s v="No"/>
    <s v="No"/>
    <x v="0"/>
    <s v="Squamous Cell"/>
    <x v="3"/>
    <n v="2.8"/>
    <s v="No"/>
    <s v="Bronchoscopy"/>
    <s v="Surgery"/>
    <n v="44"/>
    <s v="No"/>
  </r>
  <r>
    <s v="LC-1200"/>
    <n v="2025"/>
    <d v="2025-08-06T00:00:00"/>
    <s v="Europe"/>
    <s v="Germany"/>
    <n v="63"/>
    <x v="1"/>
    <x v="0"/>
    <n v="33"/>
    <n v="34"/>
    <x v="0"/>
    <x v="0"/>
    <x v="0"/>
    <x v="2"/>
    <x v="1"/>
    <n v="32.4"/>
    <x v="0"/>
    <s v="Yes"/>
    <x v="0"/>
    <x v="0"/>
    <x v="0"/>
    <s v="KRAS"/>
    <s v="No"/>
    <s v="Yes"/>
    <s v="Yes"/>
    <s v="No"/>
    <s v="Yes"/>
    <s v="No"/>
    <s v="No"/>
    <s v="No"/>
    <s v="No"/>
    <s v="No"/>
    <x v="0"/>
    <s v="Squamous Cell"/>
    <x v="2"/>
    <n v="5.5"/>
    <s v="No"/>
    <s v="LDCT Screening"/>
    <s v="Chemo + Radiation"/>
    <n v="30"/>
    <s v="No"/>
  </r>
  <r>
    <s v="LC-1201"/>
    <n v="2024"/>
    <d v="2024-10-01T00:00:00"/>
    <s v="Americas"/>
    <s v="Mexico"/>
    <n v="64"/>
    <x v="0"/>
    <x v="2"/>
    <n v="0"/>
    <n v="0"/>
    <x v="1"/>
    <x v="0"/>
    <x v="0"/>
    <x v="2"/>
    <x v="0"/>
    <n v="35.299999999999997"/>
    <x v="2"/>
    <s v="No"/>
    <x v="0"/>
    <x v="0"/>
    <x v="0"/>
    <s v="EGFR"/>
    <s v="No"/>
    <s v="No"/>
    <s v="No"/>
    <s v="No"/>
    <s v="Yes"/>
    <s v="No"/>
    <s v="Yes"/>
    <s v="No"/>
    <s v="No"/>
    <s v="No"/>
    <x v="0"/>
    <s v="Large Cell"/>
    <x v="1"/>
    <n v="1.5"/>
    <s v="No"/>
    <s v="Chest X-Ray"/>
    <s v="Surgery"/>
    <n v="45"/>
    <s v="No"/>
  </r>
  <r>
    <s v="LC-1202"/>
    <n v="2022"/>
    <d v="2022-05-02T00:00:00"/>
    <s v="Western Pacific"/>
    <s v="Philippines"/>
    <n v="54"/>
    <x v="1"/>
    <x v="2"/>
    <n v="0"/>
    <n v="0"/>
    <x v="0"/>
    <x v="0"/>
    <x v="0"/>
    <x v="0"/>
    <x v="0"/>
    <n v="28.6"/>
    <x v="0"/>
    <s v="No"/>
    <x v="0"/>
    <x v="0"/>
    <x v="0"/>
    <s v="No Mutation"/>
    <s v="No"/>
    <s v="Yes"/>
    <s v="No"/>
    <s v="No"/>
    <s v="Yes"/>
    <s v="No"/>
    <s v="No"/>
    <s v="Yes"/>
    <s v="No"/>
    <s v="No"/>
    <x v="0"/>
    <s v="Large Cell"/>
    <x v="2"/>
    <n v="9.1999999999999993"/>
    <s v="Yes"/>
    <s v="CT Scan"/>
    <s v="Targeted Therapy"/>
    <n v="10"/>
    <s v="No"/>
  </r>
  <r>
    <s v="LC-1203"/>
    <n v="2016"/>
    <d v="2016-04-18T00:00:00"/>
    <s v="Europe"/>
    <s v="Spain"/>
    <n v="42"/>
    <x v="1"/>
    <x v="2"/>
    <n v="0"/>
    <n v="0"/>
    <x v="1"/>
    <x v="0"/>
    <x v="0"/>
    <x v="1"/>
    <x v="2"/>
    <n v="29.1"/>
    <x v="2"/>
    <s v="No"/>
    <x v="0"/>
    <x v="0"/>
    <x v="0"/>
    <s v="No Mutation"/>
    <s v="No"/>
    <s v="Yes"/>
    <s v="No"/>
    <s v="No"/>
    <s v="No"/>
    <s v="No"/>
    <s v="No"/>
    <s v="No"/>
    <s v="No"/>
    <s v="No"/>
    <x v="0"/>
    <s v="Adenocarcinoma"/>
    <x v="1"/>
    <n v="2.7"/>
    <s v="No"/>
    <s v="Biopsy"/>
    <s v="Targeted Therapy"/>
    <n v="58"/>
    <s v="Yes"/>
  </r>
  <r>
    <s v="LC-1204"/>
    <n v="2025"/>
    <d v="2025-03-25T00:00:00"/>
    <s v="South-East Asia"/>
    <s v="Maldives"/>
    <n v="54"/>
    <x v="1"/>
    <x v="0"/>
    <n v="31"/>
    <n v="35"/>
    <x v="1"/>
    <x v="0"/>
    <x v="1"/>
    <x v="1"/>
    <x v="0"/>
    <n v="21.4"/>
    <x v="0"/>
    <s v="No"/>
    <x v="0"/>
    <x v="0"/>
    <x v="0"/>
    <s v="No Mutation"/>
    <s v="No"/>
    <s v="No"/>
    <s v="No"/>
    <s v="Yes"/>
    <s v="Yes"/>
    <s v="Yes"/>
    <s v="No"/>
    <s v="No"/>
    <s v="No"/>
    <s v="No"/>
    <x v="0"/>
    <s v="Large Cell"/>
    <x v="3"/>
    <n v="4.4000000000000004"/>
    <s v="No"/>
    <s v="Bronchoscopy"/>
    <s v="Chemotherapy"/>
    <n v="36"/>
    <s v="No"/>
  </r>
  <r>
    <s v="LC-1205"/>
    <n v="2016"/>
    <d v="2016-10-24T00:00:00"/>
    <s v="South-East Asia"/>
    <s v="Maldives"/>
    <n v="48"/>
    <x v="1"/>
    <x v="2"/>
    <n v="0"/>
    <n v="0"/>
    <x v="1"/>
    <x v="0"/>
    <x v="1"/>
    <x v="1"/>
    <x v="2"/>
    <n v="25.5"/>
    <x v="0"/>
    <s v="No"/>
    <x v="0"/>
    <x v="0"/>
    <x v="0"/>
    <s v="No Mutation"/>
    <s v="No"/>
    <s v="Yes"/>
    <s v="Yes"/>
    <s v="No"/>
    <s v="Yes"/>
    <s v="Yes"/>
    <s v="No"/>
    <s v="No"/>
    <s v="No"/>
    <s v="No"/>
    <x v="0"/>
    <s v="Adenocarcinoma"/>
    <x v="2"/>
    <n v="5.4"/>
    <s v="No"/>
    <s v="Biopsy"/>
    <s v="Immunotherapy"/>
    <n v="15"/>
    <s v="No"/>
  </r>
  <r>
    <s v="LC-1206"/>
    <n v="2016"/>
    <d v="2016-09-17T00:00:00"/>
    <s v="Europe"/>
    <s v="Germany"/>
    <n v="76"/>
    <x v="1"/>
    <x v="2"/>
    <n v="0"/>
    <n v="0"/>
    <x v="0"/>
    <x v="1"/>
    <x v="0"/>
    <x v="2"/>
    <x v="0"/>
    <n v="28.5"/>
    <x v="1"/>
    <s v="No"/>
    <x v="0"/>
    <x v="0"/>
    <x v="0"/>
    <s v="ALK"/>
    <s v="No"/>
    <s v="No"/>
    <s v="No"/>
    <s v="No"/>
    <s v="Yes"/>
    <s v="Yes"/>
    <s v="No"/>
    <s v="No"/>
    <s v="No"/>
    <s v="No"/>
    <x v="0"/>
    <s v="Adenocarcinoma"/>
    <x v="1"/>
    <n v="2.9"/>
    <s v="No"/>
    <s v="LDCT Screening"/>
    <s v="Surgery"/>
    <n v="52"/>
    <s v="Yes"/>
  </r>
  <r>
    <s v="LC-1207"/>
    <n v="2017"/>
    <d v="2017-10-04T00:00:00"/>
    <s v="Western Pacific"/>
    <s v="Philippines"/>
    <n v="57"/>
    <x v="1"/>
    <x v="0"/>
    <n v="33"/>
    <n v="9"/>
    <x v="1"/>
    <x v="1"/>
    <x v="0"/>
    <x v="2"/>
    <x v="0"/>
    <n v="32.5"/>
    <x v="1"/>
    <s v="Yes"/>
    <x v="0"/>
    <x v="0"/>
    <x v="1"/>
    <s v="KRAS"/>
    <s v="Yes"/>
    <s v="Yes"/>
    <s v="Yes"/>
    <s v="No"/>
    <s v="Yes"/>
    <s v="Yes"/>
    <s v="Yes"/>
    <s v="No"/>
    <s v="No"/>
    <s v="Yes"/>
    <x v="1"/>
    <s v="Not Applicable"/>
    <x v="0"/>
    <n v="6.6"/>
    <s v="Yes"/>
    <s v="CT Scan"/>
    <s v="Radiotherapy"/>
    <n v="13"/>
    <s v="No"/>
  </r>
  <r>
    <s v="LC-1208"/>
    <n v="2021"/>
    <d v="2021-09-27T00:00:00"/>
    <s v="South-East Asia"/>
    <s v="Sri Lanka"/>
    <n v="47"/>
    <x v="0"/>
    <x v="0"/>
    <n v="17"/>
    <n v="19"/>
    <x v="1"/>
    <x v="1"/>
    <x v="0"/>
    <x v="1"/>
    <x v="2"/>
    <n v="25.1"/>
    <x v="2"/>
    <s v="No"/>
    <x v="0"/>
    <x v="0"/>
    <x v="1"/>
    <s v="No Mutation"/>
    <s v="Yes"/>
    <s v="Yes"/>
    <s v="No"/>
    <s v="No"/>
    <s v="Yes"/>
    <s v="Yes"/>
    <s v="Yes"/>
    <s v="No"/>
    <s v="Yes"/>
    <s v="No"/>
    <x v="0"/>
    <s v="Adenocarcinoma"/>
    <x v="2"/>
    <n v="6.6"/>
    <s v="No"/>
    <s v="Bronchoscopy"/>
    <s v="Radiotherapy"/>
    <n v="20"/>
    <s v="Yes"/>
  </r>
  <r>
    <s v="LC-1209"/>
    <n v="2024"/>
    <d v="2024-09-27T00:00:00"/>
    <s v="Western Pacific"/>
    <s v="China"/>
    <n v="69"/>
    <x v="1"/>
    <x v="0"/>
    <n v="34"/>
    <n v="34"/>
    <x v="0"/>
    <x v="1"/>
    <x v="0"/>
    <x v="1"/>
    <x v="2"/>
    <n v="23.9"/>
    <x v="2"/>
    <s v="Yes"/>
    <x v="0"/>
    <x v="0"/>
    <x v="0"/>
    <s v="TP53"/>
    <s v="Yes"/>
    <s v="Yes"/>
    <s v="No"/>
    <s v="Yes"/>
    <s v="Yes"/>
    <s v="Yes"/>
    <s v="Yes"/>
    <s v="No"/>
    <s v="Yes"/>
    <s v="No"/>
    <x v="0"/>
    <s v="Adenocarcinoma"/>
    <x v="1"/>
    <n v="2.5"/>
    <s v="No"/>
    <s v="Biopsy"/>
    <s v="Surgery"/>
    <n v="77"/>
    <s v="Yes"/>
  </r>
  <r>
    <s v="LC-1210"/>
    <n v="2023"/>
    <d v="2023-12-15T00:00:00"/>
    <s v="South-East Asia"/>
    <s v="Timor-Leste"/>
    <n v="61"/>
    <x v="1"/>
    <x v="2"/>
    <n v="0"/>
    <n v="0"/>
    <x v="1"/>
    <x v="1"/>
    <x v="1"/>
    <x v="1"/>
    <x v="1"/>
    <n v="27.1"/>
    <x v="0"/>
    <s v="No"/>
    <x v="1"/>
    <x v="0"/>
    <x v="1"/>
    <s v="ROS1"/>
    <s v="No"/>
    <s v="No"/>
    <s v="No"/>
    <s v="No"/>
    <s v="Yes"/>
    <s v="Yes"/>
    <s v="No"/>
    <s v="No"/>
    <s v="No"/>
    <s v="Yes"/>
    <x v="0"/>
    <s v="Adenocarcinoma"/>
    <x v="3"/>
    <n v="4.7"/>
    <s v="No"/>
    <s v="CT Scan"/>
    <s v="Targeted Therapy"/>
    <n v="41"/>
    <s v="No"/>
  </r>
  <r>
    <s v="LC-1211"/>
    <n v="2023"/>
    <d v="2023-04-14T00:00:00"/>
    <s v="Western Pacific"/>
    <s v="Japan"/>
    <n v="45"/>
    <x v="1"/>
    <x v="1"/>
    <n v="26"/>
    <n v="11"/>
    <x v="0"/>
    <x v="0"/>
    <x v="1"/>
    <x v="1"/>
    <x v="1"/>
    <n v="30"/>
    <x v="2"/>
    <s v="No"/>
    <x v="0"/>
    <x v="0"/>
    <x v="0"/>
    <s v="KRAS"/>
    <s v="Yes"/>
    <s v="No"/>
    <s v="No"/>
    <s v="No"/>
    <s v="No"/>
    <s v="No"/>
    <s v="No"/>
    <s v="Yes"/>
    <s v="No"/>
    <s v="No"/>
    <x v="0"/>
    <s v="Adenocarcinoma"/>
    <x v="0"/>
    <n v="7.4"/>
    <s v="Yes"/>
    <s v="CT Scan"/>
    <s v="Chemotherapy"/>
    <n v="10"/>
    <s v="No"/>
  </r>
  <r>
    <s v="LC-1212"/>
    <n v="2023"/>
    <d v="2023-12-27T00:00:00"/>
    <s v="Western Pacific"/>
    <s v="Australia"/>
    <n v="45"/>
    <x v="1"/>
    <x v="0"/>
    <n v="32"/>
    <n v="23"/>
    <x v="1"/>
    <x v="0"/>
    <x v="0"/>
    <x v="0"/>
    <x v="2"/>
    <n v="21.3"/>
    <x v="2"/>
    <s v="Yes"/>
    <x v="0"/>
    <x v="0"/>
    <x v="0"/>
    <s v="No Mutation"/>
    <s v="Yes"/>
    <s v="Yes"/>
    <s v="Yes"/>
    <s v="No"/>
    <s v="Yes"/>
    <s v="Yes"/>
    <s v="No"/>
    <s v="No"/>
    <s v="No"/>
    <s v="No"/>
    <x v="1"/>
    <s v="Not Applicable"/>
    <x v="1"/>
    <n v="1.7"/>
    <s v="No"/>
    <s v="CT Scan"/>
    <s v="Radiotherapy"/>
    <n v="58"/>
    <s v="No"/>
  </r>
  <r>
    <s v="LC-1213"/>
    <n v="2025"/>
    <d v="2025-05-28T00:00:00"/>
    <s v="Eastern Mediterranean"/>
    <s v="Pakistan"/>
    <n v="64"/>
    <x v="0"/>
    <x v="2"/>
    <n v="0"/>
    <n v="0"/>
    <x v="1"/>
    <x v="0"/>
    <x v="0"/>
    <x v="0"/>
    <x v="1"/>
    <n v="30.4"/>
    <x v="0"/>
    <s v="No"/>
    <x v="0"/>
    <x v="0"/>
    <x v="0"/>
    <s v="No Mutation"/>
    <s v="No"/>
    <s v="No"/>
    <s v="No"/>
    <s v="No"/>
    <s v="Yes"/>
    <s v="No"/>
    <s v="No"/>
    <s v="No"/>
    <s v="No"/>
    <s v="No"/>
    <x v="0"/>
    <s v="Adenocarcinoma"/>
    <x v="3"/>
    <n v="2.9"/>
    <s v="No"/>
    <s v="PET Scan"/>
    <s v="Chemotherapy"/>
    <n v="50"/>
    <s v="No"/>
  </r>
  <r>
    <s v="LC-1214"/>
    <n v="2017"/>
    <d v="2017-08-09T00:00:00"/>
    <s v="Eastern Mediterranean"/>
    <s v="Jordan"/>
    <n v="84"/>
    <x v="1"/>
    <x v="2"/>
    <n v="0"/>
    <n v="0"/>
    <x v="1"/>
    <x v="0"/>
    <x v="0"/>
    <x v="1"/>
    <x v="0"/>
    <n v="28.7"/>
    <x v="0"/>
    <s v="No"/>
    <x v="0"/>
    <x v="0"/>
    <x v="0"/>
    <s v="EGFR"/>
    <s v="No"/>
    <s v="No"/>
    <s v="No"/>
    <s v="No"/>
    <s v="No"/>
    <s v="No"/>
    <s v="No"/>
    <s v="No"/>
    <s v="No"/>
    <s v="No"/>
    <x v="0"/>
    <s v="Large Cell"/>
    <x v="2"/>
    <n v="5"/>
    <s v="No"/>
    <s v="Chest X-Ray"/>
    <s v="Immunotherapy"/>
    <n v="11"/>
    <s v="No"/>
  </r>
  <r>
    <s v="LC-1215"/>
    <n v="2020"/>
    <d v="2020-02-15T00:00:00"/>
    <s v="Europe"/>
    <s v="Germany"/>
    <n v="73"/>
    <x v="1"/>
    <x v="0"/>
    <n v="10"/>
    <n v="33"/>
    <x v="1"/>
    <x v="1"/>
    <x v="1"/>
    <x v="1"/>
    <x v="0"/>
    <n v="22"/>
    <x v="0"/>
    <s v="Yes"/>
    <x v="0"/>
    <x v="0"/>
    <x v="0"/>
    <s v="TP53"/>
    <s v="Yes"/>
    <s v="No"/>
    <s v="Yes"/>
    <s v="No"/>
    <s v="Yes"/>
    <s v="Yes"/>
    <s v="No"/>
    <s v="No"/>
    <s v="No"/>
    <s v="Yes"/>
    <x v="0"/>
    <s v="Adenocarcinoma"/>
    <x v="1"/>
    <n v="3"/>
    <s v="No"/>
    <s v="Biopsy"/>
    <s v="Surgery"/>
    <n v="38"/>
    <s v="No"/>
  </r>
  <r>
    <s v="LC-1216"/>
    <n v="2024"/>
    <d v="2024-04-07T00:00:00"/>
    <s v="Europe"/>
    <s v="Sweden"/>
    <n v="51"/>
    <x v="1"/>
    <x v="2"/>
    <n v="0"/>
    <n v="0"/>
    <x v="1"/>
    <x v="0"/>
    <x v="0"/>
    <x v="0"/>
    <x v="2"/>
    <n v="18.899999999999999"/>
    <x v="0"/>
    <s v="Yes"/>
    <x v="0"/>
    <x v="0"/>
    <x v="0"/>
    <s v="TP53"/>
    <s v="Yes"/>
    <s v="No"/>
    <s v="Yes"/>
    <s v="No"/>
    <s v="Yes"/>
    <s v="No"/>
    <s v="Yes"/>
    <s v="No"/>
    <s v="No"/>
    <s v="No"/>
    <x v="0"/>
    <s v="Adenocarcinoma"/>
    <x v="1"/>
    <n v="3.2"/>
    <s v="No"/>
    <s v="Biopsy"/>
    <s v="Surgery"/>
    <n v="87"/>
    <s v="Yes"/>
  </r>
  <r>
    <s v="LC-1217"/>
    <n v="2024"/>
    <d v="2024-12-12T00:00:00"/>
    <s v="Western Pacific"/>
    <s v="Mongolia"/>
    <n v="55"/>
    <x v="1"/>
    <x v="0"/>
    <n v="27"/>
    <n v="32"/>
    <x v="1"/>
    <x v="0"/>
    <x v="1"/>
    <x v="0"/>
    <x v="2"/>
    <n v="26.3"/>
    <x v="2"/>
    <s v="Yes"/>
    <x v="0"/>
    <x v="0"/>
    <x v="0"/>
    <s v="No Mutation"/>
    <s v="Yes"/>
    <s v="No"/>
    <s v="No"/>
    <s v="No"/>
    <s v="No"/>
    <s v="No"/>
    <s v="Yes"/>
    <s v="Yes"/>
    <s v="No"/>
    <s v="No"/>
    <x v="0"/>
    <s v="Squamous Cell"/>
    <x v="1"/>
    <n v="1.3"/>
    <s v="No"/>
    <s v="LDCT Screening"/>
    <s v="Surgery"/>
    <n v="71"/>
    <s v="No"/>
  </r>
  <r>
    <s v="LC-1218"/>
    <n v="2023"/>
    <d v="2023-11-14T00:00:00"/>
    <s v="Africa"/>
    <s v="Kenya"/>
    <n v="68"/>
    <x v="1"/>
    <x v="1"/>
    <n v="23"/>
    <n v="11"/>
    <x v="0"/>
    <x v="1"/>
    <x v="0"/>
    <x v="1"/>
    <x v="2"/>
    <n v="23.8"/>
    <x v="2"/>
    <s v="No"/>
    <x v="0"/>
    <x v="0"/>
    <x v="0"/>
    <s v="No Mutation"/>
    <s v="Yes"/>
    <s v="Yes"/>
    <s v="Yes"/>
    <s v="No"/>
    <s v="Yes"/>
    <s v="Yes"/>
    <s v="No"/>
    <s v="No"/>
    <s v="No"/>
    <s v="No"/>
    <x v="0"/>
    <s v="Adenocarcinoma"/>
    <x v="1"/>
    <n v="3.7"/>
    <s v="No"/>
    <s v="LDCT Screening"/>
    <s v="Surgery"/>
    <n v="44"/>
    <s v="Yes"/>
  </r>
  <r>
    <s v="LC-1219"/>
    <n v="2021"/>
    <d v="2021-10-05T00:00:00"/>
    <s v="Europe"/>
    <s v="Italy"/>
    <n v="54"/>
    <x v="1"/>
    <x v="0"/>
    <n v="37"/>
    <n v="36"/>
    <x v="1"/>
    <x v="1"/>
    <x v="0"/>
    <x v="0"/>
    <x v="0"/>
    <n v="29.4"/>
    <x v="0"/>
    <s v="Yes"/>
    <x v="0"/>
    <x v="0"/>
    <x v="0"/>
    <s v="KRAS"/>
    <s v="No"/>
    <s v="Yes"/>
    <s v="Yes"/>
    <s v="No"/>
    <s v="Yes"/>
    <s v="Yes"/>
    <s v="No"/>
    <s v="No"/>
    <s v="No"/>
    <s v="No"/>
    <x v="1"/>
    <s v="Not Applicable"/>
    <x v="0"/>
    <n v="5.5"/>
    <s v="Yes"/>
    <s v="PET Scan"/>
    <s v="Chemotherapy"/>
    <n v="6"/>
    <s v="No"/>
  </r>
  <r>
    <s v="LC-1220"/>
    <n v="2024"/>
    <d v="2024-04-26T00:00:00"/>
    <s v="Europe"/>
    <s v="UK"/>
    <n v="77"/>
    <x v="1"/>
    <x v="2"/>
    <n v="0"/>
    <n v="0"/>
    <x v="0"/>
    <x v="1"/>
    <x v="0"/>
    <x v="2"/>
    <x v="0"/>
    <n v="31"/>
    <x v="2"/>
    <s v="No"/>
    <x v="0"/>
    <x v="0"/>
    <x v="0"/>
    <s v="EGFR"/>
    <s v="Yes"/>
    <s v="Yes"/>
    <s v="No"/>
    <s v="No"/>
    <s v="Yes"/>
    <s v="Yes"/>
    <s v="Yes"/>
    <s v="No"/>
    <s v="No"/>
    <s v="Yes"/>
    <x v="0"/>
    <s v="Adenocarcinoma"/>
    <x v="1"/>
    <n v="1.9"/>
    <s v="No"/>
    <s v="LDCT Screening"/>
    <s v="Surgery + Chemotherapy"/>
    <n v="82"/>
    <s v="Yes"/>
  </r>
  <r>
    <s v="LC-1221"/>
    <n v="2016"/>
    <d v="2016-10-12T00:00:00"/>
    <s v="Americas"/>
    <s v="Cuba"/>
    <n v="68"/>
    <x v="1"/>
    <x v="0"/>
    <n v="35"/>
    <n v="41"/>
    <x v="0"/>
    <x v="0"/>
    <x v="0"/>
    <x v="0"/>
    <x v="2"/>
    <n v="24.1"/>
    <x v="1"/>
    <s v="Yes"/>
    <x v="0"/>
    <x v="0"/>
    <x v="0"/>
    <s v="No Mutation"/>
    <s v="Yes"/>
    <s v="Yes"/>
    <s v="Yes"/>
    <s v="No"/>
    <s v="Yes"/>
    <s v="No"/>
    <s v="Yes"/>
    <s v="No"/>
    <s v="No"/>
    <s v="No"/>
    <x v="0"/>
    <s v="Squamous Cell"/>
    <x v="0"/>
    <n v="12.9"/>
    <s v="Yes"/>
    <s v="Biopsy"/>
    <s v="Immunotherapy"/>
    <n v="11"/>
    <s v="No"/>
  </r>
  <r>
    <s v="LC-1222"/>
    <n v="2022"/>
    <d v="2022-05-20T00:00:00"/>
    <s v="Western Pacific"/>
    <s v="Singapore"/>
    <n v="53"/>
    <x v="1"/>
    <x v="0"/>
    <n v="34"/>
    <n v="27"/>
    <x v="1"/>
    <x v="0"/>
    <x v="1"/>
    <x v="2"/>
    <x v="0"/>
    <n v="29.8"/>
    <x v="0"/>
    <s v="No"/>
    <x v="0"/>
    <x v="0"/>
    <x v="0"/>
    <s v="No Mutation"/>
    <s v="Yes"/>
    <s v="Yes"/>
    <s v="Yes"/>
    <s v="No"/>
    <s v="Yes"/>
    <s v="No"/>
    <s v="Yes"/>
    <s v="No"/>
    <s v="No"/>
    <s v="Yes"/>
    <x v="0"/>
    <s v="Squamous Cell"/>
    <x v="3"/>
    <n v="4.5"/>
    <s v="No"/>
    <s v="CT Scan"/>
    <s v="Surgery + Chemotherapy"/>
    <n v="67"/>
    <s v="Yes"/>
  </r>
  <r>
    <s v="LC-1223"/>
    <n v="2022"/>
    <d v="2022-03-11T00:00:00"/>
    <s v="Western Pacific"/>
    <s v="Philippines"/>
    <n v="52"/>
    <x v="0"/>
    <x v="2"/>
    <n v="0"/>
    <n v="0"/>
    <x v="0"/>
    <x v="1"/>
    <x v="0"/>
    <x v="2"/>
    <x v="0"/>
    <n v="16"/>
    <x v="0"/>
    <s v="No"/>
    <x v="0"/>
    <x v="0"/>
    <x v="0"/>
    <s v="No Mutation"/>
    <s v="Yes"/>
    <s v="Yes"/>
    <s v="No"/>
    <s v="No"/>
    <s v="Yes"/>
    <s v="No"/>
    <s v="No"/>
    <s v="No"/>
    <s v="No"/>
    <s v="No"/>
    <x v="0"/>
    <s v="Adenocarcinoma"/>
    <x v="2"/>
    <n v="3.3"/>
    <s v="No"/>
    <s v="CT Scan"/>
    <s v="Immunotherapy"/>
    <n v="17"/>
    <s v="No"/>
  </r>
  <r>
    <s v="LC-1224"/>
    <n v="2022"/>
    <d v="2022-05-19T00:00:00"/>
    <s v="Americas"/>
    <s v="Argentina"/>
    <n v="61"/>
    <x v="1"/>
    <x v="0"/>
    <n v="23"/>
    <n v="25"/>
    <x v="1"/>
    <x v="0"/>
    <x v="0"/>
    <x v="2"/>
    <x v="1"/>
    <n v="32.5"/>
    <x v="2"/>
    <s v="Yes"/>
    <x v="0"/>
    <x v="1"/>
    <x v="1"/>
    <s v="KRAS"/>
    <s v="No"/>
    <s v="Yes"/>
    <s v="Yes"/>
    <s v="No"/>
    <s v="Yes"/>
    <s v="Yes"/>
    <s v="No"/>
    <s v="No"/>
    <s v="No"/>
    <s v="No"/>
    <x v="1"/>
    <s v="Not Applicable"/>
    <x v="0"/>
    <n v="6.7"/>
    <s v="Yes"/>
    <s v="CT Scan"/>
    <s v="Immunotherapy"/>
    <n v="4"/>
    <s v="No"/>
  </r>
  <r>
    <s v="LC-1225"/>
    <n v="2019"/>
    <d v="2019-09-22T00:00:00"/>
    <s v="Eastern Mediterranean"/>
    <s v="Iran"/>
    <n v="53"/>
    <x v="1"/>
    <x v="2"/>
    <n v="0"/>
    <n v="0"/>
    <x v="0"/>
    <x v="1"/>
    <x v="0"/>
    <x v="1"/>
    <x v="2"/>
    <n v="21.3"/>
    <x v="0"/>
    <s v="No"/>
    <x v="1"/>
    <x v="0"/>
    <x v="0"/>
    <s v="TP53"/>
    <s v="Yes"/>
    <s v="Yes"/>
    <s v="No"/>
    <s v="No"/>
    <s v="Yes"/>
    <s v="Yes"/>
    <s v="No"/>
    <s v="No"/>
    <s v="No"/>
    <s v="Yes"/>
    <x v="0"/>
    <s v="Adenocarcinoma"/>
    <x v="0"/>
    <n v="7.9"/>
    <s v="Yes"/>
    <s v="PET Scan"/>
    <s v="Chemo + Radiation"/>
    <n v="12"/>
    <s v="No"/>
  </r>
  <r>
    <s v="LC-1226"/>
    <n v="2020"/>
    <d v="2020-03-25T00:00:00"/>
    <s v="Eastern Mediterranean"/>
    <s v="Lebanon"/>
    <n v="50"/>
    <x v="0"/>
    <x v="2"/>
    <n v="0"/>
    <n v="0"/>
    <x v="1"/>
    <x v="0"/>
    <x v="0"/>
    <x v="1"/>
    <x v="0"/>
    <n v="27.5"/>
    <x v="1"/>
    <s v="No"/>
    <x v="0"/>
    <x v="0"/>
    <x v="0"/>
    <s v="ALK"/>
    <s v="Yes"/>
    <s v="Yes"/>
    <s v="No"/>
    <s v="No"/>
    <s v="Yes"/>
    <s v="No"/>
    <s v="Yes"/>
    <s v="No"/>
    <s v="No"/>
    <s v="No"/>
    <x v="0"/>
    <s v="Adenocarcinoma"/>
    <x v="2"/>
    <n v="9.1"/>
    <s v="No"/>
    <s v="MRI"/>
    <s v="Chemo + Radiation"/>
    <n v="5"/>
    <s v="No"/>
  </r>
  <r>
    <s v="LC-1227"/>
    <n v="2020"/>
    <d v="2020-01-09T00:00:00"/>
    <s v="Europe"/>
    <s v="France"/>
    <n v="69"/>
    <x v="1"/>
    <x v="2"/>
    <n v="0"/>
    <n v="0"/>
    <x v="1"/>
    <x v="0"/>
    <x v="0"/>
    <x v="0"/>
    <x v="0"/>
    <n v="28.4"/>
    <x v="1"/>
    <s v="Yes"/>
    <x v="1"/>
    <x v="0"/>
    <x v="0"/>
    <s v="RET"/>
    <s v="No"/>
    <s v="No"/>
    <s v="No"/>
    <s v="Yes"/>
    <s v="No"/>
    <s v="No"/>
    <s v="No"/>
    <s v="Yes"/>
    <s v="No"/>
    <s v="No"/>
    <x v="0"/>
    <s v="Adenocarcinoma"/>
    <x v="0"/>
    <n v="7.4"/>
    <s v="Yes"/>
    <s v="CT Scan"/>
    <s v="Chemotherapy"/>
    <n v="1"/>
    <s v="No"/>
  </r>
  <r>
    <s v="LC-1228"/>
    <n v="2019"/>
    <d v="2019-12-28T00:00:00"/>
    <s v="South-East Asia"/>
    <s v="Indonesia"/>
    <n v="39"/>
    <x v="0"/>
    <x v="2"/>
    <n v="0"/>
    <n v="0"/>
    <x v="0"/>
    <x v="1"/>
    <x v="0"/>
    <x v="0"/>
    <x v="2"/>
    <n v="26.5"/>
    <x v="2"/>
    <s v="No"/>
    <x v="0"/>
    <x v="0"/>
    <x v="0"/>
    <s v="No Mutation"/>
    <s v="No"/>
    <s v="No"/>
    <s v="No"/>
    <s v="No"/>
    <s v="Yes"/>
    <s v="Yes"/>
    <s v="No"/>
    <s v="Yes"/>
    <s v="No"/>
    <s v="No"/>
    <x v="0"/>
    <s v="Adenocarcinoma"/>
    <x v="2"/>
    <n v="6"/>
    <s v="No"/>
    <s v="PET Scan"/>
    <s v="Targeted Therapy"/>
    <n v="35"/>
    <s v="No"/>
  </r>
  <r>
    <s v="LC-1229"/>
    <n v="2022"/>
    <d v="2022-04-05T00:00:00"/>
    <s v="Western Pacific"/>
    <s v="Vietnam"/>
    <n v="54"/>
    <x v="1"/>
    <x v="0"/>
    <n v="22"/>
    <n v="31"/>
    <x v="1"/>
    <x v="0"/>
    <x v="0"/>
    <x v="2"/>
    <x v="0"/>
    <n v="25.6"/>
    <x v="1"/>
    <s v="No"/>
    <x v="0"/>
    <x v="0"/>
    <x v="0"/>
    <s v="No Mutation"/>
    <s v="No"/>
    <s v="Yes"/>
    <s v="No"/>
    <s v="Yes"/>
    <s v="Yes"/>
    <s v="No"/>
    <s v="No"/>
    <s v="No"/>
    <s v="No"/>
    <s v="No"/>
    <x v="0"/>
    <s v="Squamous Cell"/>
    <x v="0"/>
    <n v="6.7"/>
    <s v="Yes"/>
    <s v="PET Scan"/>
    <s v="Chemotherapy"/>
    <n v="4"/>
    <s v="No"/>
  </r>
  <r>
    <s v="LC-1230"/>
    <n v="2018"/>
    <d v="2018-04-25T00:00:00"/>
    <s v="Europe"/>
    <s v="Turkey"/>
    <n v="77"/>
    <x v="1"/>
    <x v="1"/>
    <n v="29"/>
    <n v="15"/>
    <x v="1"/>
    <x v="1"/>
    <x v="0"/>
    <x v="2"/>
    <x v="2"/>
    <n v="24.9"/>
    <x v="0"/>
    <s v="No"/>
    <x v="0"/>
    <x v="0"/>
    <x v="0"/>
    <s v="KRAS"/>
    <s v="Yes"/>
    <s v="Yes"/>
    <s v="No"/>
    <s v="Yes"/>
    <s v="No"/>
    <s v="Yes"/>
    <s v="Yes"/>
    <s v="No"/>
    <s v="Yes"/>
    <s v="No"/>
    <x v="0"/>
    <s v="Squamous Cell"/>
    <x v="2"/>
    <n v="4"/>
    <s v="No"/>
    <s v="Biopsy"/>
    <s v="Chemotherapy"/>
    <n v="20"/>
    <s v="No"/>
  </r>
  <r>
    <s v="LC-1231"/>
    <n v="2021"/>
    <d v="2021-08-05T00:00:00"/>
    <s v="Americas"/>
    <s v="Venezuela"/>
    <n v="56"/>
    <x v="0"/>
    <x v="2"/>
    <n v="0"/>
    <n v="0"/>
    <x v="1"/>
    <x v="1"/>
    <x v="1"/>
    <x v="0"/>
    <x v="2"/>
    <n v="29.2"/>
    <x v="0"/>
    <s v="No"/>
    <x v="0"/>
    <x v="0"/>
    <x v="0"/>
    <s v="No Mutation"/>
    <s v="No"/>
    <s v="No"/>
    <s v="Yes"/>
    <s v="Yes"/>
    <s v="Yes"/>
    <s v="No"/>
    <s v="No"/>
    <s v="No"/>
    <s v="Yes"/>
    <s v="No"/>
    <x v="0"/>
    <s v="Large Cell"/>
    <x v="2"/>
    <n v="6.3"/>
    <s v="No"/>
    <s v="Biopsy"/>
    <s v="Immunotherapy"/>
    <n v="19"/>
    <s v="No"/>
  </r>
  <r>
    <s v="LC-1232"/>
    <n v="2025"/>
    <d v="2025-11-09T00:00:00"/>
    <s v="Europe"/>
    <s v="Turkey"/>
    <n v="71"/>
    <x v="1"/>
    <x v="0"/>
    <n v="37"/>
    <n v="26"/>
    <x v="1"/>
    <x v="0"/>
    <x v="0"/>
    <x v="1"/>
    <x v="0"/>
    <n v="32.799999999999997"/>
    <x v="1"/>
    <s v="Yes"/>
    <x v="0"/>
    <x v="0"/>
    <x v="0"/>
    <s v="TP53"/>
    <s v="Yes"/>
    <s v="Yes"/>
    <s v="No"/>
    <s v="Yes"/>
    <s v="Yes"/>
    <s v="No"/>
    <s v="No"/>
    <s v="Yes"/>
    <s v="No"/>
    <s v="No"/>
    <x v="0"/>
    <s v="Squamous Cell"/>
    <x v="0"/>
    <n v="8.1999999999999993"/>
    <s v="Yes"/>
    <s v="CT Scan"/>
    <s v="Immunotherapy"/>
    <n v="4"/>
    <s v="No"/>
  </r>
  <r>
    <s v="LC-1233"/>
    <n v="2016"/>
    <d v="2016-07-15T00:00:00"/>
    <s v="South-East Asia"/>
    <s v="Bangladesh"/>
    <n v="51"/>
    <x v="1"/>
    <x v="1"/>
    <n v="15"/>
    <n v="18"/>
    <x v="1"/>
    <x v="1"/>
    <x v="0"/>
    <x v="1"/>
    <x v="2"/>
    <n v="23.1"/>
    <x v="1"/>
    <s v="Yes"/>
    <x v="0"/>
    <x v="1"/>
    <x v="0"/>
    <s v="TP53"/>
    <s v="No"/>
    <s v="Yes"/>
    <s v="No"/>
    <s v="No"/>
    <s v="Yes"/>
    <s v="Yes"/>
    <s v="Yes"/>
    <s v="Yes"/>
    <s v="Yes"/>
    <s v="No"/>
    <x v="0"/>
    <s v="Large Cell"/>
    <x v="2"/>
    <n v="7.1"/>
    <s v="No"/>
    <s v="CT Scan"/>
    <s v="Surgery + Chemotherapy"/>
    <n v="21"/>
    <s v="No"/>
  </r>
  <r>
    <s v="LC-1234"/>
    <n v="2017"/>
    <d v="2017-11-26T00:00:00"/>
    <s v="Africa"/>
    <s v="South Africa"/>
    <n v="42"/>
    <x v="0"/>
    <x v="2"/>
    <n v="0"/>
    <n v="0"/>
    <x v="1"/>
    <x v="0"/>
    <x v="0"/>
    <x v="2"/>
    <x v="2"/>
    <n v="28.1"/>
    <x v="2"/>
    <s v="No"/>
    <x v="0"/>
    <x v="0"/>
    <x v="1"/>
    <s v="No Mutation"/>
    <s v="Yes"/>
    <s v="No"/>
    <s v="No"/>
    <s v="No"/>
    <s v="No"/>
    <s v="No"/>
    <s v="No"/>
    <s v="No"/>
    <s v="No"/>
    <s v="No"/>
    <x v="0"/>
    <s v="Squamous Cell"/>
    <x v="3"/>
    <n v="7"/>
    <s v="No"/>
    <s v="CT Scan"/>
    <s v="Targeted Therapy"/>
    <n v="33"/>
    <s v="Yes"/>
  </r>
  <r>
    <s v="LC-1235"/>
    <n v="2025"/>
    <d v="2025-07-17T00:00:00"/>
    <s v="Europe"/>
    <s v="Spain"/>
    <n v="49"/>
    <x v="1"/>
    <x v="2"/>
    <n v="0"/>
    <n v="0"/>
    <x v="0"/>
    <x v="0"/>
    <x v="1"/>
    <x v="0"/>
    <x v="0"/>
    <n v="23.3"/>
    <x v="0"/>
    <s v="No"/>
    <x v="0"/>
    <x v="0"/>
    <x v="0"/>
    <s v="ALK"/>
    <s v="No"/>
    <s v="No"/>
    <s v="No"/>
    <s v="No"/>
    <s v="No"/>
    <s v="No"/>
    <s v="No"/>
    <s v="Yes"/>
    <s v="Yes"/>
    <s v="No"/>
    <x v="0"/>
    <s v="Adenocarcinoma"/>
    <x v="2"/>
    <n v="3"/>
    <s v="Yes"/>
    <s v="MRI"/>
    <s v="Chemotherapy"/>
    <n v="17"/>
    <s v="Yes"/>
  </r>
  <r>
    <s v="LC-1236"/>
    <n v="2021"/>
    <d v="2021-12-12T00:00:00"/>
    <s v="Europe"/>
    <s v="Poland"/>
    <n v="65"/>
    <x v="0"/>
    <x v="2"/>
    <n v="0"/>
    <n v="0"/>
    <x v="0"/>
    <x v="0"/>
    <x v="0"/>
    <x v="0"/>
    <x v="0"/>
    <n v="23.3"/>
    <x v="2"/>
    <s v="No"/>
    <x v="0"/>
    <x v="0"/>
    <x v="1"/>
    <s v="EGFR"/>
    <s v="No"/>
    <s v="Yes"/>
    <s v="No"/>
    <s v="No"/>
    <s v="Yes"/>
    <s v="No"/>
    <s v="No"/>
    <s v="Yes"/>
    <s v="Yes"/>
    <s v="No"/>
    <x v="1"/>
    <s v="Not Applicable"/>
    <x v="0"/>
    <n v="9.3000000000000007"/>
    <s v="Yes"/>
    <s v="Bronchoscopy"/>
    <s v="Targeted Therapy"/>
    <n v="8"/>
    <s v="No"/>
  </r>
  <r>
    <s v="LC-1237"/>
    <n v="2023"/>
    <d v="2023-08-11T00:00:00"/>
    <s v="Western Pacific"/>
    <s v="Mongolia"/>
    <n v="54"/>
    <x v="1"/>
    <x v="0"/>
    <n v="16"/>
    <n v="19"/>
    <x v="1"/>
    <x v="0"/>
    <x v="0"/>
    <x v="2"/>
    <x v="0"/>
    <n v="21.2"/>
    <x v="0"/>
    <s v="No"/>
    <x v="0"/>
    <x v="0"/>
    <x v="0"/>
    <s v="EGFR"/>
    <s v="Yes"/>
    <s v="No"/>
    <s v="Yes"/>
    <s v="Yes"/>
    <s v="Yes"/>
    <s v="No"/>
    <s v="Yes"/>
    <s v="No"/>
    <s v="No"/>
    <s v="No"/>
    <x v="0"/>
    <s v="Adenocarcinoma"/>
    <x v="0"/>
    <n v="6"/>
    <s v="Yes"/>
    <s v="LDCT Screening"/>
    <s v="Chemo + Radiation"/>
    <n v="1"/>
    <s v="No"/>
  </r>
  <r>
    <s v="LC-1238"/>
    <n v="2020"/>
    <d v="2020-01-28T00:00:00"/>
    <s v="Western Pacific"/>
    <s v="Japan"/>
    <n v="51"/>
    <x v="0"/>
    <x v="2"/>
    <n v="0"/>
    <n v="0"/>
    <x v="0"/>
    <x v="0"/>
    <x v="0"/>
    <x v="0"/>
    <x v="2"/>
    <n v="37"/>
    <x v="1"/>
    <s v="No"/>
    <x v="0"/>
    <x v="0"/>
    <x v="0"/>
    <s v="ALK"/>
    <s v="No"/>
    <s v="No"/>
    <s v="Yes"/>
    <s v="No"/>
    <s v="Yes"/>
    <s v="No"/>
    <s v="No"/>
    <s v="No"/>
    <s v="No"/>
    <s v="No"/>
    <x v="0"/>
    <s v="Adenocarcinoma"/>
    <x v="3"/>
    <n v="4.4000000000000004"/>
    <s v="No"/>
    <s v="PET Scan"/>
    <s v="Surgery + Chemotherapy"/>
    <n v="40"/>
    <s v="Yes"/>
  </r>
  <r>
    <s v="LC-1239"/>
    <n v="2025"/>
    <d v="2025-12-15T00:00:00"/>
    <s v="Western Pacific"/>
    <s v="Vietnam"/>
    <n v="60"/>
    <x v="1"/>
    <x v="0"/>
    <n v="24"/>
    <n v="34"/>
    <x v="1"/>
    <x v="0"/>
    <x v="0"/>
    <x v="1"/>
    <x v="0"/>
    <n v="25.9"/>
    <x v="1"/>
    <s v="Yes"/>
    <x v="0"/>
    <x v="1"/>
    <x v="0"/>
    <s v="EGFR"/>
    <s v="Yes"/>
    <s v="Yes"/>
    <s v="No"/>
    <s v="No"/>
    <s v="Yes"/>
    <s v="Yes"/>
    <s v="No"/>
    <s v="No"/>
    <s v="No"/>
    <s v="No"/>
    <x v="1"/>
    <s v="Not Applicable"/>
    <x v="2"/>
    <n v="3.7"/>
    <s v="No"/>
    <s v="Biopsy"/>
    <s v="Targeted Therapy"/>
    <n v="15"/>
    <s v="No"/>
  </r>
  <r>
    <s v="LC-1240"/>
    <n v="2023"/>
    <d v="2023-02-26T00:00:00"/>
    <s v="South-East Asia"/>
    <s v="Timor-Leste"/>
    <n v="55"/>
    <x v="1"/>
    <x v="0"/>
    <n v="13"/>
    <n v="29"/>
    <x v="0"/>
    <x v="0"/>
    <x v="0"/>
    <x v="0"/>
    <x v="2"/>
    <n v="29.6"/>
    <x v="0"/>
    <s v="Yes"/>
    <x v="0"/>
    <x v="0"/>
    <x v="0"/>
    <s v="TP53"/>
    <s v="No"/>
    <s v="Yes"/>
    <s v="No"/>
    <s v="No"/>
    <s v="Yes"/>
    <s v="No"/>
    <s v="No"/>
    <s v="No"/>
    <s v="No"/>
    <s v="No"/>
    <x v="0"/>
    <s v="Adenocarcinoma"/>
    <x v="3"/>
    <n v="3.1"/>
    <s v="Yes"/>
    <s v="PET Scan"/>
    <s v="Surgery + Chemotherapy"/>
    <n v="50"/>
    <s v="No"/>
  </r>
  <r>
    <s v="LC-1241"/>
    <n v="2015"/>
    <d v="2015-07-07T00:00:00"/>
    <s v="Americas"/>
    <s v="Chile"/>
    <n v="61"/>
    <x v="0"/>
    <x v="2"/>
    <n v="0"/>
    <n v="0"/>
    <x v="1"/>
    <x v="1"/>
    <x v="0"/>
    <x v="1"/>
    <x v="0"/>
    <n v="26.4"/>
    <x v="1"/>
    <s v="No"/>
    <x v="0"/>
    <x v="0"/>
    <x v="0"/>
    <s v="No Mutation"/>
    <s v="No"/>
    <s v="No"/>
    <s v="No"/>
    <s v="No"/>
    <s v="No"/>
    <s v="No"/>
    <s v="No"/>
    <s v="Yes"/>
    <s v="Yes"/>
    <s v="No"/>
    <x v="0"/>
    <s v="Adenocarcinoma"/>
    <x v="1"/>
    <n v="1.5"/>
    <s v="No"/>
    <s v="LDCT Screening"/>
    <s v="Surgery"/>
    <n v="66"/>
    <s v="Yes"/>
  </r>
  <r>
    <s v="LC-1242"/>
    <n v="2025"/>
    <d v="2025-04-16T00:00:00"/>
    <s v="Americas"/>
    <s v="Argentina"/>
    <n v="53"/>
    <x v="0"/>
    <x v="2"/>
    <n v="0"/>
    <n v="0"/>
    <x v="1"/>
    <x v="0"/>
    <x v="0"/>
    <x v="1"/>
    <x v="2"/>
    <n v="27.1"/>
    <x v="1"/>
    <s v="No"/>
    <x v="0"/>
    <x v="0"/>
    <x v="0"/>
    <s v="No Mutation"/>
    <s v="Yes"/>
    <s v="Yes"/>
    <s v="Yes"/>
    <s v="No"/>
    <s v="Yes"/>
    <s v="No"/>
    <s v="No"/>
    <s v="Yes"/>
    <s v="No"/>
    <s v="No"/>
    <x v="0"/>
    <s v="Adenocarcinoma"/>
    <x v="1"/>
    <n v="2.2999999999999998"/>
    <s v="No"/>
    <s v="Chest X-Ray"/>
    <s v="Surgery"/>
    <n v="63"/>
    <s v="Yes"/>
  </r>
  <r>
    <s v="LC-1243"/>
    <n v="2019"/>
    <d v="2019-06-27T00:00:00"/>
    <s v="Eastern Mediterranean"/>
    <s v="Iraq"/>
    <n v="71"/>
    <x v="1"/>
    <x v="2"/>
    <n v="0"/>
    <n v="0"/>
    <x v="0"/>
    <x v="1"/>
    <x v="0"/>
    <x v="1"/>
    <x v="0"/>
    <n v="24.6"/>
    <x v="1"/>
    <s v="No"/>
    <x v="0"/>
    <x v="0"/>
    <x v="1"/>
    <s v="No Mutation"/>
    <s v="No"/>
    <s v="No"/>
    <s v="Yes"/>
    <s v="No"/>
    <s v="Yes"/>
    <s v="No"/>
    <s v="No"/>
    <s v="No"/>
    <s v="No"/>
    <s v="No"/>
    <x v="0"/>
    <s v="Adenocarcinoma"/>
    <x v="1"/>
    <n v="2.2999999999999998"/>
    <s v="No"/>
    <s v="LDCT Screening"/>
    <s v="Surgery"/>
    <n v="28"/>
    <s v="Yes"/>
  </r>
  <r>
    <s v="LC-1244"/>
    <n v="2019"/>
    <d v="2019-06-18T00:00:00"/>
    <s v="Eastern Mediterranean"/>
    <s v="Kuwait"/>
    <n v="72"/>
    <x v="0"/>
    <x v="2"/>
    <n v="0"/>
    <n v="0"/>
    <x v="1"/>
    <x v="0"/>
    <x v="0"/>
    <x v="1"/>
    <x v="0"/>
    <n v="26.3"/>
    <x v="0"/>
    <s v="Yes"/>
    <x v="0"/>
    <x v="0"/>
    <x v="0"/>
    <s v="ALK"/>
    <s v="No"/>
    <s v="Yes"/>
    <s v="No"/>
    <s v="No"/>
    <s v="Yes"/>
    <s v="No"/>
    <s v="No"/>
    <s v="No"/>
    <s v="No"/>
    <s v="Yes"/>
    <x v="0"/>
    <s v="Adenocarcinoma"/>
    <x v="0"/>
    <n v="8.8000000000000007"/>
    <s v="Yes"/>
    <s v="Biopsy"/>
    <s v="Targeted Therapy"/>
    <n v="4"/>
    <s v="No"/>
  </r>
  <r>
    <s v="LC-1245"/>
    <n v="2021"/>
    <d v="2021-03-19T00:00:00"/>
    <s v="Europe"/>
    <s v="Poland"/>
    <n v="52"/>
    <x v="1"/>
    <x v="2"/>
    <n v="0"/>
    <n v="0"/>
    <x v="1"/>
    <x v="1"/>
    <x v="1"/>
    <x v="1"/>
    <x v="2"/>
    <n v="22.6"/>
    <x v="2"/>
    <s v="No"/>
    <x v="0"/>
    <x v="0"/>
    <x v="0"/>
    <s v="EGFR"/>
    <s v="Yes"/>
    <s v="Yes"/>
    <s v="No"/>
    <s v="No"/>
    <s v="No"/>
    <s v="No"/>
    <s v="No"/>
    <s v="No"/>
    <s v="Yes"/>
    <s v="No"/>
    <x v="1"/>
    <s v="Not Applicable"/>
    <x v="1"/>
    <n v="3.2"/>
    <s v="No"/>
    <s v="CT Scan"/>
    <s v="Surgery + Chemotherapy"/>
    <n v="80"/>
    <s v="No"/>
  </r>
  <r>
    <s v="LC-1246"/>
    <n v="2024"/>
    <d v="2024-06-22T00:00:00"/>
    <s v="Western Pacific"/>
    <s v="China"/>
    <n v="43"/>
    <x v="1"/>
    <x v="0"/>
    <n v="32"/>
    <n v="25"/>
    <x v="1"/>
    <x v="0"/>
    <x v="0"/>
    <x v="2"/>
    <x v="0"/>
    <n v="22.3"/>
    <x v="2"/>
    <s v="No"/>
    <x v="0"/>
    <x v="0"/>
    <x v="0"/>
    <s v="TP53"/>
    <s v="No"/>
    <s v="No"/>
    <s v="Yes"/>
    <s v="Yes"/>
    <s v="Yes"/>
    <s v="No"/>
    <s v="Yes"/>
    <s v="No"/>
    <s v="No"/>
    <s v="No"/>
    <x v="1"/>
    <s v="Not Applicable"/>
    <x v="2"/>
    <n v="6.2"/>
    <s v="No"/>
    <s v="CT Scan"/>
    <s v="Chemo + Radiation"/>
    <n v="17"/>
    <s v="No"/>
  </r>
  <r>
    <s v="LC-1247"/>
    <n v="2020"/>
    <d v="2020-01-04T00:00:00"/>
    <s v="Western Pacific"/>
    <s v="New Zealand"/>
    <n v="56"/>
    <x v="0"/>
    <x v="2"/>
    <n v="0"/>
    <n v="0"/>
    <x v="0"/>
    <x v="0"/>
    <x v="1"/>
    <x v="1"/>
    <x v="2"/>
    <n v="25.1"/>
    <x v="0"/>
    <s v="No"/>
    <x v="0"/>
    <x v="0"/>
    <x v="0"/>
    <s v="ROS1"/>
    <s v="No"/>
    <s v="No"/>
    <s v="Yes"/>
    <s v="No"/>
    <s v="No"/>
    <s v="No"/>
    <s v="No"/>
    <s v="Yes"/>
    <s v="Yes"/>
    <s v="No"/>
    <x v="0"/>
    <s v="Squamous Cell"/>
    <x v="3"/>
    <n v="3.6"/>
    <s v="No"/>
    <s v="CT Scan"/>
    <s v="Chemotherapy"/>
    <n v="7"/>
    <s v="No"/>
  </r>
  <r>
    <s v="LC-1248"/>
    <n v="2025"/>
    <d v="2025-01-04T00:00:00"/>
    <s v="South-East Asia"/>
    <s v="Indonesia"/>
    <n v="64"/>
    <x v="1"/>
    <x v="1"/>
    <n v="9"/>
    <n v="26"/>
    <x v="1"/>
    <x v="1"/>
    <x v="0"/>
    <x v="2"/>
    <x v="0"/>
    <n v="26.7"/>
    <x v="1"/>
    <s v="No"/>
    <x v="0"/>
    <x v="0"/>
    <x v="0"/>
    <s v="No Mutation"/>
    <s v="Yes"/>
    <s v="No"/>
    <s v="No"/>
    <s v="Yes"/>
    <s v="No"/>
    <s v="No"/>
    <s v="Yes"/>
    <s v="Yes"/>
    <s v="No"/>
    <s v="No"/>
    <x v="0"/>
    <s v="Adenocarcinoma"/>
    <x v="0"/>
    <n v="5"/>
    <s v="Yes"/>
    <s v="Bronchoscopy"/>
    <s v="Chemo + Radiation"/>
    <n v="12"/>
    <s v="No"/>
  </r>
  <r>
    <s v="LC-1249"/>
    <n v="2022"/>
    <d v="2022-08-15T00:00:00"/>
    <s v="South-East Asia"/>
    <s v="India"/>
    <n v="58"/>
    <x v="0"/>
    <x v="2"/>
    <n v="0"/>
    <n v="0"/>
    <x v="1"/>
    <x v="1"/>
    <x v="0"/>
    <x v="1"/>
    <x v="0"/>
    <n v="26"/>
    <x v="0"/>
    <s v="Yes"/>
    <x v="0"/>
    <x v="0"/>
    <x v="0"/>
    <s v="KRAS"/>
    <s v="No"/>
    <s v="Yes"/>
    <s v="No"/>
    <s v="Yes"/>
    <s v="Yes"/>
    <s v="Yes"/>
    <s v="Yes"/>
    <s v="No"/>
    <s v="No"/>
    <s v="No"/>
    <x v="0"/>
    <s v="Squamous Cell"/>
    <x v="0"/>
    <n v="5.3"/>
    <s v="Yes"/>
    <s v="CT Scan"/>
    <s v="Chemotherapy"/>
    <n v="6"/>
    <s v="No"/>
  </r>
  <r>
    <s v="LC-1250"/>
    <n v="2021"/>
    <d v="2021-07-07T00:00:00"/>
    <s v="South-East Asia"/>
    <s v="Indonesia"/>
    <n v="46"/>
    <x v="0"/>
    <x v="0"/>
    <n v="10"/>
    <n v="28"/>
    <x v="1"/>
    <x v="0"/>
    <x v="0"/>
    <x v="0"/>
    <x v="0"/>
    <n v="30.6"/>
    <x v="2"/>
    <s v="No"/>
    <x v="0"/>
    <x v="0"/>
    <x v="0"/>
    <s v="No Mutation"/>
    <s v="Yes"/>
    <s v="Yes"/>
    <s v="Yes"/>
    <s v="No"/>
    <s v="Yes"/>
    <s v="Yes"/>
    <s v="No"/>
    <s v="No"/>
    <s v="No"/>
    <s v="No"/>
    <x v="1"/>
    <s v="Not Applicable"/>
    <x v="2"/>
    <n v="4.5"/>
    <s v="No"/>
    <s v="Biopsy"/>
    <s v="Chemo + Radiation"/>
    <n v="17"/>
    <s v="Yes"/>
  </r>
  <r>
    <s v="LC-1251"/>
    <n v="2021"/>
    <d v="2021-11-10T00:00:00"/>
    <s v="Americas"/>
    <s v="Brazil"/>
    <n v="60"/>
    <x v="1"/>
    <x v="2"/>
    <n v="0"/>
    <n v="0"/>
    <x v="1"/>
    <x v="0"/>
    <x v="0"/>
    <x v="0"/>
    <x v="2"/>
    <n v="29.4"/>
    <x v="2"/>
    <s v="No"/>
    <x v="0"/>
    <x v="0"/>
    <x v="0"/>
    <s v="ROS1"/>
    <s v="Yes"/>
    <s v="No"/>
    <s v="No"/>
    <s v="No"/>
    <s v="Yes"/>
    <s v="Yes"/>
    <s v="Yes"/>
    <s v="No"/>
    <s v="No"/>
    <s v="No"/>
    <x v="0"/>
    <s v="Large Cell"/>
    <x v="1"/>
    <n v="1.2"/>
    <s v="No"/>
    <s v="LDCT Screening"/>
    <s v="Surgery + Chemotherapy"/>
    <n v="74"/>
    <s v="Yes"/>
  </r>
  <r>
    <s v="LC-1252"/>
    <n v="2022"/>
    <d v="2022-05-03T00:00:00"/>
    <s v="Americas"/>
    <s v="Colombia"/>
    <n v="42"/>
    <x v="1"/>
    <x v="2"/>
    <n v="0"/>
    <n v="0"/>
    <x v="1"/>
    <x v="0"/>
    <x v="0"/>
    <x v="0"/>
    <x v="2"/>
    <n v="24.9"/>
    <x v="0"/>
    <s v="No"/>
    <x v="0"/>
    <x v="0"/>
    <x v="0"/>
    <s v="EGFR"/>
    <s v="No"/>
    <s v="Yes"/>
    <s v="No"/>
    <s v="Yes"/>
    <s v="No"/>
    <s v="No"/>
    <s v="No"/>
    <s v="No"/>
    <s v="Yes"/>
    <s v="No"/>
    <x v="0"/>
    <s v="Adenocarcinoma"/>
    <x v="2"/>
    <n v="4.9000000000000004"/>
    <s v="No"/>
    <s v="CT Scan"/>
    <s v="Immunotherapy"/>
    <n v="19"/>
    <s v="No"/>
  </r>
  <r>
    <s v="LC-1253"/>
    <n v="2017"/>
    <d v="2017-05-03T00:00:00"/>
    <s v="Eastern Mediterranean"/>
    <s v="Jordan"/>
    <n v="78"/>
    <x v="1"/>
    <x v="0"/>
    <n v="13"/>
    <n v="38"/>
    <x v="1"/>
    <x v="1"/>
    <x v="0"/>
    <x v="2"/>
    <x v="1"/>
    <n v="29.2"/>
    <x v="0"/>
    <s v="Yes"/>
    <x v="0"/>
    <x v="0"/>
    <x v="0"/>
    <s v="KRAS"/>
    <s v="No"/>
    <s v="Yes"/>
    <s v="No"/>
    <s v="No"/>
    <s v="No"/>
    <s v="Yes"/>
    <s v="Yes"/>
    <s v="No"/>
    <s v="No"/>
    <s v="Yes"/>
    <x v="0"/>
    <s v="Squamous Cell"/>
    <x v="2"/>
    <n v="6.9"/>
    <s v="No"/>
    <s v="PET Scan"/>
    <s v="Chemo + Radiation"/>
    <n v="25"/>
    <s v="No"/>
  </r>
  <r>
    <s v="LC-1254"/>
    <n v="2024"/>
    <d v="2024-11-21T00:00:00"/>
    <s v="South-East Asia"/>
    <s v="Indonesia"/>
    <n v="59"/>
    <x v="1"/>
    <x v="2"/>
    <n v="0"/>
    <n v="0"/>
    <x v="1"/>
    <x v="0"/>
    <x v="0"/>
    <x v="1"/>
    <x v="2"/>
    <n v="27.4"/>
    <x v="2"/>
    <s v="Yes"/>
    <x v="0"/>
    <x v="0"/>
    <x v="1"/>
    <s v="ALK"/>
    <s v="No"/>
    <s v="Yes"/>
    <s v="Yes"/>
    <s v="Yes"/>
    <s v="No"/>
    <s v="Yes"/>
    <s v="No"/>
    <s v="Yes"/>
    <s v="No"/>
    <s v="No"/>
    <x v="0"/>
    <s v="Adenocarcinoma"/>
    <x v="3"/>
    <n v="3.1"/>
    <s v="No"/>
    <s v="PET Scan"/>
    <s v="Chemotherapy"/>
    <n v="40"/>
    <s v="Yes"/>
  </r>
  <r>
    <s v="LC-1255"/>
    <n v="2021"/>
    <d v="2021-01-13T00:00:00"/>
    <s v="Europe"/>
    <s v="Spain"/>
    <n v="61"/>
    <x v="1"/>
    <x v="1"/>
    <n v="27"/>
    <n v="11"/>
    <x v="0"/>
    <x v="1"/>
    <x v="0"/>
    <x v="0"/>
    <x v="0"/>
    <n v="24.9"/>
    <x v="0"/>
    <s v="No"/>
    <x v="0"/>
    <x v="0"/>
    <x v="0"/>
    <s v="No Mutation"/>
    <s v="Yes"/>
    <s v="Yes"/>
    <s v="No"/>
    <s v="Yes"/>
    <s v="Yes"/>
    <s v="Yes"/>
    <s v="No"/>
    <s v="Yes"/>
    <s v="No"/>
    <s v="No"/>
    <x v="0"/>
    <s v="Adenocarcinoma"/>
    <x v="0"/>
    <n v="5.7"/>
    <s v="Yes"/>
    <s v="Bronchoscopy"/>
    <s v="Immunotherapy"/>
    <n v="9"/>
    <s v="No"/>
  </r>
  <r>
    <s v="LC-1256"/>
    <n v="2016"/>
    <d v="2016-12-23T00:00:00"/>
    <s v="Europe"/>
    <s v="Italy"/>
    <n v="45"/>
    <x v="0"/>
    <x v="2"/>
    <n v="0"/>
    <n v="0"/>
    <x v="0"/>
    <x v="0"/>
    <x v="0"/>
    <x v="0"/>
    <x v="0"/>
    <n v="22.3"/>
    <x v="0"/>
    <s v="No"/>
    <x v="0"/>
    <x v="0"/>
    <x v="0"/>
    <s v="No Mutation"/>
    <s v="No"/>
    <s v="No"/>
    <s v="No"/>
    <s v="No"/>
    <s v="Yes"/>
    <s v="No"/>
    <s v="No"/>
    <s v="No"/>
    <s v="No"/>
    <s v="No"/>
    <x v="0"/>
    <s v="Adenocarcinoma"/>
    <x v="1"/>
    <n v="1.3"/>
    <s v="No"/>
    <s v="CT Scan"/>
    <s v="Targeted Therapy"/>
    <n v="49"/>
    <s v="No"/>
  </r>
  <r>
    <s v="LC-1257"/>
    <n v="2025"/>
    <d v="2025-07-21T00:00:00"/>
    <s v="South-East Asia"/>
    <s v="Bangladesh"/>
    <n v="61"/>
    <x v="1"/>
    <x v="2"/>
    <n v="0"/>
    <n v="0"/>
    <x v="1"/>
    <x v="0"/>
    <x v="1"/>
    <x v="1"/>
    <x v="2"/>
    <n v="29.5"/>
    <x v="2"/>
    <s v="No"/>
    <x v="1"/>
    <x v="0"/>
    <x v="0"/>
    <s v="EGFR"/>
    <s v="No"/>
    <s v="Yes"/>
    <s v="No"/>
    <s v="No"/>
    <s v="Yes"/>
    <s v="No"/>
    <s v="No"/>
    <s v="No"/>
    <s v="No"/>
    <s v="No"/>
    <x v="0"/>
    <s v="Adenocarcinoma"/>
    <x v="0"/>
    <n v="7"/>
    <s v="Yes"/>
    <s v="Bronchoscopy"/>
    <s v="Chemotherapy"/>
    <n v="12"/>
    <s v="No"/>
  </r>
  <r>
    <s v="LC-1258"/>
    <n v="2020"/>
    <d v="2020-12-04T00:00:00"/>
    <s v="Western Pacific"/>
    <s v="China"/>
    <n v="63"/>
    <x v="1"/>
    <x v="0"/>
    <n v="32"/>
    <n v="27"/>
    <x v="0"/>
    <x v="1"/>
    <x v="1"/>
    <x v="1"/>
    <x v="0"/>
    <n v="31.9"/>
    <x v="0"/>
    <s v="No"/>
    <x v="0"/>
    <x v="0"/>
    <x v="0"/>
    <s v="RET"/>
    <s v="Yes"/>
    <s v="Yes"/>
    <s v="Yes"/>
    <s v="No"/>
    <s v="No"/>
    <s v="No"/>
    <s v="No"/>
    <s v="No"/>
    <s v="No"/>
    <s v="No"/>
    <x v="0"/>
    <s v="Squamous Cell"/>
    <x v="1"/>
    <n v="1.3"/>
    <s v="No"/>
    <s v="LDCT Screening"/>
    <s v="Immunotherapy"/>
    <n v="37"/>
    <s v="Yes"/>
  </r>
  <r>
    <s v="LC-1259"/>
    <n v="2016"/>
    <d v="2016-04-16T00:00:00"/>
    <s v="Americas"/>
    <s v="Canada"/>
    <n v="64"/>
    <x v="0"/>
    <x v="0"/>
    <n v="12"/>
    <n v="34"/>
    <x v="0"/>
    <x v="1"/>
    <x v="0"/>
    <x v="2"/>
    <x v="1"/>
    <n v="31.2"/>
    <x v="1"/>
    <s v="No"/>
    <x v="0"/>
    <x v="0"/>
    <x v="0"/>
    <s v="No Mutation"/>
    <s v="No"/>
    <s v="Yes"/>
    <s v="Yes"/>
    <s v="Yes"/>
    <s v="Yes"/>
    <s v="Yes"/>
    <s v="No"/>
    <s v="No"/>
    <s v="No"/>
    <s v="No"/>
    <x v="0"/>
    <s v="Adenocarcinoma"/>
    <x v="0"/>
    <n v="8.5"/>
    <s v="Yes"/>
    <s v="Biopsy"/>
    <s v="Chemotherapy"/>
    <n v="7"/>
    <s v="No"/>
  </r>
  <r>
    <s v="LC-1260"/>
    <n v="2021"/>
    <d v="2021-03-19T00:00:00"/>
    <s v="Western Pacific"/>
    <s v="Australia"/>
    <n v="49"/>
    <x v="1"/>
    <x v="2"/>
    <n v="0"/>
    <n v="0"/>
    <x v="1"/>
    <x v="0"/>
    <x v="0"/>
    <x v="0"/>
    <x v="2"/>
    <n v="22.2"/>
    <x v="2"/>
    <s v="No"/>
    <x v="0"/>
    <x v="0"/>
    <x v="0"/>
    <s v="No Mutation"/>
    <s v="Yes"/>
    <s v="No"/>
    <s v="No"/>
    <s v="No"/>
    <s v="Yes"/>
    <s v="No"/>
    <s v="No"/>
    <s v="Yes"/>
    <s v="No"/>
    <s v="No"/>
    <x v="0"/>
    <s v="Large Cell"/>
    <x v="3"/>
    <n v="2.7"/>
    <s v="No"/>
    <s v="Biopsy"/>
    <s v="Chemotherapy"/>
    <n v="45"/>
    <s v="Yes"/>
  </r>
  <r>
    <s v="LC-1261"/>
    <n v="2025"/>
    <d v="2025-09-22T00:00:00"/>
    <s v="Western Pacific"/>
    <s v="New Zealand"/>
    <n v="60"/>
    <x v="1"/>
    <x v="2"/>
    <n v="0"/>
    <n v="0"/>
    <x v="0"/>
    <x v="1"/>
    <x v="0"/>
    <x v="0"/>
    <x v="0"/>
    <n v="21.7"/>
    <x v="0"/>
    <s v="No"/>
    <x v="0"/>
    <x v="0"/>
    <x v="0"/>
    <s v="No Mutation"/>
    <s v="Yes"/>
    <s v="No"/>
    <s v="Yes"/>
    <s v="No"/>
    <s v="Yes"/>
    <s v="No"/>
    <s v="No"/>
    <s v="No"/>
    <s v="No"/>
    <s v="Yes"/>
    <x v="1"/>
    <s v="Not Applicable"/>
    <x v="1"/>
    <n v="2.2000000000000002"/>
    <s v="No"/>
    <s v="Chest X-Ray"/>
    <s v="Surgery"/>
    <n v="49"/>
    <s v="Yes"/>
  </r>
  <r>
    <s v="LC-1262"/>
    <n v="2019"/>
    <d v="2019-01-01T00:00:00"/>
    <s v="Europe"/>
    <s v="Russia"/>
    <n v="69"/>
    <x v="1"/>
    <x v="0"/>
    <n v="16"/>
    <n v="29"/>
    <x v="0"/>
    <x v="1"/>
    <x v="0"/>
    <x v="2"/>
    <x v="1"/>
    <n v="25.3"/>
    <x v="0"/>
    <s v="No"/>
    <x v="0"/>
    <x v="0"/>
    <x v="1"/>
    <s v="EGFR"/>
    <s v="Yes"/>
    <s v="Yes"/>
    <s v="No"/>
    <s v="No"/>
    <s v="Yes"/>
    <s v="No"/>
    <s v="Yes"/>
    <s v="No"/>
    <s v="No"/>
    <s v="No"/>
    <x v="1"/>
    <s v="Not Applicable"/>
    <x v="2"/>
    <n v="4.9000000000000004"/>
    <s v="No"/>
    <s v="Bronchoscopy"/>
    <s v="Chemo + Radiation"/>
    <n v="5"/>
    <s v="No"/>
  </r>
  <r>
    <s v="LC-1263"/>
    <n v="2022"/>
    <d v="2022-02-28T00:00:00"/>
    <s v="Western Pacific"/>
    <s v="Malaysia"/>
    <n v="62"/>
    <x v="1"/>
    <x v="2"/>
    <n v="0"/>
    <n v="0"/>
    <x v="0"/>
    <x v="0"/>
    <x v="0"/>
    <x v="1"/>
    <x v="0"/>
    <n v="17.5"/>
    <x v="0"/>
    <s v="No"/>
    <x v="0"/>
    <x v="0"/>
    <x v="0"/>
    <s v="TP53"/>
    <s v="No"/>
    <s v="No"/>
    <s v="No"/>
    <s v="No"/>
    <s v="Yes"/>
    <s v="No"/>
    <s v="No"/>
    <s v="No"/>
    <s v="Yes"/>
    <s v="No"/>
    <x v="0"/>
    <s v="Large Cell"/>
    <x v="0"/>
    <n v="7.6"/>
    <s v="Yes"/>
    <s v="CT Scan"/>
    <s v="Chemotherapy"/>
    <n v="10"/>
    <s v="No"/>
  </r>
  <r>
    <s v="LC-1264"/>
    <n v="2025"/>
    <d v="2025-12-05T00:00:00"/>
    <s v="Americas"/>
    <s v="Peru"/>
    <n v="48"/>
    <x v="0"/>
    <x v="2"/>
    <n v="0"/>
    <n v="0"/>
    <x v="1"/>
    <x v="0"/>
    <x v="0"/>
    <x v="2"/>
    <x v="2"/>
    <n v="28.9"/>
    <x v="0"/>
    <s v="No"/>
    <x v="0"/>
    <x v="0"/>
    <x v="0"/>
    <s v="MET"/>
    <s v="Yes"/>
    <s v="Yes"/>
    <s v="No"/>
    <s v="No"/>
    <s v="No"/>
    <s v="Yes"/>
    <s v="Yes"/>
    <s v="No"/>
    <s v="No"/>
    <s v="No"/>
    <x v="0"/>
    <s v="Adenocarcinoma"/>
    <x v="1"/>
    <n v="3.2"/>
    <s v="No"/>
    <s v="LDCT Screening"/>
    <s v="Radiotherapy"/>
    <n v="68"/>
    <s v="No"/>
  </r>
  <r>
    <s v="LC-1265"/>
    <n v="2024"/>
    <d v="2024-02-08T00:00:00"/>
    <s v="Eastern Mediterranean"/>
    <s v="Lebanon"/>
    <n v="46"/>
    <x v="0"/>
    <x v="2"/>
    <n v="0"/>
    <n v="0"/>
    <x v="1"/>
    <x v="1"/>
    <x v="0"/>
    <x v="0"/>
    <x v="0"/>
    <n v="24.1"/>
    <x v="1"/>
    <s v="No"/>
    <x v="0"/>
    <x v="0"/>
    <x v="0"/>
    <s v="No Mutation"/>
    <s v="Yes"/>
    <s v="No"/>
    <s v="Yes"/>
    <s v="No"/>
    <s v="No"/>
    <s v="No"/>
    <s v="No"/>
    <s v="No"/>
    <s v="No"/>
    <s v="No"/>
    <x v="0"/>
    <s v="Adenocarcinoma"/>
    <x v="3"/>
    <n v="4.8"/>
    <s v="No"/>
    <s v="CT Scan"/>
    <s v="Surgery + Chemotherapy"/>
    <n v="49"/>
    <s v="Yes"/>
  </r>
  <r>
    <s v="LC-1266"/>
    <n v="2020"/>
    <d v="2020-02-24T00:00:00"/>
    <s v="Americas"/>
    <s v="Canada"/>
    <n v="63"/>
    <x v="0"/>
    <x v="1"/>
    <n v="9"/>
    <n v="15"/>
    <x v="0"/>
    <x v="1"/>
    <x v="0"/>
    <x v="0"/>
    <x v="0"/>
    <n v="22.6"/>
    <x v="2"/>
    <s v="No"/>
    <x v="0"/>
    <x v="0"/>
    <x v="0"/>
    <s v="No Mutation"/>
    <s v="Yes"/>
    <s v="Yes"/>
    <s v="Yes"/>
    <s v="No"/>
    <s v="Yes"/>
    <s v="No"/>
    <s v="No"/>
    <s v="No"/>
    <s v="No"/>
    <s v="Yes"/>
    <x v="0"/>
    <s v="Squamous Cell"/>
    <x v="3"/>
    <n v="5.2"/>
    <s v="No"/>
    <s v="CT Scan"/>
    <s v="Surgery + Chemotherapy"/>
    <n v="39"/>
    <s v="Yes"/>
  </r>
  <r>
    <s v="LC-1267"/>
    <n v="2024"/>
    <d v="2024-02-11T00:00:00"/>
    <s v="South-East Asia"/>
    <s v="Sri Lanka"/>
    <n v="57"/>
    <x v="1"/>
    <x v="2"/>
    <n v="0"/>
    <n v="0"/>
    <x v="0"/>
    <x v="0"/>
    <x v="1"/>
    <x v="1"/>
    <x v="1"/>
    <n v="30.6"/>
    <x v="1"/>
    <s v="No"/>
    <x v="0"/>
    <x v="0"/>
    <x v="0"/>
    <s v="EGFR"/>
    <s v="No"/>
    <s v="No"/>
    <s v="Yes"/>
    <s v="No"/>
    <s v="Yes"/>
    <s v="No"/>
    <s v="No"/>
    <s v="No"/>
    <s v="No"/>
    <s v="No"/>
    <x v="0"/>
    <s v="Large Cell"/>
    <x v="3"/>
    <n v="3.8"/>
    <s v="No"/>
    <s v="Chest X-Ray"/>
    <s v="Surgery + Chemotherapy"/>
    <n v="23"/>
    <s v="Yes"/>
  </r>
  <r>
    <s v="LC-1268"/>
    <n v="2025"/>
    <d v="2025-05-05T00:00:00"/>
    <s v="Eastern Mediterranean"/>
    <s v="Lebanon"/>
    <n v="54"/>
    <x v="1"/>
    <x v="2"/>
    <n v="0"/>
    <n v="0"/>
    <x v="0"/>
    <x v="0"/>
    <x v="0"/>
    <x v="0"/>
    <x v="2"/>
    <n v="29.7"/>
    <x v="0"/>
    <s v="No"/>
    <x v="1"/>
    <x v="0"/>
    <x v="0"/>
    <s v="No Mutation"/>
    <s v="No"/>
    <s v="No"/>
    <s v="No"/>
    <s v="No"/>
    <s v="Yes"/>
    <s v="Yes"/>
    <s v="No"/>
    <s v="No"/>
    <s v="No"/>
    <s v="No"/>
    <x v="0"/>
    <s v="Squamous Cell"/>
    <x v="3"/>
    <n v="5.2"/>
    <s v="No"/>
    <s v="LDCT Screening"/>
    <s v="Surgery"/>
    <n v="36"/>
    <s v="No"/>
  </r>
  <r>
    <s v="LC-1269"/>
    <n v="2020"/>
    <d v="2020-03-21T00:00:00"/>
    <s v="Western Pacific"/>
    <s v="South Korea"/>
    <n v="46"/>
    <x v="1"/>
    <x v="1"/>
    <n v="19"/>
    <n v="26"/>
    <x v="1"/>
    <x v="0"/>
    <x v="0"/>
    <x v="1"/>
    <x v="1"/>
    <n v="29.2"/>
    <x v="0"/>
    <s v="No"/>
    <x v="0"/>
    <x v="0"/>
    <x v="0"/>
    <s v="HER2"/>
    <s v="No"/>
    <s v="Yes"/>
    <s v="No"/>
    <s v="No"/>
    <s v="No"/>
    <s v="No"/>
    <s v="No"/>
    <s v="Yes"/>
    <s v="No"/>
    <s v="No"/>
    <x v="0"/>
    <s v="Adenocarcinoma"/>
    <x v="1"/>
    <n v="0.9"/>
    <s v="No"/>
    <s v="CT Scan"/>
    <s v="Surgery"/>
    <n v="76"/>
    <s v="Yes"/>
  </r>
  <r>
    <s v="LC-1270"/>
    <n v="2023"/>
    <d v="2023-02-17T00:00:00"/>
    <s v="Europe"/>
    <s v="Sweden"/>
    <n v="64"/>
    <x v="0"/>
    <x v="0"/>
    <n v="31"/>
    <n v="29"/>
    <x v="0"/>
    <x v="0"/>
    <x v="0"/>
    <x v="2"/>
    <x v="0"/>
    <n v="25.4"/>
    <x v="2"/>
    <s v="No"/>
    <x v="0"/>
    <x v="0"/>
    <x v="0"/>
    <s v="KRAS"/>
    <s v="No"/>
    <s v="No"/>
    <s v="No"/>
    <s v="No"/>
    <s v="No"/>
    <s v="No"/>
    <s v="No"/>
    <s v="No"/>
    <s v="No"/>
    <s v="No"/>
    <x v="0"/>
    <s v="Large Cell"/>
    <x v="2"/>
    <n v="5.6"/>
    <s v="No"/>
    <s v="CT Scan"/>
    <s v="Chemotherapy"/>
    <n v="17"/>
    <s v="Yes"/>
  </r>
  <r>
    <s v="LC-1271"/>
    <n v="2025"/>
    <d v="2025-01-20T00:00:00"/>
    <s v="Western Pacific"/>
    <s v="South Korea"/>
    <n v="67"/>
    <x v="0"/>
    <x v="2"/>
    <n v="0"/>
    <n v="0"/>
    <x v="0"/>
    <x v="0"/>
    <x v="1"/>
    <x v="1"/>
    <x v="2"/>
    <n v="27.9"/>
    <x v="0"/>
    <s v="No"/>
    <x v="0"/>
    <x v="0"/>
    <x v="1"/>
    <s v="ROS1"/>
    <s v="No"/>
    <s v="Yes"/>
    <s v="Yes"/>
    <s v="No"/>
    <s v="Yes"/>
    <s v="No"/>
    <s v="No"/>
    <s v="Yes"/>
    <s v="No"/>
    <s v="No"/>
    <x v="0"/>
    <s v="Large Cell"/>
    <x v="3"/>
    <n v="4.8"/>
    <s v="No"/>
    <s v="CT Scan"/>
    <s v="Surgery + Chemotherapy"/>
    <n v="26"/>
    <s v="No"/>
  </r>
  <r>
    <s v="LC-1272"/>
    <n v="2019"/>
    <d v="2019-08-12T00:00:00"/>
    <s v="Western Pacific"/>
    <s v="Australia"/>
    <n v="45"/>
    <x v="0"/>
    <x v="1"/>
    <n v="26"/>
    <n v="19"/>
    <x v="1"/>
    <x v="0"/>
    <x v="1"/>
    <x v="1"/>
    <x v="2"/>
    <n v="26.8"/>
    <x v="2"/>
    <s v="Yes"/>
    <x v="0"/>
    <x v="0"/>
    <x v="0"/>
    <s v="KRAS"/>
    <s v="Yes"/>
    <s v="No"/>
    <s v="No"/>
    <s v="No"/>
    <s v="Yes"/>
    <s v="No"/>
    <s v="No"/>
    <s v="No"/>
    <s v="Yes"/>
    <s v="No"/>
    <x v="0"/>
    <s v="Adenocarcinoma"/>
    <x v="2"/>
    <n v="5.2"/>
    <s v="Yes"/>
    <s v="PET Scan"/>
    <s v="Chemo + Radiation"/>
    <n v="32"/>
    <s v="No"/>
  </r>
  <r>
    <s v="LC-1273"/>
    <n v="2020"/>
    <d v="2020-11-24T00:00:00"/>
    <s v="Africa"/>
    <s v="Kenya"/>
    <n v="59"/>
    <x v="0"/>
    <x v="2"/>
    <n v="0"/>
    <n v="0"/>
    <x v="0"/>
    <x v="1"/>
    <x v="0"/>
    <x v="0"/>
    <x v="0"/>
    <n v="27.8"/>
    <x v="2"/>
    <s v="No"/>
    <x v="0"/>
    <x v="1"/>
    <x v="0"/>
    <s v="EGFR"/>
    <s v="Yes"/>
    <s v="No"/>
    <s v="No"/>
    <s v="No"/>
    <s v="Yes"/>
    <s v="Yes"/>
    <s v="No"/>
    <s v="No"/>
    <s v="No"/>
    <s v="No"/>
    <x v="0"/>
    <s v="Adenocarcinoma"/>
    <x v="1"/>
    <n v="2.5"/>
    <s v="No"/>
    <s v="CT Scan"/>
    <s v="Radiotherapy"/>
    <n v="49"/>
    <s v="Yes"/>
  </r>
  <r>
    <s v="LC-1274"/>
    <n v="2023"/>
    <d v="2023-07-20T00:00:00"/>
    <s v="Western Pacific"/>
    <s v="New Zealand"/>
    <n v="43"/>
    <x v="0"/>
    <x v="2"/>
    <n v="0"/>
    <n v="0"/>
    <x v="1"/>
    <x v="0"/>
    <x v="0"/>
    <x v="1"/>
    <x v="2"/>
    <n v="29.2"/>
    <x v="1"/>
    <s v="Yes"/>
    <x v="0"/>
    <x v="0"/>
    <x v="0"/>
    <s v="ALK"/>
    <s v="Yes"/>
    <s v="Yes"/>
    <s v="Yes"/>
    <s v="No"/>
    <s v="Yes"/>
    <s v="No"/>
    <s v="No"/>
    <s v="No"/>
    <s v="No"/>
    <s v="No"/>
    <x v="1"/>
    <s v="Not Applicable"/>
    <x v="0"/>
    <n v="6.1"/>
    <s v="Yes"/>
    <s v="PET Scan"/>
    <s v="Immunotherapy"/>
    <n v="4"/>
    <s v="No"/>
  </r>
  <r>
    <s v="LC-1275"/>
    <n v="2019"/>
    <d v="2019-04-03T00:00:00"/>
    <s v="Western Pacific"/>
    <s v="Japan"/>
    <n v="54"/>
    <x v="1"/>
    <x v="2"/>
    <n v="0"/>
    <n v="0"/>
    <x v="1"/>
    <x v="0"/>
    <x v="1"/>
    <x v="0"/>
    <x v="0"/>
    <n v="30.5"/>
    <x v="1"/>
    <s v="Yes"/>
    <x v="0"/>
    <x v="0"/>
    <x v="0"/>
    <s v="No Mutation"/>
    <s v="No"/>
    <s v="Yes"/>
    <s v="No"/>
    <s v="No"/>
    <s v="Yes"/>
    <s v="No"/>
    <s v="No"/>
    <s v="No"/>
    <s v="No"/>
    <s v="No"/>
    <x v="0"/>
    <s v="Adenocarcinoma"/>
    <x v="1"/>
    <n v="1.4"/>
    <s v="No"/>
    <s v="Chest X-Ray"/>
    <s v="Surgery"/>
    <n v="36"/>
    <s v="Yes"/>
  </r>
  <r>
    <s v="LC-1276"/>
    <n v="2023"/>
    <d v="2023-03-25T00:00:00"/>
    <s v="Western Pacific"/>
    <s v="Japan"/>
    <n v="80"/>
    <x v="1"/>
    <x v="2"/>
    <n v="0"/>
    <n v="0"/>
    <x v="1"/>
    <x v="1"/>
    <x v="1"/>
    <x v="0"/>
    <x v="2"/>
    <n v="27.7"/>
    <x v="2"/>
    <s v="No"/>
    <x v="0"/>
    <x v="0"/>
    <x v="0"/>
    <s v="ROS1"/>
    <s v="No"/>
    <s v="Yes"/>
    <s v="Yes"/>
    <s v="No"/>
    <s v="No"/>
    <s v="No"/>
    <s v="Yes"/>
    <s v="No"/>
    <s v="No"/>
    <s v="No"/>
    <x v="0"/>
    <s v="Squamous Cell"/>
    <x v="3"/>
    <n v="4.5999999999999996"/>
    <s v="No"/>
    <s v="CT Scan"/>
    <s v="Surgery"/>
    <n v="26"/>
    <s v="Yes"/>
  </r>
  <r>
    <s v="LC-1277"/>
    <n v="2018"/>
    <d v="2018-10-24T00:00:00"/>
    <s v="Americas"/>
    <s v="Chile"/>
    <n v="53"/>
    <x v="0"/>
    <x v="2"/>
    <n v="0"/>
    <n v="0"/>
    <x v="0"/>
    <x v="0"/>
    <x v="0"/>
    <x v="0"/>
    <x v="0"/>
    <n v="22.6"/>
    <x v="0"/>
    <s v="No"/>
    <x v="0"/>
    <x v="0"/>
    <x v="0"/>
    <s v="No Mutation"/>
    <s v="No"/>
    <s v="No"/>
    <s v="Yes"/>
    <s v="No"/>
    <s v="Yes"/>
    <s v="No"/>
    <s v="No"/>
    <s v="Yes"/>
    <s v="No"/>
    <s v="No"/>
    <x v="0"/>
    <s v="Adenocarcinoma"/>
    <x v="1"/>
    <n v="2.1"/>
    <s v="No"/>
    <s v="PET Scan"/>
    <s v="Surgery"/>
    <n v="71"/>
    <s v="Yes"/>
  </r>
  <r>
    <s v="LC-1278"/>
    <n v="2017"/>
    <d v="2017-06-14T00:00:00"/>
    <s v="Western Pacific"/>
    <s v="Vietnam"/>
    <n v="51"/>
    <x v="0"/>
    <x v="2"/>
    <n v="0"/>
    <n v="0"/>
    <x v="0"/>
    <x v="0"/>
    <x v="0"/>
    <x v="1"/>
    <x v="1"/>
    <n v="22"/>
    <x v="2"/>
    <s v="No"/>
    <x v="0"/>
    <x v="1"/>
    <x v="0"/>
    <s v="No Mutation"/>
    <s v="Yes"/>
    <s v="No"/>
    <s v="No"/>
    <s v="No"/>
    <s v="Yes"/>
    <s v="Yes"/>
    <s v="Yes"/>
    <s v="No"/>
    <s v="Yes"/>
    <s v="No"/>
    <x v="0"/>
    <s v="Squamous Cell"/>
    <x v="1"/>
    <n v="1.9"/>
    <s v="Yes"/>
    <s v="CT Scan"/>
    <s v="Surgery"/>
    <n v="61"/>
    <s v="No"/>
  </r>
  <r>
    <s v="LC-1279"/>
    <n v="2018"/>
    <d v="2018-03-08T00:00:00"/>
    <s v="Western Pacific"/>
    <s v="Philippines"/>
    <n v="56"/>
    <x v="0"/>
    <x v="2"/>
    <n v="0"/>
    <n v="0"/>
    <x v="0"/>
    <x v="1"/>
    <x v="0"/>
    <x v="2"/>
    <x v="0"/>
    <n v="24.1"/>
    <x v="0"/>
    <s v="No"/>
    <x v="0"/>
    <x v="0"/>
    <x v="0"/>
    <s v="KRAS"/>
    <s v="No"/>
    <s v="No"/>
    <s v="Yes"/>
    <s v="Yes"/>
    <s v="Yes"/>
    <s v="No"/>
    <s v="No"/>
    <s v="No"/>
    <s v="Yes"/>
    <s v="No"/>
    <x v="0"/>
    <s v="Adenocarcinoma"/>
    <x v="0"/>
    <n v="3.9"/>
    <s v="Yes"/>
    <s v="CT Scan"/>
    <s v="Radiotherapy"/>
    <n v="6"/>
    <s v="No"/>
  </r>
  <r>
    <s v="LC-1280"/>
    <n v="2016"/>
    <d v="2016-11-03T00:00:00"/>
    <s v="Americas"/>
    <s v="Mexico"/>
    <n v="65"/>
    <x v="1"/>
    <x v="1"/>
    <n v="13"/>
    <n v="12"/>
    <x v="0"/>
    <x v="0"/>
    <x v="0"/>
    <x v="1"/>
    <x v="2"/>
    <n v="28.9"/>
    <x v="0"/>
    <s v="Yes"/>
    <x v="0"/>
    <x v="0"/>
    <x v="0"/>
    <s v="No Mutation"/>
    <s v="No"/>
    <s v="No"/>
    <s v="No"/>
    <s v="No"/>
    <s v="Yes"/>
    <s v="Yes"/>
    <s v="No"/>
    <s v="No"/>
    <s v="No"/>
    <s v="No"/>
    <x v="0"/>
    <s v="Adenocarcinoma"/>
    <x v="0"/>
    <n v="6.8"/>
    <s v="Yes"/>
    <s v="CT Scan"/>
    <s v="Chemo + Radiation"/>
    <n v="14"/>
    <s v="No"/>
  </r>
  <r>
    <s v="LC-1281"/>
    <n v="2023"/>
    <d v="2023-09-20T00:00:00"/>
    <s v="South-East Asia"/>
    <s v="Bhutan"/>
    <n v="66"/>
    <x v="0"/>
    <x v="1"/>
    <n v="7"/>
    <n v="10"/>
    <x v="0"/>
    <x v="0"/>
    <x v="0"/>
    <x v="1"/>
    <x v="1"/>
    <n v="30.6"/>
    <x v="0"/>
    <s v="Yes"/>
    <x v="0"/>
    <x v="0"/>
    <x v="0"/>
    <s v="No Mutation"/>
    <s v="Yes"/>
    <s v="Yes"/>
    <s v="No"/>
    <s v="Yes"/>
    <s v="Yes"/>
    <s v="Yes"/>
    <s v="No"/>
    <s v="No"/>
    <s v="No"/>
    <s v="No"/>
    <x v="0"/>
    <s v="Adenocarcinoma"/>
    <x v="2"/>
    <n v="4.0999999999999996"/>
    <s v="No"/>
    <s v="MRI"/>
    <s v="Chemotherapy"/>
    <n v="15"/>
    <s v="No"/>
  </r>
  <r>
    <s v="LC-1282"/>
    <n v="2021"/>
    <d v="2021-12-20T00:00:00"/>
    <s v="Americas"/>
    <s v="Argentina"/>
    <n v="72"/>
    <x v="0"/>
    <x v="2"/>
    <n v="0"/>
    <n v="0"/>
    <x v="0"/>
    <x v="1"/>
    <x v="1"/>
    <x v="1"/>
    <x v="2"/>
    <n v="22"/>
    <x v="0"/>
    <s v="No"/>
    <x v="0"/>
    <x v="1"/>
    <x v="0"/>
    <s v="No Mutation"/>
    <s v="Yes"/>
    <s v="No"/>
    <s v="No"/>
    <s v="Yes"/>
    <s v="No"/>
    <s v="Yes"/>
    <s v="No"/>
    <s v="No"/>
    <s v="No"/>
    <s v="No"/>
    <x v="0"/>
    <s v="Adenocarcinoma"/>
    <x v="3"/>
    <n v="2.4"/>
    <s v="No"/>
    <s v="Biopsy"/>
    <s v="Surgery + Chemotherapy"/>
    <n v="47"/>
    <s v="Yes"/>
  </r>
  <r>
    <s v="LC-1283"/>
    <n v="2019"/>
    <d v="2019-12-01T00:00:00"/>
    <s v="Americas"/>
    <s v="Argentina"/>
    <n v="62"/>
    <x v="1"/>
    <x v="1"/>
    <n v="3"/>
    <n v="19"/>
    <x v="0"/>
    <x v="0"/>
    <x v="0"/>
    <x v="0"/>
    <x v="0"/>
    <n v="21.1"/>
    <x v="1"/>
    <s v="Yes"/>
    <x v="0"/>
    <x v="0"/>
    <x v="0"/>
    <s v="TP53"/>
    <s v="No"/>
    <s v="No"/>
    <s v="No"/>
    <s v="Yes"/>
    <s v="Yes"/>
    <s v="No"/>
    <s v="Yes"/>
    <s v="Yes"/>
    <s v="No"/>
    <s v="No"/>
    <x v="0"/>
    <s v="Squamous Cell"/>
    <x v="2"/>
    <n v="5.3"/>
    <s v="No"/>
    <s v="CT Scan"/>
    <s v="Radiotherapy"/>
    <n v="16"/>
    <s v="No"/>
  </r>
  <r>
    <s v="LC-1284"/>
    <n v="2023"/>
    <d v="2023-04-17T00:00:00"/>
    <s v="Western Pacific"/>
    <s v="Mongolia"/>
    <n v="87"/>
    <x v="1"/>
    <x v="2"/>
    <n v="0"/>
    <n v="0"/>
    <x v="0"/>
    <x v="0"/>
    <x v="0"/>
    <x v="0"/>
    <x v="0"/>
    <n v="35.9"/>
    <x v="1"/>
    <s v="No"/>
    <x v="0"/>
    <x v="0"/>
    <x v="0"/>
    <s v="KRAS"/>
    <s v="Yes"/>
    <s v="No"/>
    <s v="No"/>
    <s v="No"/>
    <s v="Yes"/>
    <s v="No"/>
    <s v="No"/>
    <s v="No"/>
    <s v="No"/>
    <s v="No"/>
    <x v="0"/>
    <s v="Squamous Cell"/>
    <x v="3"/>
    <n v="3.6"/>
    <s v="No"/>
    <s v="PET Scan"/>
    <s v="Surgery + Chemotherapy"/>
    <n v="35"/>
    <s v="Yes"/>
  </r>
  <r>
    <s v="LC-1285"/>
    <n v="2025"/>
    <d v="2025-09-07T00:00:00"/>
    <s v="Europe"/>
    <s v="Turkey"/>
    <n v="51"/>
    <x v="0"/>
    <x v="2"/>
    <n v="0"/>
    <n v="0"/>
    <x v="0"/>
    <x v="1"/>
    <x v="1"/>
    <x v="2"/>
    <x v="2"/>
    <n v="23.4"/>
    <x v="1"/>
    <s v="No"/>
    <x v="0"/>
    <x v="0"/>
    <x v="0"/>
    <s v="No Mutation"/>
    <s v="No"/>
    <s v="Yes"/>
    <s v="Yes"/>
    <s v="No"/>
    <s v="Yes"/>
    <s v="No"/>
    <s v="No"/>
    <s v="Yes"/>
    <s v="No"/>
    <s v="Yes"/>
    <x v="0"/>
    <s v="Adenocarcinoma"/>
    <x v="3"/>
    <n v="4.9000000000000004"/>
    <s v="Yes"/>
    <s v="Biopsy"/>
    <s v="Immunotherapy"/>
    <n v="30"/>
    <s v="No"/>
  </r>
  <r>
    <s v="LC-1286"/>
    <n v="2020"/>
    <d v="2020-05-21T00:00:00"/>
    <s v="Americas"/>
    <s v="USA"/>
    <n v="65"/>
    <x v="0"/>
    <x v="2"/>
    <n v="0"/>
    <n v="0"/>
    <x v="1"/>
    <x v="0"/>
    <x v="0"/>
    <x v="0"/>
    <x v="1"/>
    <n v="23.3"/>
    <x v="1"/>
    <s v="No"/>
    <x v="0"/>
    <x v="0"/>
    <x v="0"/>
    <s v="EGFR"/>
    <s v="No"/>
    <s v="Yes"/>
    <s v="No"/>
    <s v="No"/>
    <s v="Yes"/>
    <s v="Yes"/>
    <s v="No"/>
    <s v="Yes"/>
    <s v="No"/>
    <s v="Yes"/>
    <x v="1"/>
    <s v="Not Applicable"/>
    <x v="0"/>
    <n v="9.8000000000000007"/>
    <s v="Yes"/>
    <s v="PET Scan"/>
    <s v="Chemotherapy"/>
    <n v="16"/>
    <s v="No"/>
  </r>
  <r>
    <s v="LC-1287"/>
    <n v="2025"/>
    <d v="2025-04-16T00:00:00"/>
    <s v="Western Pacific"/>
    <s v="Malaysia"/>
    <n v="60"/>
    <x v="0"/>
    <x v="2"/>
    <n v="0"/>
    <n v="0"/>
    <x v="0"/>
    <x v="0"/>
    <x v="0"/>
    <x v="0"/>
    <x v="1"/>
    <n v="26.2"/>
    <x v="0"/>
    <s v="No"/>
    <x v="0"/>
    <x v="0"/>
    <x v="0"/>
    <s v="EGFR"/>
    <s v="No"/>
    <s v="Yes"/>
    <s v="No"/>
    <s v="No"/>
    <s v="Yes"/>
    <s v="No"/>
    <s v="Yes"/>
    <s v="No"/>
    <s v="No"/>
    <s v="Yes"/>
    <x v="0"/>
    <s v="Adenocarcinoma"/>
    <x v="1"/>
    <n v="0.6"/>
    <s v="No"/>
    <s v="CT Scan"/>
    <s v="Radiotherapy"/>
    <n v="76"/>
    <s v="Yes"/>
  </r>
  <r>
    <s v="LC-1288"/>
    <n v="2020"/>
    <d v="2020-02-08T00:00:00"/>
    <s v="Western Pacific"/>
    <s v="New Zealand"/>
    <n v="71"/>
    <x v="0"/>
    <x v="2"/>
    <n v="0"/>
    <n v="0"/>
    <x v="1"/>
    <x v="0"/>
    <x v="0"/>
    <x v="0"/>
    <x v="0"/>
    <n v="23.1"/>
    <x v="0"/>
    <s v="No"/>
    <x v="1"/>
    <x v="0"/>
    <x v="0"/>
    <s v="EGFR"/>
    <s v="Yes"/>
    <s v="No"/>
    <s v="No"/>
    <s v="No"/>
    <s v="Yes"/>
    <s v="No"/>
    <s v="Yes"/>
    <s v="Yes"/>
    <s v="No"/>
    <s v="No"/>
    <x v="0"/>
    <s v="Large Cell"/>
    <x v="3"/>
    <n v="3.9"/>
    <s v="No"/>
    <s v="PET Scan"/>
    <s v="Surgery + Chemotherapy"/>
    <n v="47"/>
    <s v="Yes"/>
  </r>
  <r>
    <s v="LC-1289"/>
    <n v="2019"/>
    <d v="2019-11-20T00:00:00"/>
    <s v="Europe"/>
    <s v="Germany"/>
    <n v="78"/>
    <x v="1"/>
    <x v="2"/>
    <n v="0"/>
    <n v="0"/>
    <x v="1"/>
    <x v="0"/>
    <x v="0"/>
    <x v="2"/>
    <x v="2"/>
    <n v="24.9"/>
    <x v="1"/>
    <s v="No"/>
    <x v="0"/>
    <x v="0"/>
    <x v="0"/>
    <s v="EGFR"/>
    <s v="No"/>
    <s v="Yes"/>
    <s v="No"/>
    <s v="Yes"/>
    <s v="Yes"/>
    <s v="No"/>
    <s v="Yes"/>
    <s v="No"/>
    <s v="No"/>
    <s v="Yes"/>
    <x v="0"/>
    <s v="Adenocarcinoma"/>
    <x v="2"/>
    <n v="5.9"/>
    <s v="No"/>
    <s v="Chest X-Ray"/>
    <s v="Targeted Therapy"/>
    <n v="18"/>
    <s v="No"/>
  </r>
  <r>
    <s v="LC-1290"/>
    <n v="2020"/>
    <d v="2020-09-01T00:00:00"/>
    <s v="Europe"/>
    <s v="Russia"/>
    <n v="56"/>
    <x v="1"/>
    <x v="0"/>
    <n v="40"/>
    <n v="17"/>
    <x v="1"/>
    <x v="0"/>
    <x v="0"/>
    <x v="2"/>
    <x v="0"/>
    <n v="21.3"/>
    <x v="0"/>
    <s v="No"/>
    <x v="0"/>
    <x v="0"/>
    <x v="0"/>
    <s v="KRAS"/>
    <s v="Yes"/>
    <s v="No"/>
    <s v="Yes"/>
    <s v="No"/>
    <s v="No"/>
    <s v="Yes"/>
    <s v="Yes"/>
    <s v="Yes"/>
    <s v="No"/>
    <s v="No"/>
    <x v="0"/>
    <s v="Adenocarcinoma"/>
    <x v="3"/>
    <n v="3.5"/>
    <s v="No"/>
    <s v="CT Scan"/>
    <s v="Surgery"/>
    <n v="49"/>
    <s v="No"/>
  </r>
  <r>
    <s v="LC-1291"/>
    <n v="2025"/>
    <d v="2025-06-05T00:00:00"/>
    <s v="Europe"/>
    <s v="Turkey"/>
    <n v="53"/>
    <x v="0"/>
    <x v="2"/>
    <n v="0"/>
    <n v="0"/>
    <x v="0"/>
    <x v="1"/>
    <x v="0"/>
    <x v="0"/>
    <x v="2"/>
    <n v="23.8"/>
    <x v="0"/>
    <s v="No"/>
    <x v="0"/>
    <x v="0"/>
    <x v="0"/>
    <s v="ROS1"/>
    <s v="No"/>
    <s v="Yes"/>
    <s v="No"/>
    <s v="No"/>
    <s v="Yes"/>
    <s v="No"/>
    <s v="No"/>
    <s v="No"/>
    <s v="No"/>
    <s v="No"/>
    <x v="0"/>
    <s v="Large Cell"/>
    <x v="0"/>
    <n v="8.4"/>
    <s v="Yes"/>
    <s v="CT Scan"/>
    <s v="Immunotherapy"/>
    <n v="9"/>
    <s v="No"/>
  </r>
  <r>
    <s v="LC-1292"/>
    <n v="2016"/>
    <d v="2016-10-14T00:00:00"/>
    <s v="South-East Asia"/>
    <s v="Sri Lanka"/>
    <n v="55"/>
    <x v="0"/>
    <x v="0"/>
    <n v="39"/>
    <n v="30"/>
    <x v="1"/>
    <x v="0"/>
    <x v="0"/>
    <x v="1"/>
    <x v="2"/>
    <n v="27.3"/>
    <x v="2"/>
    <s v="No"/>
    <x v="0"/>
    <x v="0"/>
    <x v="0"/>
    <s v="BRAF"/>
    <s v="Yes"/>
    <s v="Yes"/>
    <s v="No"/>
    <s v="No"/>
    <s v="Yes"/>
    <s v="Yes"/>
    <s v="Yes"/>
    <s v="Yes"/>
    <s v="No"/>
    <s v="No"/>
    <x v="1"/>
    <s v="Not Applicable"/>
    <x v="2"/>
    <n v="3"/>
    <s v="No"/>
    <s v="Biopsy"/>
    <s v="Chemo + Radiation"/>
    <n v="19"/>
    <s v="No"/>
  </r>
  <r>
    <s v="LC-1293"/>
    <n v="2018"/>
    <d v="2018-09-22T00:00:00"/>
    <s v="Americas"/>
    <s v="Brazil"/>
    <n v="68"/>
    <x v="1"/>
    <x v="2"/>
    <n v="0"/>
    <n v="0"/>
    <x v="1"/>
    <x v="1"/>
    <x v="0"/>
    <x v="2"/>
    <x v="0"/>
    <n v="27.7"/>
    <x v="1"/>
    <s v="No"/>
    <x v="0"/>
    <x v="0"/>
    <x v="1"/>
    <s v="No Mutation"/>
    <s v="No"/>
    <s v="No"/>
    <s v="No"/>
    <s v="No"/>
    <s v="Yes"/>
    <s v="No"/>
    <s v="No"/>
    <s v="No"/>
    <s v="No"/>
    <s v="No"/>
    <x v="0"/>
    <s v="Large Cell"/>
    <x v="3"/>
    <n v="5.4"/>
    <s v="No"/>
    <s v="CT Scan"/>
    <s v="Surgery"/>
    <n v="37"/>
    <s v="No"/>
  </r>
  <r>
    <s v="LC-1294"/>
    <n v="2022"/>
    <d v="2022-08-25T00:00:00"/>
    <s v="South-East Asia"/>
    <s v="Bangladesh"/>
    <n v="58"/>
    <x v="1"/>
    <x v="2"/>
    <n v="0"/>
    <n v="0"/>
    <x v="1"/>
    <x v="1"/>
    <x v="0"/>
    <x v="1"/>
    <x v="2"/>
    <n v="19.7"/>
    <x v="1"/>
    <s v="No"/>
    <x v="0"/>
    <x v="0"/>
    <x v="0"/>
    <s v="No Mutation"/>
    <s v="Yes"/>
    <s v="Yes"/>
    <s v="No"/>
    <s v="No"/>
    <s v="Yes"/>
    <s v="No"/>
    <s v="No"/>
    <s v="No"/>
    <s v="Yes"/>
    <s v="No"/>
    <x v="0"/>
    <s v="Adenocarcinoma"/>
    <x v="3"/>
    <n v="4"/>
    <s v="No"/>
    <s v="CT Scan"/>
    <s v="Surgery + Chemotherapy"/>
    <n v="51"/>
    <s v="No"/>
  </r>
  <r>
    <s v="LC-1295"/>
    <n v="2024"/>
    <d v="2024-01-19T00:00:00"/>
    <s v="Western Pacific"/>
    <s v="Japan"/>
    <n v="56"/>
    <x v="1"/>
    <x v="0"/>
    <n v="13"/>
    <n v="26"/>
    <x v="1"/>
    <x v="0"/>
    <x v="0"/>
    <x v="1"/>
    <x v="2"/>
    <n v="26.4"/>
    <x v="1"/>
    <s v="No"/>
    <x v="0"/>
    <x v="0"/>
    <x v="0"/>
    <s v="KRAS"/>
    <s v="Yes"/>
    <s v="Yes"/>
    <s v="Yes"/>
    <s v="No"/>
    <s v="Yes"/>
    <s v="Yes"/>
    <s v="No"/>
    <s v="No"/>
    <s v="No"/>
    <s v="No"/>
    <x v="0"/>
    <s v="Adenocarcinoma"/>
    <x v="0"/>
    <n v="7.6"/>
    <s v="Yes"/>
    <s v="Biopsy"/>
    <s v="Palliative Care"/>
    <n v="8"/>
    <s v="No"/>
  </r>
  <r>
    <s v="LC-1296"/>
    <n v="2020"/>
    <d v="2020-01-09T00:00:00"/>
    <s v="Africa"/>
    <s v="Egypt"/>
    <n v="58"/>
    <x v="0"/>
    <x v="1"/>
    <n v="12"/>
    <n v="9"/>
    <x v="1"/>
    <x v="0"/>
    <x v="0"/>
    <x v="1"/>
    <x v="2"/>
    <n v="26.9"/>
    <x v="2"/>
    <s v="No"/>
    <x v="0"/>
    <x v="0"/>
    <x v="0"/>
    <s v="No Mutation"/>
    <s v="Yes"/>
    <s v="Yes"/>
    <s v="Yes"/>
    <s v="No"/>
    <s v="Yes"/>
    <s v="No"/>
    <s v="No"/>
    <s v="Yes"/>
    <s v="No"/>
    <s v="No"/>
    <x v="0"/>
    <s v="Squamous Cell"/>
    <x v="0"/>
    <n v="6.3"/>
    <s v="Yes"/>
    <s v="Biopsy"/>
    <s v="Chemotherapy"/>
    <n v="10"/>
    <s v="No"/>
  </r>
  <r>
    <s v="LC-1297"/>
    <n v="2024"/>
    <d v="2024-01-02T00:00:00"/>
    <s v="Europe"/>
    <s v="Turkey"/>
    <n v="53"/>
    <x v="0"/>
    <x v="2"/>
    <n v="0"/>
    <n v="0"/>
    <x v="0"/>
    <x v="0"/>
    <x v="0"/>
    <x v="1"/>
    <x v="2"/>
    <n v="20.7"/>
    <x v="1"/>
    <s v="No"/>
    <x v="0"/>
    <x v="0"/>
    <x v="0"/>
    <s v="ALK"/>
    <s v="No"/>
    <s v="Yes"/>
    <s v="No"/>
    <s v="No"/>
    <s v="No"/>
    <s v="Yes"/>
    <s v="No"/>
    <s v="No"/>
    <s v="No"/>
    <s v="Yes"/>
    <x v="0"/>
    <s v="Adenocarcinoma"/>
    <x v="2"/>
    <n v="10"/>
    <s v="No"/>
    <s v="PET Scan"/>
    <s v="Chemo + Radiation"/>
    <n v="24"/>
    <s v="Yes"/>
  </r>
  <r>
    <s v="LC-1298"/>
    <n v="2018"/>
    <d v="2018-09-10T00:00:00"/>
    <s v="Europe"/>
    <s v="Netherlands"/>
    <n v="43"/>
    <x v="0"/>
    <x v="1"/>
    <n v="18"/>
    <n v="10"/>
    <x v="1"/>
    <x v="1"/>
    <x v="0"/>
    <x v="0"/>
    <x v="2"/>
    <n v="24.5"/>
    <x v="1"/>
    <s v="No"/>
    <x v="0"/>
    <x v="1"/>
    <x v="1"/>
    <s v="No Mutation"/>
    <s v="Yes"/>
    <s v="No"/>
    <s v="Yes"/>
    <s v="Yes"/>
    <s v="Yes"/>
    <s v="Yes"/>
    <s v="No"/>
    <s v="No"/>
    <s v="Yes"/>
    <s v="No"/>
    <x v="0"/>
    <s v="Adenocarcinoma"/>
    <x v="3"/>
    <n v="3.8"/>
    <s v="No"/>
    <s v="CT Scan"/>
    <s v="Surgery + Chemotherapy"/>
    <n v="36"/>
    <s v="No"/>
  </r>
  <r>
    <s v="LC-1299"/>
    <n v="2020"/>
    <d v="2020-07-14T00:00:00"/>
    <s v="Europe"/>
    <s v="Turkey"/>
    <n v="55"/>
    <x v="1"/>
    <x v="0"/>
    <n v="31"/>
    <n v="27"/>
    <x v="0"/>
    <x v="0"/>
    <x v="0"/>
    <x v="2"/>
    <x v="2"/>
    <n v="27.4"/>
    <x v="1"/>
    <s v="No"/>
    <x v="0"/>
    <x v="0"/>
    <x v="0"/>
    <s v="No Mutation"/>
    <s v="Yes"/>
    <s v="No"/>
    <s v="Yes"/>
    <s v="No"/>
    <s v="No"/>
    <s v="Yes"/>
    <s v="Yes"/>
    <s v="Yes"/>
    <s v="No"/>
    <s v="No"/>
    <x v="0"/>
    <s v="Squamous Cell"/>
    <x v="3"/>
    <n v="4.5999999999999996"/>
    <s v="No"/>
    <s v="CT Scan"/>
    <s v="Surgery"/>
    <n v="55"/>
    <s v="Yes"/>
  </r>
  <r>
    <s v="LC-1300"/>
    <n v="2025"/>
    <d v="2025-02-21T00:00:00"/>
    <s v="South-East Asia"/>
    <s v="Timor-Leste"/>
    <n v="47"/>
    <x v="0"/>
    <x v="2"/>
    <n v="0"/>
    <n v="0"/>
    <x v="1"/>
    <x v="0"/>
    <x v="0"/>
    <x v="1"/>
    <x v="0"/>
    <n v="26.6"/>
    <x v="0"/>
    <s v="No"/>
    <x v="0"/>
    <x v="0"/>
    <x v="0"/>
    <s v="BRAF"/>
    <s v="No"/>
    <s v="Yes"/>
    <s v="No"/>
    <s v="No"/>
    <s v="No"/>
    <s v="No"/>
    <s v="No"/>
    <s v="No"/>
    <s v="No"/>
    <s v="No"/>
    <x v="0"/>
    <s v="Squamous Cell"/>
    <x v="3"/>
    <n v="5.5"/>
    <s v="No"/>
    <s v="CT Scan"/>
    <s v="Surgery + Chemotherapy"/>
    <n v="45"/>
    <s v="No"/>
  </r>
  <r>
    <s v="LC-1301"/>
    <n v="2015"/>
    <d v="2015-09-20T00:00:00"/>
    <s v="Western Pacific"/>
    <s v="South Korea"/>
    <n v="52"/>
    <x v="1"/>
    <x v="0"/>
    <n v="19"/>
    <n v="25"/>
    <x v="0"/>
    <x v="0"/>
    <x v="0"/>
    <x v="1"/>
    <x v="1"/>
    <n v="31.4"/>
    <x v="0"/>
    <s v="No"/>
    <x v="0"/>
    <x v="0"/>
    <x v="0"/>
    <s v="KRAS"/>
    <s v="No"/>
    <s v="Yes"/>
    <s v="No"/>
    <s v="No"/>
    <s v="Yes"/>
    <s v="Yes"/>
    <s v="No"/>
    <s v="No"/>
    <s v="No"/>
    <s v="No"/>
    <x v="1"/>
    <s v="Not Applicable"/>
    <x v="0"/>
    <n v="4.5"/>
    <s v="Yes"/>
    <s v="CT Scan"/>
    <s v="Targeted Therapy"/>
    <n v="6"/>
    <s v="No"/>
  </r>
  <r>
    <s v="LC-1302"/>
    <n v="2024"/>
    <d v="2024-05-03T00:00:00"/>
    <s v="Europe"/>
    <s v="Spain"/>
    <n v="54"/>
    <x v="0"/>
    <x v="1"/>
    <n v="11"/>
    <n v="15"/>
    <x v="1"/>
    <x v="0"/>
    <x v="0"/>
    <x v="0"/>
    <x v="2"/>
    <n v="27.5"/>
    <x v="2"/>
    <s v="Yes"/>
    <x v="0"/>
    <x v="0"/>
    <x v="0"/>
    <s v="No Mutation"/>
    <s v="Yes"/>
    <s v="No"/>
    <s v="No"/>
    <s v="No"/>
    <s v="No"/>
    <s v="No"/>
    <s v="No"/>
    <s v="Yes"/>
    <s v="Yes"/>
    <s v="No"/>
    <x v="0"/>
    <s v="Squamous Cell"/>
    <x v="2"/>
    <n v="5.8"/>
    <s v="No"/>
    <s v="PET Scan"/>
    <s v="Immunotherapy"/>
    <n v="27"/>
    <s v="Yes"/>
  </r>
  <r>
    <s v="LC-1303"/>
    <n v="2021"/>
    <d v="2021-02-17T00:00:00"/>
    <s v="Europe"/>
    <s v="Italy"/>
    <n v="68"/>
    <x v="1"/>
    <x v="1"/>
    <n v="3"/>
    <n v="23"/>
    <x v="1"/>
    <x v="0"/>
    <x v="0"/>
    <x v="0"/>
    <x v="1"/>
    <n v="29.5"/>
    <x v="1"/>
    <s v="No"/>
    <x v="0"/>
    <x v="0"/>
    <x v="0"/>
    <s v="No Mutation"/>
    <s v="Yes"/>
    <s v="Yes"/>
    <s v="No"/>
    <s v="Yes"/>
    <s v="Yes"/>
    <s v="Yes"/>
    <s v="Yes"/>
    <s v="Yes"/>
    <s v="No"/>
    <s v="No"/>
    <x v="0"/>
    <s v="Adenocarcinoma"/>
    <x v="2"/>
    <n v="5.2"/>
    <s v="No"/>
    <s v="PET Scan"/>
    <s v="Chemotherapy"/>
    <n v="19"/>
    <s v="No"/>
  </r>
  <r>
    <s v="LC-1304"/>
    <n v="2023"/>
    <d v="2023-03-18T00:00:00"/>
    <s v="Europe"/>
    <s v="Russia"/>
    <n v="57"/>
    <x v="1"/>
    <x v="2"/>
    <n v="0"/>
    <n v="0"/>
    <x v="0"/>
    <x v="0"/>
    <x v="0"/>
    <x v="0"/>
    <x v="0"/>
    <n v="28.9"/>
    <x v="0"/>
    <s v="No"/>
    <x v="0"/>
    <x v="0"/>
    <x v="0"/>
    <s v="KRAS"/>
    <s v="No"/>
    <s v="Yes"/>
    <s v="No"/>
    <s v="No"/>
    <s v="No"/>
    <s v="No"/>
    <s v="No"/>
    <s v="No"/>
    <s v="No"/>
    <s v="No"/>
    <x v="0"/>
    <s v="Large Cell"/>
    <x v="1"/>
    <n v="3.1"/>
    <s v="No"/>
    <s v="Chest X-Ray"/>
    <s v="Surgery"/>
    <n v="72"/>
    <s v="Yes"/>
  </r>
  <r>
    <s v="LC-1305"/>
    <n v="2017"/>
    <d v="2017-07-19T00:00:00"/>
    <s v="Americas"/>
    <s v="Canada"/>
    <n v="52"/>
    <x v="1"/>
    <x v="0"/>
    <n v="24"/>
    <n v="29"/>
    <x v="1"/>
    <x v="0"/>
    <x v="1"/>
    <x v="1"/>
    <x v="0"/>
    <n v="20.7"/>
    <x v="0"/>
    <s v="Yes"/>
    <x v="1"/>
    <x v="0"/>
    <x v="0"/>
    <s v="No Mutation"/>
    <s v="No"/>
    <s v="No"/>
    <s v="No"/>
    <s v="No"/>
    <s v="No"/>
    <s v="No"/>
    <s v="Yes"/>
    <s v="No"/>
    <s v="No"/>
    <s v="No"/>
    <x v="1"/>
    <s v="Not Applicable"/>
    <x v="0"/>
    <n v="6.4"/>
    <s v="Yes"/>
    <s v="LDCT Screening"/>
    <s v="Palliative Care"/>
    <n v="12"/>
    <s v="No"/>
  </r>
  <r>
    <s v="LC-1306"/>
    <n v="2023"/>
    <d v="2023-05-23T00:00:00"/>
    <s v="Europe"/>
    <s v="Turkey"/>
    <n v="53"/>
    <x v="0"/>
    <x v="1"/>
    <n v="9"/>
    <n v="2"/>
    <x v="1"/>
    <x v="0"/>
    <x v="0"/>
    <x v="1"/>
    <x v="2"/>
    <n v="28.1"/>
    <x v="0"/>
    <s v="No"/>
    <x v="1"/>
    <x v="0"/>
    <x v="0"/>
    <s v="KRAS"/>
    <s v="No"/>
    <s v="No"/>
    <s v="No"/>
    <s v="No"/>
    <s v="Yes"/>
    <s v="Yes"/>
    <s v="Yes"/>
    <s v="No"/>
    <s v="No"/>
    <s v="No"/>
    <x v="0"/>
    <s v="Large Cell"/>
    <x v="3"/>
    <n v="6.4"/>
    <s v="No"/>
    <s v="Bronchoscopy"/>
    <s v="Surgery + Chemotherapy"/>
    <n v="29"/>
    <s v="No"/>
  </r>
  <r>
    <s v="LC-1307"/>
    <n v="2020"/>
    <d v="2020-12-28T00:00:00"/>
    <s v="Western Pacific"/>
    <s v="Australia"/>
    <n v="51"/>
    <x v="0"/>
    <x v="0"/>
    <n v="12"/>
    <n v="30"/>
    <x v="1"/>
    <x v="0"/>
    <x v="0"/>
    <x v="1"/>
    <x v="2"/>
    <n v="23.3"/>
    <x v="2"/>
    <s v="No"/>
    <x v="0"/>
    <x v="0"/>
    <x v="0"/>
    <s v="No Mutation"/>
    <s v="Yes"/>
    <s v="No"/>
    <s v="No"/>
    <s v="No"/>
    <s v="No"/>
    <s v="No"/>
    <s v="Yes"/>
    <s v="No"/>
    <s v="No"/>
    <s v="No"/>
    <x v="0"/>
    <s v="Adenocarcinoma"/>
    <x v="1"/>
    <n v="0.7"/>
    <s v="No"/>
    <s v="LDCT Screening"/>
    <s v="Targeted Therapy"/>
    <n v="26"/>
    <s v="Yes"/>
  </r>
  <r>
    <s v="LC-1308"/>
    <n v="2021"/>
    <d v="2021-01-08T00:00:00"/>
    <s v="Europe"/>
    <s v="Germany"/>
    <n v="70"/>
    <x v="0"/>
    <x v="2"/>
    <n v="0"/>
    <n v="0"/>
    <x v="0"/>
    <x v="0"/>
    <x v="1"/>
    <x v="0"/>
    <x v="0"/>
    <n v="27.4"/>
    <x v="1"/>
    <s v="No"/>
    <x v="0"/>
    <x v="0"/>
    <x v="0"/>
    <s v="ALK"/>
    <s v="No"/>
    <s v="No"/>
    <s v="No"/>
    <s v="Yes"/>
    <s v="Yes"/>
    <s v="No"/>
    <s v="No"/>
    <s v="No"/>
    <s v="No"/>
    <s v="No"/>
    <x v="0"/>
    <s v="Adenocarcinoma"/>
    <x v="1"/>
    <n v="2.5"/>
    <s v="No"/>
    <s v="CT Scan"/>
    <s v="Surgery"/>
    <n v="70"/>
    <s v="Yes"/>
  </r>
  <r>
    <s v="LC-1309"/>
    <n v="2024"/>
    <d v="2024-07-04T00:00:00"/>
    <s v="Europe"/>
    <s v="Poland"/>
    <n v="44"/>
    <x v="1"/>
    <x v="2"/>
    <n v="0"/>
    <n v="0"/>
    <x v="1"/>
    <x v="1"/>
    <x v="0"/>
    <x v="2"/>
    <x v="2"/>
    <n v="23.1"/>
    <x v="1"/>
    <s v="No"/>
    <x v="0"/>
    <x v="0"/>
    <x v="0"/>
    <s v="EGFR"/>
    <s v="Yes"/>
    <s v="No"/>
    <s v="Yes"/>
    <s v="No"/>
    <s v="No"/>
    <s v="Yes"/>
    <s v="No"/>
    <s v="No"/>
    <s v="No"/>
    <s v="No"/>
    <x v="0"/>
    <s v="Adenocarcinoma"/>
    <x v="1"/>
    <n v="2"/>
    <s v="No"/>
    <s v="CT Scan"/>
    <s v="Radiotherapy"/>
    <n v="46"/>
    <s v="No"/>
  </r>
  <r>
    <s v="LC-1310"/>
    <n v="2022"/>
    <d v="2022-10-20T00:00:00"/>
    <s v="Eastern Mediterranean"/>
    <s v="Pakistan"/>
    <n v="57"/>
    <x v="1"/>
    <x v="2"/>
    <n v="0"/>
    <n v="0"/>
    <x v="1"/>
    <x v="0"/>
    <x v="0"/>
    <x v="1"/>
    <x v="0"/>
    <n v="32.799999999999997"/>
    <x v="0"/>
    <s v="No"/>
    <x v="0"/>
    <x v="0"/>
    <x v="1"/>
    <s v="No Mutation"/>
    <s v="Yes"/>
    <s v="No"/>
    <s v="No"/>
    <s v="No"/>
    <s v="No"/>
    <s v="No"/>
    <s v="Yes"/>
    <s v="No"/>
    <s v="No"/>
    <s v="No"/>
    <x v="0"/>
    <s v="Squamous Cell"/>
    <x v="0"/>
    <n v="5"/>
    <s v="Yes"/>
    <s v="PET Scan"/>
    <s v="Radiotherapy"/>
    <n v="10"/>
    <s v="Yes"/>
  </r>
  <r>
    <s v="LC-1311"/>
    <n v="2018"/>
    <d v="2018-05-22T00:00:00"/>
    <s v="Eastern Mediterranean"/>
    <s v="Saudi Arabia"/>
    <n v="59"/>
    <x v="1"/>
    <x v="2"/>
    <n v="0"/>
    <n v="0"/>
    <x v="0"/>
    <x v="0"/>
    <x v="0"/>
    <x v="0"/>
    <x v="0"/>
    <n v="24.2"/>
    <x v="1"/>
    <s v="No"/>
    <x v="0"/>
    <x v="0"/>
    <x v="0"/>
    <s v="No Mutation"/>
    <s v="Yes"/>
    <s v="No"/>
    <s v="Yes"/>
    <s v="No"/>
    <s v="Yes"/>
    <s v="No"/>
    <s v="No"/>
    <s v="No"/>
    <s v="Yes"/>
    <s v="No"/>
    <x v="0"/>
    <s v="Adenocarcinoma"/>
    <x v="1"/>
    <n v="2.4"/>
    <s v="No"/>
    <s v="LDCT Screening"/>
    <s v="Surgery + Chemotherapy"/>
    <n v="60"/>
    <s v="Yes"/>
  </r>
  <r>
    <s v="LC-1312"/>
    <n v="2020"/>
    <d v="2020-02-01T00:00:00"/>
    <s v="Western Pacific"/>
    <s v="South Korea"/>
    <n v="77"/>
    <x v="0"/>
    <x v="2"/>
    <n v="0"/>
    <n v="0"/>
    <x v="1"/>
    <x v="1"/>
    <x v="0"/>
    <x v="2"/>
    <x v="2"/>
    <n v="27.8"/>
    <x v="1"/>
    <s v="No"/>
    <x v="0"/>
    <x v="0"/>
    <x v="0"/>
    <s v="EGFR"/>
    <s v="No"/>
    <s v="Yes"/>
    <s v="No"/>
    <s v="No"/>
    <s v="Yes"/>
    <s v="No"/>
    <s v="No"/>
    <s v="No"/>
    <s v="No"/>
    <s v="No"/>
    <x v="0"/>
    <s v="Adenocarcinoma"/>
    <x v="0"/>
    <n v="7.7"/>
    <s v="Yes"/>
    <s v="CT Scan"/>
    <s v="Immunotherapy"/>
    <n v="1"/>
    <s v="No"/>
  </r>
  <r>
    <s v="LC-1313"/>
    <n v="2024"/>
    <d v="2024-12-01T00:00:00"/>
    <s v="Europe"/>
    <s v="France"/>
    <n v="70"/>
    <x v="1"/>
    <x v="0"/>
    <n v="33"/>
    <n v="48"/>
    <x v="0"/>
    <x v="0"/>
    <x v="0"/>
    <x v="2"/>
    <x v="0"/>
    <n v="25.9"/>
    <x v="2"/>
    <s v="No"/>
    <x v="0"/>
    <x v="0"/>
    <x v="1"/>
    <s v="No Mutation"/>
    <s v="Yes"/>
    <s v="Yes"/>
    <s v="No"/>
    <s v="Yes"/>
    <s v="Yes"/>
    <s v="No"/>
    <s v="Yes"/>
    <s v="No"/>
    <s v="No"/>
    <s v="No"/>
    <x v="0"/>
    <s v="Adenocarcinoma"/>
    <x v="0"/>
    <n v="6.4"/>
    <s v="Yes"/>
    <s v="Biopsy"/>
    <s v="Targeted Therapy"/>
    <n v="4"/>
    <s v="No"/>
  </r>
  <r>
    <s v="LC-1314"/>
    <n v="2016"/>
    <d v="2016-08-12T00:00:00"/>
    <s v="Western Pacific"/>
    <s v="Singapore"/>
    <n v="57"/>
    <x v="1"/>
    <x v="2"/>
    <n v="0"/>
    <n v="0"/>
    <x v="1"/>
    <x v="0"/>
    <x v="0"/>
    <x v="2"/>
    <x v="2"/>
    <n v="22.9"/>
    <x v="1"/>
    <s v="No"/>
    <x v="0"/>
    <x v="0"/>
    <x v="0"/>
    <s v="KRAS"/>
    <s v="No"/>
    <s v="Yes"/>
    <s v="No"/>
    <s v="No"/>
    <s v="Yes"/>
    <s v="No"/>
    <s v="No"/>
    <s v="Yes"/>
    <s v="No"/>
    <s v="No"/>
    <x v="0"/>
    <s v="Squamous Cell"/>
    <x v="2"/>
    <n v="7.5"/>
    <s v="No"/>
    <s v="Bronchoscopy"/>
    <s v="Surgery + Chemotherapy"/>
    <n v="10"/>
    <s v="No"/>
  </r>
  <r>
    <s v="LC-1315"/>
    <n v="2022"/>
    <d v="2022-09-26T00:00:00"/>
    <s v="South-East Asia"/>
    <s v="Myanmar"/>
    <n v="81"/>
    <x v="0"/>
    <x v="2"/>
    <n v="0"/>
    <n v="0"/>
    <x v="1"/>
    <x v="0"/>
    <x v="0"/>
    <x v="0"/>
    <x v="2"/>
    <n v="27.4"/>
    <x v="1"/>
    <s v="No"/>
    <x v="0"/>
    <x v="0"/>
    <x v="0"/>
    <s v="No Mutation"/>
    <s v="No"/>
    <s v="Yes"/>
    <s v="No"/>
    <s v="No"/>
    <s v="Yes"/>
    <s v="No"/>
    <s v="No"/>
    <s v="Yes"/>
    <s v="No"/>
    <s v="No"/>
    <x v="0"/>
    <s v="Squamous Cell"/>
    <x v="0"/>
    <n v="8.1"/>
    <s v="Yes"/>
    <s v="CT Scan"/>
    <s v="Immunotherapy"/>
    <n v="14"/>
    <s v="No"/>
  </r>
  <r>
    <s v="LC-1316"/>
    <n v="2015"/>
    <d v="2015-03-12T00:00:00"/>
    <s v="Eastern Mediterranean"/>
    <s v="Saudi Arabia"/>
    <n v="58"/>
    <x v="1"/>
    <x v="2"/>
    <n v="0"/>
    <n v="0"/>
    <x v="0"/>
    <x v="0"/>
    <x v="0"/>
    <x v="1"/>
    <x v="2"/>
    <n v="28.1"/>
    <x v="0"/>
    <s v="No"/>
    <x v="0"/>
    <x v="1"/>
    <x v="0"/>
    <s v="KRAS"/>
    <s v="No"/>
    <s v="No"/>
    <s v="Yes"/>
    <s v="No"/>
    <s v="No"/>
    <s v="No"/>
    <s v="Yes"/>
    <s v="No"/>
    <s v="No"/>
    <s v="Yes"/>
    <x v="0"/>
    <s v="Adenocarcinoma"/>
    <x v="0"/>
    <n v="5.0999999999999996"/>
    <s v="Yes"/>
    <s v="Chest X-Ray"/>
    <s v="Chemo + Radiation"/>
    <n v="2"/>
    <s v="No"/>
  </r>
  <r>
    <s v="LC-1317"/>
    <n v="2019"/>
    <d v="2019-12-25T00:00:00"/>
    <s v="Western Pacific"/>
    <s v="Philippines"/>
    <n v="70"/>
    <x v="1"/>
    <x v="2"/>
    <n v="0"/>
    <n v="0"/>
    <x v="0"/>
    <x v="0"/>
    <x v="0"/>
    <x v="2"/>
    <x v="0"/>
    <n v="32.5"/>
    <x v="0"/>
    <s v="No"/>
    <x v="0"/>
    <x v="0"/>
    <x v="1"/>
    <s v="No Mutation"/>
    <s v="No"/>
    <s v="No"/>
    <s v="No"/>
    <s v="No"/>
    <s v="Yes"/>
    <s v="No"/>
    <s v="No"/>
    <s v="Yes"/>
    <s v="No"/>
    <s v="No"/>
    <x v="0"/>
    <s v="Large Cell"/>
    <x v="1"/>
    <n v="1"/>
    <s v="No"/>
    <s v="CT Scan"/>
    <s v="Surgery + Chemotherapy"/>
    <n v="40"/>
    <s v="Yes"/>
  </r>
  <r>
    <s v="LC-1318"/>
    <n v="2016"/>
    <d v="2016-12-04T00:00:00"/>
    <s v="Africa"/>
    <s v="Nigeria"/>
    <n v="50"/>
    <x v="0"/>
    <x v="2"/>
    <n v="0"/>
    <n v="0"/>
    <x v="0"/>
    <x v="1"/>
    <x v="0"/>
    <x v="1"/>
    <x v="0"/>
    <n v="25.4"/>
    <x v="2"/>
    <s v="No"/>
    <x v="0"/>
    <x v="0"/>
    <x v="0"/>
    <s v="EGFR"/>
    <s v="No"/>
    <s v="No"/>
    <s v="No"/>
    <s v="No"/>
    <s v="Yes"/>
    <s v="No"/>
    <s v="No"/>
    <s v="Yes"/>
    <s v="No"/>
    <s v="No"/>
    <x v="0"/>
    <s v="Adenocarcinoma"/>
    <x v="1"/>
    <n v="2.2000000000000002"/>
    <s v="No"/>
    <s v="Bronchoscopy"/>
    <s v="Surgery"/>
    <n v="91"/>
    <s v="Yes"/>
  </r>
  <r>
    <s v="LC-1319"/>
    <n v="2023"/>
    <d v="2023-06-26T00:00:00"/>
    <s v="Eastern Mediterranean"/>
    <s v="Lebanon"/>
    <n v="63"/>
    <x v="1"/>
    <x v="2"/>
    <n v="0"/>
    <n v="0"/>
    <x v="0"/>
    <x v="0"/>
    <x v="0"/>
    <x v="0"/>
    <x v="2"/>
    <n v="25.6"/>
    <x v="1"/>
    <s v="No"/>
    <x v="0"/>
    <x v="0"/>
    <x v="0"/>
    <s v="ALK"/>
    <s v="No"/>
    <s v="No"/>
    <s v="No"/>
    <s v="No"/>
    <s v="No"/>
    <s v="No"/>
    <s v="No"/>
    <s v="Yes"/>
    <s v="No"/>
    <s v="Yes"/>
    <x v="0"/>
    <s v="Large Cell"/>
    <x v="1"/>
    <n v="3.1"/>
    <s v="No"/>
    <s v="CT Scan"/>
    <s v="Targeted Therapy"/>
    <n v="57"/>
    <s v="Yes"/>
  </r>
  <r>
    <s v="LC-1320"/>
    <n v="2016"/>
    <d v="2016-05-17T00:00:00"/>
    <s v="South-East Asia"/>
    <s v="Bangladesh"/>
    <n v="48"/>
    <x v="1"/>
    <x v="0"/>
    <n v="17"/>
    <n v="11"/>
    <x v="1"/>
    <x v="1"/>
    <x v="0"/>
    <x v="1"/>
    <x v="0"/>
    <n v="20.399999999999999"/>
    <x v="0"/>
    <s v="No"/>
    <x v="0"/>
    <x v="1"/>
    <x v="1"/>
    <s v="KRAS"/>
    <s v="Yes"/>
    <s v="No"/>
    <s v="No"/>
    <s v="No"/>
    <s v="No"/>
    <s v="Yes"/>
    <s v="No"/>
    <s v="No"/>
    <s v="No"/>
    <s v="No"/>
    <x v="0"/>
    <s v="Squamous Cell"/>
    <x v="2"/>
    <n v="4.0999999999999996"/>
    <s v="Yes"/>
    <s v="CT Scan"/>
    <s v="Chemotherapy"/>
    <n v="12"/>
    <s v="No"/>
  </r>
  <r>
    <s v="LC-1321"/>
    <n v="2023"/>
    <d v="2023-05-23T00:00:00"/>
    <s v="Western Pacific"/>
    <s v="Mongolia"/>
    <n v="53"/>
    <x v="1"/>
    <x v="1"/>
    <n v="16"/>
    <n v="15"/>
    <x v="0"/>
    <x v="0"/>
    <x v="0"/>
    <x v="0"/>
    <x v="2"/>
    <n v="30.1"/>
    <x v="0"/>
    <s v="No"/>
    <x v="0"/>
    <x v="0"/>
    <x v="1"/>
    <s v="KRAS"/>
    <s v="No"/>
    <s v="Yes"/>
    <s v="No"/>
    <s v="Yes"/>
    <s v="Yes"/>
    <s v="Yes"/>
    <s v="No"/>
    <s v="Yes"/>
    <s v="No"/>
    <s v="No"/>
    <x v="0"/>
    <s v="Squamous Cell"/>
    <x v="3"/>
    <n v="4.4000000000000004"/>
    <s v="No"/>
    <s v="CT Scan"/>
    <s v="Surgery"/>
    <n v="26"/>
    <s v="No"/>
  </r>
  <r>
    <s v="LC-1322"/>
    <n v="2020"/>
    <d v="2020-11-03T00:00:00"/>
    <s v="Western Pacific"/>
    <s v="New Zealand"/>
    <n v="64"/>
    <x v="0"/>
    <x v="2"/>
    <n v="0"/>
    <n v="0"/>
    <x v="1"/>
    <x v="0"/>
    <x v="0"/>
    <x v="1"/>
    <x v="1"/>
    <n v="21.2"/>
    <x v="1"/>
    <s v="No"/>
    <x v="0"/>
    <x v="0"/>
    <x v="0"/>
    <s v="KRAS"/>
    <s v="Yes"/>
    <s v="No"/>
    <s v="No"/>
    <s v="Yes"/>
    <s v="No"/>
    <s v="No"/>
    <s v="No"/>
    <s v="No"/>
    <s v="No"/>
    <s v="No"/>
    <x v="0"/>
    <s v="Adenocarcinoma"/>
    <x v="3"/>
    <n v="3.1"/>
    <s v="No"/>
    <s v="Biopsy"/>
    <s v="Immunotherapy"/>
    <n v="33"/>
    <s v="No"/>
  </r>
  <r>
    <s v="LC-1323"/>
    <n v="2025"/>
    <d v="2025-08-17T00:00:00"/>
    <s v="Africa"/>
    <s v="Ghana"/>
    <n v="63"/>
    <x v="0"/>
    <x v="2"/>
    <n v="0"/>
    <n v="0"/>
    <x v="0"/>
    <x v="0"/>
    <x v="0"/>
    <x v="0"/>
    <x v="2"/>
    <n v="28.6"/>
    <x v="1"/>
    <s v="No"/>
    <x v="0"/>
    <x v="0"/>
    <x v="1"/>
    <s v="ROS1"/>
    <s v="No"/>
    <s v="No"/>
    <s v="No"/>
    <s v="No"/>
    <s v="Yes"/>
    <s v="No"/>
    <s v="No"/>
    <s v="No"/>
    <s v="Yes"/>
    <s v="No"/>
    <x v="0"/>
    <s v="Adenocarcinoma"/>
    <x v="1"/>
    <n v="1.4"/>
    <s v="No"/>
    <s v="CT Scan"/>
    <s v="Surgery"/>
    <n v="49"/>
    <s v="Yes"/>
  </r>
  <r>
    <s v="LC-1324"/>
    <n v="2019"/>
    <d v="2019-01-16T00:00:00"/>
    <s v="Western Pacific"/>
    <s v="Mongolia"/>
    <n v="56"/>
    <x v="0"/>
    <x v="2"/>
    <n v="0"/>
    <n v="0"/>
    <x v="1"/>
    <x v="0"/>
    <x v="0"/>
    <x v="1"/>
    <x v="1"/>
    <n v="24.8"/>
    <x v="2"/>
    <s v="No"/>
    <x v="0"/>
    <x v="0"/>
    <x v="0"/>
    <s v="BRAF"/>
    <s v="No"/>
    <s v="No"/>
    <s v="No"/>
    <s v="No"/>
    <s v="No"/>
    <s v="Yes"/>
    <s v="Yes"/>
    <s v="No"/>
    <s v="No"/>
    <s v="No"/>
    <x v="0"/>
    <s v="Adenocarcinoma"/>
    <x v="1"/>
    <n v="0.5"/>
    <s v="No"/>
    <s v="Chest X-Ray"/>
    <s v="Surgery"/>
    <n v="60"/>
    <s v="Yes"/>
  </r>
  <r>
    <s v="LC-1325"/>
    <n v="2019"/>
    <d v="2019-03-12T00:00:00"/>
    <s v="Americas"/>
    <s v="Brazil"/>
    <n v="79"/>
    <x v="0"/>
    <x v="2"/>
    <n v="0"/>
    <n v="0"/>
    <x v="1"/>
    <x v="0"/>
    <x v="0"/>
    <x v="2"/>
    <x v="2"/>
    <n v="20.5"/>
    <x v="0"/>
    <s v="No"/>
    <x v="0"/>
    <x v="1"/>
    <x v="0"/>
    <s v="ALK"/>
    <s v="No"/>
    <s v="Yes"/>
    <s v="No"/>
    <s v="No"/>
    <s v="Yes"/>
    <s v="Yes"/>
    <s v="Yes"/>
    <s v="Yes"/>
    <s v="No"/>
    <s v="No"/>
    <x v="0"/>
    <s v="Adenocarcinoma"/>
    <x v="3"/>
    <n v="5"/>
    <s v="No"/>
    <s v="Biopsy"/>
    <s v="Surgery + Chemotherapy"/>
    <n v="36"/>
    <s v="No"/>
  </r>
  <r>
    <s v="LC-1326"/>
    <n v="2022"/>
    <d v="2022-05-25T00:00:00"/>
    <s v="South-East Asia"/>
    <s v="Bangladesh"/>
    <n v="61"/>
    <x v="0"/>
    <x v="2"/>
    <n v="0"/>
    <n v="0"/>
    <x v="1"/>
    <x v="1"/>
    <x v="0"/>
    <x v="0"/>
    <x v="2"/>
    <n v="29.9"/>
    <x v="0"/>
    <s v="No"/>
    <x v="0"/>
    <x v="0"/>
    <x v="0"/>
    <s v="TP53"/>
    <s v="No"/>
    <s v="No"/>
    <s v="No"/>
    <s v="No"/>
    <s v="Yes"/>
    <s v="No"/>
    <s v="No"/>
    <s v="Yes"/>
    <s v="Yes"/>
    <s v="No"/>
    <x v="0"/>
    <s v="Adenocarcinoma"/>
    <x v="3"/>
    <n v="2"/>
    <s v="No"/>
    <s v="PET Scan"/>
    <s v="Chemotherapy"/>
    <n v="43"/>
    <s v="No"/>
  </r>
  <r>
    <s v="LC-1327"/>
    <n v="2025"/>
    <d v="2025-10-22T00:00:00"/>
    <s v="Americas"/>
    <s v="Canada"/>
    <n v="75"/>
    <x v="1"/>
    <x v="2"/>
    <n v="0"/>
    <n v="0"/>
    <x v="0"/>
    <x v="0"/>
    <x v="0"/>
    <x v="2"/>
    <x v="0"/>
    <n v="30"/>
    <x v="1"/>
    <s v="No"/>
    <x v="0"/>
    <x v="0"/>
    <x v="0"/>
    <s v="No Mutation"/>
    <s v="Yes"/>
    <s v="Yes"/>
    <s v="Yes"/>
    <s v="No"/>
    <s v="Yes"/>
    <s v="No"/>
    <s v="No"/>
    <s v="No"/>
    <s v="Yes"/>
    <s v="Yes"/>
    <x v="0"/>
    <s v="Squamous Cell"/>
    <x v="3"/>
    <n v="2.6"/>
    <s v="No"/>
    <s v="PET Scan"/>
    <s v="Targeted Therapy"/>
    <n v="28"/>
    <s v="No"/>
  </r>
  <r>
    <s v="LC-1328"/>
    <n v="2025"/>
    <d v="2025-04-24T00:00:00"/>
    <s v="Europe"/>
    <s v="Netherlands"/>
    <n v="64"/>
    <x v="1"/>
    <x v="2"/>
    <n v="0"/>
    <n v="0"/>
    <x v="1"/>
    <x v="0"/>
    <x v="0"/>
    <x v="2"/>
    <x v="0"/>
    <n v="21.3"/>
    <x v="1"/>
    <s v="No"/>
    <x v="0"/>
    <x v="0"/>
    <x v="0"/>
    <s v="KRAS"/>
    <s v="Yes"/>
    <s v="No"/>
    <s v="No"/>
    <s v="No"/>
    <s v="Yes"/>
    <s v="Yes"/>
    <s v="No"/>
    <s v="No"/>
    <s v="No"/>
    <s v="No"/>
    <x v="0"/>
    <s v="Large Cell"/>
    <x v="0"/>
    <n v="10.1"/>
    <s v="Yes"/>
    <s v="PET Scan"/>
    <s v="Chemotherapy"/>
    <n v="5"/>
    <s v="No"/>
  </r>
  <r>
    <s v="LC-1329"/>
    <n v="2016"/>
    <d v="2016-01-02T00:00:00"/>
    <s v="Eastern Mediterranean"/>
    <s v="Pakistan"/>
    <n v="81"/>
    <x v="1"/>
    <x v="2"/>
    <n v="0"/>
    <n v="0"/>
    <x v="0"/>
    <x v="0"/>
    <x v="0"/>
    <x v="1"/>
    <x v="2"/>
    <n v="23.7"/>
    <x v="0"/>
    <s v="No"/>
    <x v="0"/>
    <x v="0"/>
    <x v="0"/>
    <s v="EGFR"/>
    <s v="No"/>
    <s v="No"/>
    <s v="No"/>
    <s v="Yes"/>
    <s v="Yes"/>
    <s v="No"/>
    <s v="No"/>
    <s v="No"/>
    <s v="No"/>
    <s v="No"/>
    <x v="0"/>
    <s v="Adenocarcinoma"/>
    <x v="3"/>
    <n v="5.3"/>
    <s v="No"/>
    <s v="PET Scan"/>
    <s v="Surgery"/>
    <n v="52"/>
    <s v="Yes"/>
  </r>
  <r>
    <s v="LC-1330"/>
    <n v="2021"/>
    <d v="2021-04-02T00:00:00"/>
    <s v="Europe"/>
    <s v="Poland"/>
    <n v="79"/>
    <x v="1"/>
    <x v="2"/>
    <n v="0"/>
    <n v="0"/>
    <x v="0"/>
    <x v="0"/>
    <x v="0"/>
    <x v="1"/>
    <x v="2"/>
    <n v="24"/>
    <x v="2"/>
    <s v="No"/>
    <x v="0"/>
    <x v="0"/>
    <x v="0"/>
    <s v="ALK"/>
    <s v="Yes"/>
    <s v="No"/>
    <s v="Yes"/>
    <s v="No"/>
    <s v="Yes"/>
    <s v="No"/>
    <s v="No"/>
    <s v="No"/>
    <s v="No"/>
    <s v="No"/>
    <x v="0"/>
    <s v="Large Cell"/>
    <x v="1"/>
    <n v="3.1"/>
    <s v="No"/>
    <s v="LDCT Screening"/>
    <s v="Radiotherapy"/>
    <n v="61"/>
    <s v="No"/>
  </r>
  <r>
    <s v="LC-1331"/>
    <n v="2025"/>
    <d v="2025-06-13T00:00:00"/>
    <s v="South-East Asia"/>
    <s v="Indonesia"/>
    <n v="60"/>
    <x v="0"/>
    <x v="2"/>
    <n v="0"/>
    <n v="0"/>
    <x v="1"/>
    <x v="0"/>
    <x v="0"/>
    <x v="1"/>
    <x v="0"/>
    <n v="26.9"/>
    <x v="1"/>
    <s v="No"/>
    <x v="0"/>
    <x v="1"/>
    <x v="0"/>
    <s v="ROS1"/>
    <s v="Yes"/>
    <s v="No"/>
    <s v="Yes"/>
    <s v="No"/>
    <s v="No"/>
    <s v="No"/>
    <s v="No"/>
    <s v="No"/>
    <s v="No"/>
    <s v="Yes"/>
    <x v="0"/>
    <s v="Adenocarcinoma"/>
    <x v="3"/>
    <n v="4.2"/>
    <s v="No"/>
    <s v="PET Scan"/>
    <s v="Surgery + Chemotherapy"/>
    <n v="49"/>
    <s v="Yes"/>
  </r>
  <r>
    <s v="LC-1332"/>
    <n v="2023"/>
    <d v="2023-03-28T00:00:00"/>
    <s v="Africa"/>
    <s v="Nigeria"/>
    <n v="47"/>
    <x v="0"/>
    <x v="2"/>
    <n v="0"/>
    <n v="0"/>
    <x v="0"/>
    <x v="0"/>
    <x v="0"/>
    <x v="0"/>
    <x v="2"/>
    <n v="21"/>
    <x v="0"/>
    <s v="No"/>
    <x v="0"/>
    <x v="1"/>
    <x v="0"/>
    <s v="EGFR"/>
    <s v="Yes"/>
    <s v="No"/>
    <s v="No"/>
    <s v="No"/>
    <s v="Yes"/>
    <s v="No"/>
    <s v="No"/>
    <s v="No"/>
    <s v="No"/>
    <s v="No"/>
    <x v="0"/>
    <s v="Adenocarcinoma"/>
    <x v="1"/>
    <n v="2.2000000000000002"/>
    <s v="No"/>
    <s v="LDCT Screening"/>
    <s v="Surgery"/>
    <n v="20"/>
    <s v="Yes"/>
  </r>
  <r>
    <s v="LC-1333"/>
    <n v="2016"/>
    <d v="2016-09-26T00:00:00"/>
    <s v="Western Pacific"/>
    <s v="Malaysia"/>
    <n v="66"/>
    <x v="1"/>
    <x v="0"/>
    <n v="10"/>
    <n v="40"/>
    <x v="1"/>
    <x v="0"/>
    <x v="0"/>
    <x v="0"/>
    <x v="0"/>
    <n v="30.4"/>
    <x v="0"/>
    <s v="No"/>
    <x v="0"/>
    <x v="0"/>
    <x v="0"/>
    <s v="No Mutation"/>
    <s v="Yes"/>
    <s v="Yes"/>
    <s v="Yes"/>
    <s v="No"/>
    <s v="Yes"/>
    <s v="Yes"/>
    <s v="No"/>
    <s v="No"/>
    <s v="No"/>
    <s v="No"/>
    <x v="0"/>
    <s v="Adenocarcinoma"/>
    <x v="0"/>
    <n v="6.6"/>
    <s v="Yes"/>
    <s v="PET Scan"/>
    <s v="Targeted Therapy"/>
    <n v="7"/>
    <s v="No"/>
  </r>
  <r>
    <s v="LC-1334"/>
    <n v="2018"/>
    <d v="2018-04-11T00:00:00"/>
    <s v="Africa"/>
    <s v="Egypt"/>
    <n v="62"/>
    <x v="1"/>
    <x v="2"/>
    <n v="0"/>
    <n v="0"/>
    <x v="0"/>
    <x v="0"/>
    <x v="0"/>
    <x v="1"/>
    <x v="2"/>
    <n v="26"/>
    <x v="2"/>
    <s v="Yes"/>
    <x v="0"/>
    <x v="0"/>
    <x v="0"/>
    <s v="EGFR"/>
    <s v="Yes"/>
    <s v="No"/>
    <s v="Yes"/>
    <s v="No"/>
    <s v="No"/>
    <s v="Yes"/>
    <s v="No"/>
    <s v="No"/>
    <s v="No"/>
    <s v="No"/>
    <x v="0"/>
    <s v="Squamous Cell"/>
    <x v="1"/>
    <n v="1.9"/>
    <s v="No"/>
    <s v="Bronchoscopy"/>
    <s v="Surgery"/>
    <n v="58"/>
    <s v="No"/>
  </r>
  <r>
    <s v="LC-1335"/>
    <n v="2024"/>
    <d v="2024-07-24T00:00:00"/>
    <s v="Americas"/>
    <s v="Colombia"/>
    <n v="68"/>
    <x v="1"/>
    <x v="2"/>
    <n v="0"/>
    <n v="0"/>
    <x v="1"/>
    <x v="0"/>
    <x v="0"/>
    <x v="1"/>
    <x v="2"/>
    <n v="25.4"/>
    <x v="1"/>
    <s v="No"/>
    <x v="0"/>
    <x v="0"/>
    <x v="0"/>
    <s v="MET"/>
    <s v="No"/>
    <s v="No"/>
    <s v="No"/>
    <s v="Yes"/>
    <s v="No"/>
    <s v="Yes"/>
    <s v="No"/>
    <s v="No"/>
    <s v="No"/>
    <s v="No"/>
    <x v="0"/>
    <s v="Adenocarcinoma"/>
    <x v="1"/>
    <n v="2.7"/>
    <s v="No"/>
    <s v="Chest X-Ray"/>
    <s v="Surgery + Chemotherapy"/>
    <n v="59"/>
    <s v="Yes"/>
  </r>
  <r>
    <s v="LC-1336"/>
    <n v="2018"/>
    <d v="2018-05-27T00:00:00"/>
    <s v="Western Pacific"/>
    <s v="Japan"/>
    <n v="75"/>
    <x v="0"/>
    <x v="2"/>
    <n v="0"/>
    <n v="0"/>
    <x v="0"/>
    <x v="0"/>
    <x v="0"/>
    <x v="0"/>
    <x v="1"/>
    <n v="23.9"/>
    <x v="1"/>
    <s v="No"/>
    <x v="0"/>
    <x v="0"/>
    <x v="0"/>
    <s v="No Mutation"/>
    <s v="No"/>
    <s v="No"/>
    <s v="No"/>
    <s v="No"/>
    <s v="Yes"/>
    <s v="No"/>
    <s v="No"/>
    <s v="No"/>
    <s v="No"/>
    <s v="No"/>
    <x v="0"/>
    <s v="Adenocarcinoma"/>
    <x v="1"/>
    <n v="2.9"/>
    <s v="No"/>
    <s v="CT Scan"/>
    <s v="Surgery"/>
    <n v="44"/>
    <s v="No"/>
  </r>
  <r>
    <s v="LC-1337"/>
    <n v="2018"/>
    <d v="2018-10-12T00:00:00"/>
    <s v="Western Pacific"/>
    <s v="Japan"/>
    <n v="59"/>
    <x v="1"/>
    <x v="1"/>
    <n v="12"/>
    <n v="12"/>
    <x v="0"/>
    <x v="0"/>
    <x v="0"/>
    <x v="0"/>
    <x v="2"/>
    <n v="27.7"/>
    <x v="0"/>
    <s v="No"/>
    <x v="0"/>
    <x v="0"/>
    <x v="0"/>
    <s v="No Mutation"/>
    <s v="Yes"/>
    <s v="Yes"/>
    <s v="Yes"/>
    <s v="No"/>
    <s v="Yes"/>
    <s v="No"/>
    <s v="No"/>
    <s v="No"/>
    <s v="No"/>
    <s v="No"/>
    <x v="0"/>
    <s v="Adenocarcinoma"/>
    <x v="2"/>
    <n v="5.0999999999999996"/>
    <s v="No"/>
    <s v="CT Scan"/>
    <s v="Chemotherapy"/>
    <n v="15"/>
    <s v="No"/>
  </r>
  <r>
    <s v="LC-1338"/>
    <n v="2024"/>
    <d v="2024-09-22T00:00:00"/>
    <s v="South-East Asia"/>
    <s v="India"/>
    <n v="70"/>
    <x v="1"/>
    <x v="1"/>
    <n v="37"/>
    <n v="17"/>
    <x v="1"/>
    <x v="1"/>
    <x v="0"/>
    <x v="0"/>
    <x v="2"/>
    <n v="32.4"/>
    <x v="0"/>
    <s v="No"/>
    <x v="0"/>
    <x v="0"/>
    <x v="0"/>
    <s v="ALK"/>
    <s v="Yes"/>
    <s v="No"/>
    <s v="Yes"/>
    <s v="Yes"/>
    <s v="Yes"/>
    <s v="No"/>
    <s v="Yes"/>
    <s v="Yes"/>
    <s v="Yes"/>
    <s v="Yes"/>
    <x v="0"/>
    <s v="Large Cell"/>
    <x v="1"/>
    <n v="2.1"/>
    <s v="No"/>
    <s v="CT Scan"/>
    <s v="Targeted Therapy"/>
    <n v="53"/>
    <s v="Yes"/>
  </r>
  <r>
    <s v="LC-1339"/>
    <n v="2019"/>
    <d v="2019-03-08T00:00:00"/>
    <s v="South-East Asia"/>
    <s v="Timor-Leste"/>
    <n v="46"/>
    <x v="1"/>
    <x v="2"/>
    <n v="0"/>
    <n v="0"/>
    <x v="1"/>
    <x v="0"/>
    <x v="0"/>
    <x v="2"/>
    <x v="2"/>
    <n v="26.6"/>
    <x v="1"/>
    <s v="No"/>
    <x v="0"/>
    <x v="0"/>
    <x v="0"/>
    <s v="KRAS"/>
    <s v="Yes"/>
    <s v="Yes"/>
    <s v="No"/>
    <s v="No"/>
    <s v="Yes"/>
    <s v="No"/>
    <s v="No"/>
    <s v="Yes"/>
    <s v="No"/>
    <s v="No"/>
    <x v="0"/>
    <s v="Large Cell"/>
    <x v="2"/>
    <n v="3.9"/>
    <s v="No"/>
    <s v="CT Scan"/>
    <s v="Immunotherapy"/>
    <n v="3"/>
    <s v="No"/>
  </r>
  <r>
    <s v="LC-1340"/>
    <n v="2023"/>
    <d v="2023-01-13T00:00:00"/>
    <s v="Western Pacific"/>
    <s v="Japan"/>
    <n v="61"/>
    <x v="1"/>
    <x v="0"/>
    <n v="21"/>
    <n v="27"/>
    <x v="1"/>
    <x v="1"/>
    <x v="0"/>
    <x v="0"/>
    <x v="0"/>
    <n v="26.9"/>
    <x v="0"/>
    <s v="No"/>
    <x v="0"/>
    <x v="0"/>
    <x v="0"/>
    <s v="No Mutation"/>
    <s v="Yes"/>
    <s v="Yes"/>
    <s v="No"/>
    <s v="Yes"/>
    <s v="No"/>
    <s v="Yes"/>
    <s v="No"/>
    <s v="No"/>
    <s v="No"/>
    <s v="No"/>
    <x v="0"/>
    <s v="Squamous Cell"/>
    <x v="2"/>
    <n v="5.5"/>
    <s v="No"/>
    <s v="Bronchoscopy"/>
    <s v="Targeted Therapy"/>
    <n v="18"/>
    <s v="No"/>
  </r>
  <r>
    <s v="LC-1341"/>
    <n v="2023"/>
    <d v="2023-08-28T00:00:00"/>
    <s v="Europe"/>
    <s v="Spain"/>
    <n v="66"/>
    <x v="1"/>
    <x v="1"/>
    <n v="25"/>
    <n v="15"/>
    <x v="0"/>
    <x v="1"/>
    <x v="0"/>
    <x v="1"/>
    <x v="2"/>
    <n v="26.8"/>
    <x v="2"/>
    <s v="Yes"/>
    <x v="0"/>
    <x v="0"/>
    <x v="1"/>
    <s v="No Mutation"/>
    <s v="Yes"/>
    <s v="Yes"/>
    <s v="Yes"/>
    <s v="No"/>
    <s v="Yes"/>
    <s v="Yes"/>
    <s v="Yes"/>
    <s v="Yes"/>
    <s v="Yes"/>
    <s v="No"/>
    <x v="1"/>
    <s v="Not Applicable"/>
    <x v="0"/>
    <n v="9.4"/>
    <s v="Yes"/>
    <s v="Bronchoscopy"/>
    <s v="Palliative Care"/>
    <n v="7"/>
    <s v="No"/>
  </r>
  <r>
    <s v="LC-1342"/>
    <n v="2022"/>
    <d v="2022-05-11T00:00:00"/>
    <s v="Eastern Mediterranean"/>
    <s v="Iran"/>
    <n v="73"/>
    <x v="1"/>
    <x v="0"/>
    <n v="35"/>
    <n v="37"/>
    <x v="1"/>
    <x v="0"/>
    <x v="0"/>
    <x v="0"/>
    <x v="2"/>
    <n v="25.2"/>
    <x v="0"/>
    <s v="No"/>
    <x v="0"/>
    <x v="0"/>
    <x v="0"/>
    <s v="No Mutation"/>
    <s v="Yes"/>
    <s v="No"/>
    <s v="No"/>
    <s v="No"/>
    <s v="Yes"/>
    <s v="Yes"/>
    <s v="Yes"/>
    <s v="No"/>
    <s v="Yes"/>
    <s v="No"/>
    <x v="0"/>
    <s v="Adenocarcinoma"/>
    <x v="2"/>
    <n v="6.4"/>
    <s v="No"/>
    <s v="Bronchoscopy"/>
    <s v="Radiotherapy"/>
    <n v="19"/>
    <s v="No"/>
  </r>
  <r>
    <s v="LC-1343"/>
    <n v="2021"/>
    <d v="2021-09-15T00:00:00"/>
    <s v="South-East Asia"/>
    <s v="India"/>
    <n v="62"/>
    <x v="0"/>
    <x v="2"/>
    <n v="0"/>
    <n v="0"/>
    <x v="1"/>
    <x v="1"/>
    <x v="0"/>
    <x v="1"/>
    <x v="0"/>
    <n v="21.8"/>
    <x v="1"/>
    <s v="No"/>
    <x v="0"/>
    <x v="0"/>
    <x v="1"/>
    <s v="BRAF"/>
    <s v="No"/>
    <s v="No"/>
    <s v="No"/>
    <s v="No"/>
    <s v="No"/>
    <s v="No"/>
    <s v="Yes"/>
    <s v="No"/>
    <s v="No"/>
    <s v="No"/>
    <x v="0"/>
    <s v="Adenocarcinoma"/>
    <x v="1"/>
    <n v="2.8"/>
    <s v="No"/>
    <s v="CT Scan"/>
    <s v="Targeted Therapy"/>
    <n v="36"/>
    <s v="Yes"/>
  </r>
  <r>
    <s v="LC-1344"/>
    <n v="2021"/>
    <d v="2021-06-07T00:00:00"/>
    <s v="Europe"/>
    <s v="Spain"/>
    <n v="77"/>
    <x v="0"/>
    <x v="0"/>
    <n v="28"/>
    <n v="42"/>
    <x v="0"/>
    <x v="0"/>
    <x v="1"/>
    <x v="0"/>
    <x v="2"/>
    <n v="31.8"/>
    <x v="1"/>
    <s v="No"/>
    <x v="0"/>
    <x v="0"/>
    <x v="0"/>
    <s v="EGFR"/>
    <s v="Yes"/>
    <s v="Yes"/>
    <s v="Yes"/>
    <s v="Yes"/>
    <s v="No"/>
    <s v="Yes"/>
    <s v="No"/>
    <s v="No"/>
    <s v="No"/>
    <s v="No"/>
    <x v="0"/>
    <s v="Large Cell"/>
    <x v="3"/>
    <n v="4"/>
    <s v="No"/>
    <s v="Chest X-Ray"/>
    <s v="Surgery + Chemotherapy"/>
    <n v="40"/>
    <s v="No"/>
  </r>
  <r>
    <s v="LC-1345"/>
    <n v="2023"/>
    <d v="2023-10-26T00:00:00"/>
    <s v="South-East Asia"/>
    <s v="Myanmar"/>
    <n v="55"/>
    <x v="1"/>
    <x v="2"/>
    <n v="0"/>
    <n v="0"/>
    <x v="1"/>
    <x v="0"/>
    <x v="0"/>
    <x v="0"/>
    <x v="0"/>
    <n v="24.3"/>
    <x v="2"/>
    <s v="No"/>
    <x v="0"/>
    <x v="0"/>
    <x v="0"/>
    <s v="TP53"/>
    <s v="Yes"/>
    <s v="No"/>
    <s v="No"/>
    <s v="No"/>
    <s v="No"/>
    <s v="No"/>
    <s v="No"/>
    <s v="No"/>
    <s v="No"/>
    <s v="No"/>
    <x v="0"/>
    <s v="Adenocarcinoma"/>
    <x v="3"/>
    <n v="3.3"/>
    <s v="No"/>
    <s v="CT Scan"/>
    <s v="Targeted Therapy"/>
    <n v="50"/>
    <s v="Yes"/>
  </r>
  <r>
    <s v="LC-1346"/>
    <n v="2018"/>
    <d v="2018-12-20T00:00:00"/>
    <s v="Western Pacific"/>
    <s v="Australia"/>
    <n v="52"/>
    <x v="1"/>
    <x v="2"/>
    <n v="0"/>
    <n v="0"/>
    <x v="1"/>
    <x v="0"/>
    <x v="1"/>
    <x v="0"/>
    <x v="1"/>
    <n v="26.4"/>
    <x v="1"/>
    <s v="Yes"/>
    <x v="0"/>
    <x v="0"/>
    <x v="0"/>
    <s v="No Mutation"/>
    <s v="No"/>
    <s v="Yes"/>
    <s v="No"/>
    <s v="No"/>
    <s v="Yes"/>
    <s v="Yes"/>
    <s v="No"/>
    <s v="Yes"/>
    <s v="No"/>
    <s v="No"/>
    <x v="1"/>
    <s v="Not Applicable"/>
    <x v="3"/>
    <n v="3.7"/>
    <s v="No"/>
    <s v="Biopsy"/>
    <s v="Targeted Therapy"/>
    <n v="48"/>
    <s v="No"/>
  </r>
  <r>
    <s v="LC-1347"/>
    <n v="2023"/>
    <d v="2023-08-12T00:00:00"/>
    <s v="Europe"/>
    <s v="Sweden"/>
    <n v="82"/>
    <x v="1"/>
    <x v="2"/>
    <n v="0"/>
    <n v="0"/>
    <x v="1"/>
    <x v="0"/>
    <x v="0"/>
    <x v="0"/>
    <x v="2"/>
    <n v="29.7"/>
    <x v="2"/>
    <s v="No"/>
    <x v="0"/>
    <x v="0"/>
    <x v="0"/>
    <s v="EGFR"/>
    <s v="Yes"/>
    <s v="No"/>
    <s v="No"/>
    <s v="No"/>
    <s v="Yes"/>
    <s v="No"/>
    <s v="No"/>
    <s v="No"/>
    <s v="No"/>
    <s v="No"/>
    <x v="0"/>
    <s v="Adenocarcinoma"/>
    <x v="2"/>
    <n v="5.4"/>
    <s v="No"/>
    <s v="CT Scan"/>
    <s v="Chemotherapy"/>
    <n v="29"/>
    <s v="No"/>
  </r>
  <r>
    <s v="LC-1348"/>
    <n v="2025"/>
    <d v="2025-08-25T00:00:00"/>
    <s v="Western Pacific"/>
    <s v="Australia"/>
    <n v="75"/>
    <x v="1"/>
    <x v="2"/>
    <n v="0"/>
    <n v="0"/>
    <x v="1"/>
    <x v="0"/>
    <x v="0"/>
    <x v="1"/>
    <x v="1"/>
    <n v="28"/>
    <x v="1"/>
    <s v="No"/>
    <x v="0"/>
    <x v="0"/>
    <x v="0"/>
    <s v="EGFR"/>
    <s v="No"/>
    <s v="No"/>
    <s v="No"/>
    <s v="Yes"/>
    <s v="Yes"/>
    <s v="No"/>
    <s v="No"/>
    <s v="No"/>
    <s v="No"/>
    <s v="No"/>
    <x v="0"/>
    <s v="Adenocarcinoma"/>
    <x v="2"/>
    <n v="3.4"/>
    <s v="No"/>
    <s v="Biopsy"/>
    <s v="Radiotherapy"/>
    <n v="8"/>
    <s v="No"/>
  </r>
  <r>
    <s v="LC-1349"/>
    <n v="2024"/>
    <d v="2024-12-18T00:00:00"/>
    <s v="South-East Asia"/>
    <s v="Thailand"/>
    <n v="51"/>
    <x v="1"/>
    <x v="2"/>
    <n v="0"/>
    <n v="0"/>
    <x v="1"/>
    <x v="1"/>
    <x v="0"/>
    <x v="0"/>
    <x v="2"/>
    <n v="23"/>
    <x v="1"/>
    <s v="No"/>
    <x v="0"/>
    <x v="0"/>
    <x v="0"/>
    <s v="EGFR"/>
    <s v="Yes"/>
    <s v="Yes"/>
    <s v="No"/>
    <s v="No"/>
    <s v="Yes"/>
    <s v="Yes"/>
    <s v="Yes"/>
    <s v="Yes"/>
    <s v="No"/>
    <s v="No"/>
    <x v="1"/>
    <s v="Not Applicable"/>
    <x v="3"/>
    <n v="5.2"/>
    <s v="No"/>
    <s v="Bronchoscopy"/>
    <s v="Radiotherapy"/>
    <n v="53"/>
    <s v="No"/>
  </r>
  <r>
    <s v="LC-1350"/>
    <n v="2025"/>
    <d v="2025-03-01T00:00:00"/>
    <s v="Americas"/>
    <s v="Chile"/>
    <n v="71"/>
    <x v="1"/>
    <x v="2"/>
    <n v="0"/>
    <n v="0"/>
    <x v="0"/>
    <x v="0"/>
    <x v="0"/>
    <x v="0"/>
    <x v="0"/>
    <n v="26.1"/>
    <x v="1"/>
    <s v="No"/>
    <x v="0"/>
    <x v="0"/>
    <x v="0"/>
    <s v="No Mutation"/>
    <s v="No"/>
    <s v="Yes"/>
    <s v="No"/>
    <s v="Yes"/>
    <s v="Yes"/>
    <s v="Yes"/>
    <s v="No"/>
    <s v="No"/>
    <s v="No"/>
    <s v="No"/>
    <x v="0"/>
    <s v="Adenocarcinoma"/>
    <x v="3"/>
    <n v="6.2"/>
    <s v="No"/>
    <s v="CT Scan"/>
    <s v="Radiotherapy"/>
    <n v="39"/>
    <s v="Yes"/>
  </r>
  <r>
    <s v="LC-1351"/>
    <n v="2024"/>
    <d v="2024-01-08T00:00:00"/>
    <s v="Western Pacific"/>
    <s v="Singapore"/>
    <n v="60"/>
    <x v="0"/>
    <x v="0"/>
    <n v="33"/>
    <n v="38"/>
    <x v="0"/>
    <x v="0"/>
    <x v="0"/>
    <x v="1"/>
    <x v="1"/>
    <n v="32.6"/>
    <x v="2"/>
    <s v="Yes"/>
    <x v="0"/>
    <x v="0"/>
    <x v="0"/>
    <s v="KRAS"/>
    <s v="Yes"/>
    <s v="Yes"/>
    <s v="No"/>
    <s v="Yes"/>
    <s v="Yes"/>
    <s v="Yes"/>
    <s v="No"/>
    <s v="Yes"/>
    <s v="Yes"/>
    <s v="No"/>
    <x v="0"/>
    <s v="Adenocarcinoma"/>
    <x v="0"/>
    <n v="6.4"/>
    <s v="Yes"/>
    <s v="CT Scan"/>
    <s v="Chemotherapy"/>
    <n v="10"/>
    <s v="No"/>
  </r>
  <r>
    <s v="LC-1352"/>
    <n v="2025"/>
    <d v="2025-06-21T00:00:00"/>
    <s v="Western Pacific"/>
    <s v="China"/>
    <n v="64"/>
    <x v="1"/>
    <x v="2"/>
    <n v="0"/>
    <n v="0"/>
    <x v="1"/>
    <x v="0"/>
    <x v="1"/>
    <x v="1"/>
    <x v="2"/>
    <n v="33.200000000000003"/>
    <x v="0"/>
    <s v="No"/>
    <x v="1"/>
    <x v="0"/>
    <x v="0"/>
    <s v="No Mutation"/>
    <s v="No"/>
    <s v="No"/>
    <s v="No"/>
    <s v="No"/>
    <s v="Yes"/>
    <s v="No"/>
    <s v="No"/>
    <s v="Yes"/>
    <s v="Yes"/>
    <s v="No"/>
    <x v="0"/>
    <s v="Adenocarcinoma"/>
    <x v="3"/>
    <n v="4"/>
    <s v="No"/>
    <s v="Biopsy"/>
    <s v="Surgery"/>
    <n v="39"/>
    <s v="No"/>
  </r>
  <r>
    <s v="LC-1353"/>
    <n v="2017"/>
    <d v="2017-06-01T00:00:00"/>
    <s v="South-East Asia"/>
    <s v="Nepal"/>
    <n v="63"/>
    <x v="0"/>
    <x v="2"/>
    <n v="0"/>
    <n v="0"/>
    <x v="1"/>
    <x v="1"/>
    <x v="0"/>
    <x v="1"/>
    <x v="1"/>
    <n v="26.1"/>
    <x v="1"/>
    <s v="No"/>
    <x v="0"/>
    <x v="0"/>
    <x v="0"/>
    <s v="KRAS"/>
    <s v="No"/>
    <s v="No"/>
    <s v="No"/>
    <s v="No"/>
    <s v="Yes"/>
    <s v="Yes"/>
    <s v="No"/>
    <s v="Yes"/>
    <s v="No"/>
    <s v="No"/>
    <x v="0"/>
    <s v="Adenocarcinoma"/>
    <x v="3"/>
    <n v="4.5999999999999996"/>
    <s v="No"/>
    <s v="CT Scan"/>
    <s v="Surgery + Chemotherapy"/>
    <n v="34"/>
    <s v="Yes"/>
  </r>
  <r>
    <s v="LC-1354"/>
    <n v="2021"/>
    <d v="2021-12-24T00:00:00"/>
    <s v="Eastern Mediterranean"/>
    <s v="Iraq"/>
    <n v="78"/>
    <x v="1"/>
    <x v="2"/>
    <n v="0"/>
    <n v="0"/>
    <x v="1"/>
    <x v="1"/>
    <x v="0"/>
    <x v="2"/>
    <x v="2"/>
    <n v="23.2"/>
    <x v="1"/>
    <s v="No"/>
    <x v="0"/>
    <x v="0"/>
    <x v="0"/>
    <s v="EGFR"/>
    <s v="No"/>
    <s v="No"/>
    <s v="Yes"/>
    <s v="No"/>
    <s v="No"/>
    <s v="No"/>
    <s v="No"/>
    <s v="No"/>
    <s v="No"/>
    <s v="No"/>
    <x v="0"/>
    <s v="Adenocarcinoma"/>
    <x v="3"/>
    <n v="4.5"/>
    <s v="Yes"/>
    <s v="CT Scan"/>
    <s v="Surgery"/>
    <n v="43"/>
    <s v="No"/>
  </r>
  <r>
    <s v="LC-1355"/>
    <n v="2024"/>
    <d v="2024-02-07T00:00:00"/>
    <s v="Europe"/>
    <s v="Netherlands"/>
    <n v="75"/>
    <x v="1"/>
    <x v="1"/>
    <n v="14"/>
    <n v="7"/>
    <x v="0"/>
    <x v="0"/>
    <x v="0"/>
    <x v="0"/>
    <x v="2"/>
    <n v="26.1"/>
    <x v="2"/>
    <s v="Yes"/>
    <x v="0"/>
    <x v="0"/>
    <x v="0"/>
    <s v="No Mutation"/>
    <s v="No"/>
    <s v="Yes"/>
    <s v="No"/>
    <s v="No"/>
    <s v="No"/>
    <s v="No"/>
    <s v="No"/>
    <s v="Yes"/>
    <s v="No"/>
    <s v="No"/>
    <x v="0"/>
    <s v="Large Cell"/>
    <x v="0"/>
    <n v="8.1999999999999993"/>
    <s v="Yes"/>
    <s v="Bronchoscopy"/>
    <s v="Immunotherapy"/>
    <n v="7"/>
    <s v="Yes"/>
  </r>
  <r>
    <s v="LC-1356"/>
    <n v="2022"/>
    <d v="2022-04-14T00:00:00"/>
    <s v="South-East Asia"/>
    <s v="Maldives"/>
    <n v="64"/>
    <x v="1"/>
    <x v="2"/>
    <n v="0"/>
    <n v="0"/>
    <x v="1"/>
    <x v="1"/>
    <x v="1"/>
    <x v="1"/>
    <x v="0"/>
    <n v="28.8"/>
    <x v="1"/>
    <s v="No"/>
    <x v="0"/>
    <x v="0"/>
    <x v="1"/>
    <s v="No Mutation"/>
    <s v="Yes"/>
    <s v="No"/>
    <s v="No"/>
    <s v="No"/>
    <s v="Yes"/>
    <s v="No"/>
    <s v="No"/>
    <s v="No"/>
    <s v="No"/>
    <s v="No"/>
    <x v="0"/>
    <s v="Adenocarcinoma"/>
    <x v="0"/>
    <n v="3.9"/>
    <s v="Yes"/>
    <s v="CT Scan"/>
    <s v="Radiotherapy"/>
    <n v="6"/>
    <s v="No"/>
  </r>
  <r>
    <s v="LC-1357"/>
    <n v="2018"/>
    <d v="2018-01-05T00:00:00"/>
    <s v="Americas"/>
    <s v="Argentina"/>
    <n v="51"/>
    <x v="0"/>
    <x v="2"/>
    <n v="0"/>
    <n v="0"/>
    <x v="0"/>
    <x v="1"/>
    <x v="0"/>
    <x v="0"/>
    <x v="1"/>
    <n v="16"/>
    <x v="1"/>
    <s v="Yes"/>
    <x v="0"/>
    <x v="0"/>
    <x v="0"/>
    <s v="KRAS"/>
    <s v="No"/>
    <s v="No"/>
    <s v="No"/>
    <s v="No"/>
    <s v="Yes"/>
    <s v="No"/>
    <s v="No"/>
    <s v="No"/>
    <s v="No"/>
    <s v="Yes"/>
    <x v="0"/>
    <s v="Large Cell"/>
    <x v="3"/>
    <n v="4.2"/>
    <s v="No"/>
    <s v="Bronchoscopy"/>
    <s v="Surgery + Chemotherapy"/>
    <n v="6"/>
    <s v="No"/>
  </r>
  <r>
    <s v="LC-1358"/>
    <n v="2021"/>
    <d v="2021-02-02T00:00:00"/>
    <s v="South-East Asia"/>
    <s v="Thailand"/>
    <n v="58"/>
    <x v="1"/>
    <x v="1"/>
    <n v="3"/>
    <n v="4"/>
    <x v="0"/>
    <x v="1"/>
    <x v="1"/>
    <x v="1"/>
    <x v="1"/>
    <n v="35.700000000000003"/>
    <x v="0"/>
    <s v="No"/>
    <x v="0"/>
    <x v="0"/>
    <x v="0"/>
    <s v="No Mutation"/>
    <s v="No"/>
    <s v="No"/>
    <s v="Yes"/>
    <s v="Yes"/>
    <s v="Yes"/>
    <s v="Yes"/>
    <s v="No"/>
    <s v="No"/>
    <s v="No"/>
    <s v="No"/>
    <x v="0"/>
    <s v="Adenocarcinoma"/>
    <x v="3"/>
    <n v="4.0999999999999996"/>
    <s v="No"/>
    <s v="Bronchoscopy"/>
    <s v="Immunotherapy"/>
    <n v="24"/>
    <s v="No"/>
  </r>
  <r>
    <s v="LC-1359"/>
    <n v="2025"/>
    <d v="2025-09-14T00:00:00"/>
    <s v="Eastern Mediterranean"/>
    <s v="Jordan"/>
    <n v="75"/>
    <x v="1"/>
    <x v="2"/>
    <n v="0"/>
    <n v="0"/>
    <x v="1"/>
    <x v="0"/>
    <x v="0"/>
    <x v="2"/>
    <x v="1"/>
    <n v="30.3"/>
    <x v="1"/>
    <s v="No"/>
    <x v="0"/>
    <x v="0"/>
    <x v="0"/>
    <s v="No Mutation"/>
    <s v="No"/>
    <s v="No"/>
    <s v="No"/>
    <s v="No"/>
    <s v="No"/>
    <s v="No"/>
    <s v="Yes"/>
    <s v="No"/>
    <s v="No"/>
    <s v="Yes"/>
    <x v="0"/>
    <s v="Adenocarcinoma"/>
    <x v="0"/>
    <n v="3.5"/>
    <s v="Yes"/>
    <s v="CT Scan"/>
    <s v="Palliative Care"/>
    <n v="7"/>
    <s v="No"/>
  </r>
  <r>
    <s v="LC-1360"/>
    <n v="2025"/>
    <d v="2025-08-24T00:00:00"/>
    <s v="Europe"/>
    <s v="Germany"/>
    <n v="60"/>
    <x v="1"/>
    <x v="2"/>
    <n v="0"/>
    <n v="0"/>
    <x v="1"/>
    <x v="0"/>
    <x v="1"/>
    <x v="1"/>
    <x v="2"/>
    <n v="19.5"/>
    <x v="2"/>
    <s v="No"/>
    <x v="0"/>
    <x v="0"/>
    <x v="0"/>
    <s v="ALK"/>
    <s v="Yes"/>
    <s v="No"/>
    <s v="No"/>
    <s v="No"/>
    <s v="Yes"/>
    <s v="No"/>
    <s v="No"/>
    <s v="Yes"/>
    <s v="No"/>
    <s v="No"/>
    <x v="0"/>
    <s v="Adenocarcinoma"/>
    <x v="1"/>
    <n v="2.8"/>
    <s v="No"/>
    <s v="Bronchoscopy"/>
    <s v="Immunotherapy"/>
    <n v="37"/>
    <s v="Yes"/>
  </r>
  <r>
    <s v="LC-1361"/>
    <n v="2020"/>
    <d v="2020-10-04T00:00:00"/>
    <s v="South-East Asia"/>
    <s v="Timor-Leste"/>
    <n v="69"/>
    <x v="1"/>
    <x v="2"/>
    <n v="0"/>
    <n v="0"/>
    <x v="0"/>
    <x v="1"/>
    <x v="1"/>
    <x v="1"/>
    <x v="0"/>
    <n v="21.8"/>
    <x v="0"/>
    <s v="No"/>
    <x v="0"/>
    <x v="0"/>
    <x v="0"/>
    <s v="No Mutation"/>
    <s v="Yes"/>
    <s v="No"/>
    <s v="Yes"/>
    <s v="No"/>
    <s v="Yes"/>
    <s v="Yes"/>
    <s v="No"/>
    <s v="Yes"/>
    <s v="No"/>
    <s v="No"/>
    <x v="0"/>
    <s v="Adenocarcinoma"/>
    <x v="3"/>
    <n v="4.5"/>
    <s v="No"/>
    <s v="Bronchoscopy"/>
    <s v="Surgery + Chemotherapy"/>
    <n v="42"/>
    <s v="No"/>
  </r>
  <r>
    <s v="LC-1362"/>
    <n v="2020"/>
    <d v="2020-03-21T00:00:00"/>
    <s v="Western Pacific"/>
    <s v="Malaysia"/>
    <n v="61"/>
    <x v="1"/>
    <x v="2"/>
    <n v="0"/>
    <n v="0"/>
    <x v="0"/>
    <x v="0"/>
    <x v="0"/>
    <x v="1"/>
    <x v="2"/>
    <n v="25.4"/>
    <x v="0"/>
    <s v="No"/>
    <x v="0"/>
    <x v="0"/>
    <x v="0"/>
    <s v="No Mutation"/>
    <s v="No"/>
    <s v="No"/>
    <s v="No"/>
    <s v="No"/>
    <s v="Yes"/>
    <s v="No"/>
    <s v="No"/>
    <s v="No"/>
    <s v="No"/>
    <s v="No"/>
    <x v="0"/>
    <s v="Squamous Cell"/>
    <x v="3"/>
    <n v="5.5"/>
    <s v="No"/>
    <s v="PET Scan"/>
    <s v="Radiotherapy"/>
    <n v="27"/>
    <s v="No"/>
  </r>
  <r>
    <s v="LC-1363"/>
    <n v="2015"/>
    <d v="2015-02-19T00:00:00"/>
    <s v="South-East Asia"/>
    <s v="Bhutan"/>
    <n v="59"/>
    <x v="1"/>
    <x v="2"/>
    <n v="0"/>
    <n v="0"/>
    <x v="1"/>
    <x v="0"/>
    <x v="1"/>
    <x v="1"/>
    <x v="2"/>
    <n v="29.6"/>
    <x v="0"/>
    <s v="No"/>
    <x v="0"/>
    <x v="0"/>
    <x v="0"/>
    <s v="KRAS"/>
    <s v="No"/>
    <s v="No"/>
    <s v="Yes"/>
    <s v="Yes"/>
    <s v="Yes"/>
    <s v="No"/>
    <s v="Yes"/>
    <s v="No"/>
    <s v="No"/>
    <s v="No"/>
    <x v="0"/>
    <s v="Adenocarcinoma"/>
    <x v="2"/>
    <n v="5.6"/>
    <s v="No"/>
    <s v="CT Scan"/>
    <s v="Chemotherapy"/>
    <n v="20"/>
    <s v="No"/>
  </r>
  <r>
    <s v="LC-1364"/>
    <n v="2017"/>
    <d v="2017-01-14T00:00:00"/>
    <s v="South-East Asia"/>
    <s v="Indonesia"/>
    <n v="59"/>
    <x v="1"/>
    <x v="0"/>
    <n v="32"/>
    <n v="19"/>
    <x v="0"/>
    <x v="1"/>
    <x v="0"/>
    <x v="0"/>
    <x v="1"/>
    <n v="29.1"/>
    <x v="0"/>
    <s v="Yes"/>
    <x v="0"/>
    <x v="0"/>
    <x v="0"/>
    <s v="TP53"/>
    <s v="Yes"/>
    <s v="Yes"/>
    <s v="No"/>
    <s v="Yes"/>
    <s v="No"/>
    <s v="Yes"/>
    <s v="Yes"/>
    <s v="No"/>
    <s v="No"/>
    <s v="No"/>
    <x v="0"/>
    <s v="Large Cell"/>
    <x v="0"/>
    <n v="10.199999999999999"/>
    <s v="Yes"/>
    <s v="Biopsy"/>
    <s v="Chemotherapy"/>
    <n v="2"/>
    <s v="No"/>
  </r>
  <r>
    <s v="LC-1365"/>
    <n v="2016"/>
    <d v="2016-04-10T00:00:00"/>
    <s v="South-East Asia"/>
    <s v="Myanmar"/>
    <n v="52"/>
    <x v="1"/>
    <x v="2"/>
    <n v="0"/>
    <n v="0"/>
    <x v="1"/>
    <x v="0"/>
    <x v="1"/>
    <x v="0"/>
    <x v="1"/>
    <n v="25.1"/>
    <x v="0"/>
    <s v="No"/>
    <x v="0"/>
    <x v="0"/>
    <x v="0"/>
    <s v="EGFR"/>
    <s v="No"/>
    <s v="No"/>
    <s v="No"/>
    <s v="Yes"/>
    <s v="Yes"/>
    <s v="No"/>
    <s v="No"/>
    <s v="No"/>
    <s v="No"/>
    <s v="No"/>
    <x v="0"/>
    <s v="Adenocarcinoma"/>
    <x v="1"/>
    <n v="1.2"/>
    <s v="No"/>
    <s v="Chest X-Ray"/>
    <s v="Surgery"/>
    <n v="74"/>
    <s v="Yes"/>
  </r>
  <r>
    <s v="LC-1366"/>
    <n v="2024"/>
    <d v="2024-06-26T00:00:00"/>
    <s v="Western Pacific"/>
    <s v="Malaysia"/>
    <n v="51"/>
    <x v="1"/>
    <x v="2"/>
    <n v="0"/>
    <n v="0"/>
    <x v="0"/>
    <x v="0"/>
    <x v="0"/>
    <x v="1"/>
    <x v="1"/>
    <n v="30.1"/>
    <x v="1"/>
    <s v="No"/>
    <x v="0"/>
    <x v="0"/>
    <x v="1"/>
    <s v="TP53"/>
    <s v="No"/>
    <s v="No"/>
    <s v="No"/>
    <s v="No"/>
    <s v="Yes"/>
    <s v="No"/>
    <s v="No"/>
    <s v="No"/>
    <s v="No"/>
    <s v="No"/>
    <x v="0"/>
    <s v="Adenocarcinoma"/>
    <x v="2"/>
    <n v="4.2"/>
    <s v="No"/>
    <s v="CT Scan"/>
    <s v="Surgery + Chemotherapy"/>
    <n v="24"/>
    <s v="Yes"/>
  </r>
  <r>
    <s v="LC-1367"/>
    <n v="2025"/>
    <d v="2025-12-27T00:00:00"/>
    <s v="Africa"/>
    <s v="Ghana"/>
    <n v="62"/>
    <x v="0"/>
    <x v="1"/>
    <n v="21"/>
    <n v="16"/>
    <x v="0"/>
    <x v="0"/>
    <x v="0"/>
    <x v="0"/>
    <x v="1"/>
    <n v="28.4"/>
    <x v="1"/>
    <s v="No"/>
    <x v="0"/>
    <x v="0"/>
    <x v="0"/>
    <s v="No Mutation"/>
    <s v="Yes"/>
    <s v="Yes"/>
    <s v="No"/>
    <s v="No"/>
    <s v="Yes"/>
    <s v="No"/>
    <s v="No"/>
    <s v="Yes"/>
    <s v="No"/>
    <s v="No"/>
    <x v="0"/>
    <s v="Squamous Cell"/>
    <x v="3"/>
    <n v="5.2"/>
    <s v="No"/>
    <s v="Chest X-Ray"/>
    <s v="Surgery"/>
    <n v="40"/>
    <s v="Yes"/>
  </r>
  <r>
    <s v="LC-1368"/>
    <n v="2021"/>
    <d v="2021-06-15T00:00:00"/>
    <s v="Eastern Mediterranean"/>
    <s v="Iraq"/>
    <n v="60"/>
    <x v="0"/>
    <x v="2"/>
    <n v="0"/>
    <n v="0"/>
    <x v="1"/>
    <x v="0"/>
    <x v="0"/>
    <x v="1"/>
    <x v="0"/>
    <n v="32.200000000000003"/>
    <x v="2"/>
    <s v="No"/>
    <x v="0"/>
    <x v="0"/>
    <x v="0"/>
    <s v="ALK"/>
    <s v="Yes"/>
    <s v="Yes"/>
    <s v="No"/>
    <s v="No"/>
    <s v="Yes"/>
    <s v="No"/>
    <s v="No"/>
    <s v="No"/>
    <s v="No"/>
    <s v="No"/>
    <x v="0"/>
    <s v="Adenocarcinoma"/>
    <x v="1"/>
    <n v="1.4"/>
    <s v="No"/>
    <s v="CT Scan"/>
    <s v="Targeted Therapy"/>
    <n v="57"/>
    <s v="No"/>
  </r>
  <r>
    <s v="LC-1369"/>
    <n v="2024"/>
    <d v="2024-04-03T00:00:00"/>
    <s v="South-East Asia"/>
    <s v="Thailand"/>
    <n v="56"/>
    <x v="1"/>
    <x v="2"/>
    <n v="0"/>
    <n v="0"/>
    <x v="1"/>
    <x v="0"/>
    <x v="1"/>
    <x v="0"/>
    <x v="2"/>
    <n v="28.4"/>
    <x v="1"/>
    <s v="No"/>
    <x v="0"/>
    <x v="1"/>
    <x v="0"/>
    <s v="No Mutation"/>
    <s v="No"/>
    <s v="No"/>
    <s v="No"/>
    <s v="No"/>
    <s v="Yes"/>
    <s v="Yes"/>
    <s v="No"/>
    <s v="No"/>
    <s v="No"/>
    <s v="Yes"/>
    <x v="0"/>
    <s v="Adenocarcinoma"/>
    <x v="1"/>
    <n v="2.2000000000000002"/>
    <s v="No"/>
    <s v="PET Scan"/>
    <s v="Surgery"/>
    <n v="35"/>
    <s v="No"/>
  </r>
  <r>
    <s v="LC-1370"/>
    <n v="2018"/>
    <d v="2018-03-25T00:00:00"/>
    <s v="Western Pacific"/>
    <s v="Mongolia"/>
    <n v="62"/>
    <x v="0"/>
    <x v="2"/>
    <n v="0"/>
    <n v="0"/>
    <x v="1"/>
    <x v="0"/>
    <x v="1"/>
    <x v="1"/>
    <x v="1"/>
    <n v="28.2"/>
    <x v="0"/>
    <s v="No"/>
    <x v="0"/>
    <x v="0"/>
    <x v="0"/>
    <s v="No Mutation"/>
    <s v="No"/>
    <s v="No"/>
    <s v="No"/>
    <s v="No"/>
    <s v="No"/>
    <s v="Yes"/>
    <s v="Yes"/>
    <s v="Yes"/>
    <s v="No"/>
    <s v="No"/>
    <x v="0"/>
    <s v="Adenocarcinoma"/>
    <x v="0"/>
    <n v="8.4"/>
    <s v="Yes"/>
    <s v="CT Scan"/>
    <s v="Radiotherapy"/>
    <n v="8"/>
    <s v="No"/>
  </r>
  <r>
    <s v="LC-1371"/>
    <n v="2023"/>
    <d v="2023-02-05T00:00:00"/>
    <s v="Western Pacific"/>
    <s v="Japan"/>
    <n v="70"/>
    <x v="1"/>
    <x v="2"/>
    <n v="0"/>
    <n v="0"/>
    <x v="0"/>
    <x v="0"/>
    <x v="0"/>
    <x v="0"/>
    <x v="0"/>
    <n v="24"/>
    <x v="1"/>
    <s v="No"/>
    <x v="0"/>
    <x v="0"/>
    <x v="0"/>
    <s v="ALK"/>
    <s v="No"/>
    <s v="Yes"/>
    <s v="No"/>
    <s v="Yes"/>
    <s v="Yes"/>
    <s v="No"/>
    <s v="No"/>
    <s v="No"/>
    <s v="No"/>
    <s v="No"/>
    <x v="0"/>
    <s v="Adenocarcinoma"/>
    <x v="1"/>
    <n v="1.9"/>
    <s v="No"/>
    <s v="LDCT Screening"/>
    <s v="Surgery"/>
    <n v="47"/>
    <s v="No"/>
  </r>
  <r>
    <s v="LC-1372"/>
    <n v="2018"/>
    <d v="2018-03-15T00:00:00"/>
    <s v="Europe"/>
    <s v="Poland"/>
    <n v="51"/>
    <x v="1"/>
    <x v="1"/>
    <n v="25"/>
    <n v="9"/>
    <x v="0"/>
    <x v="1"/>
    <x v="0"/>
    <x v="0"/>
    <x v="2"/>
    <n v="24.7"/>
    <x v="1"/>
    <s v="Yes"/>
    <x v="0"/>
    <x v="0"/>
    <x v="0"/>
    <s v="No Mutation"/>
    <s v="No"/>
    <s v="Yes"/>
    <s v="No"/>
    <s v="No"/>
    <s v="Yes"/>
    <s v="No"/>
    <s v="No"/>
    <s v="No"/>
    <s v="No"/>
    <s v="No"/>
    <x v="0"/>
    <s v="Adenocarcinoma"/>
    <x v="3"/>
    <n v="3.5"/>
    <s v="No"/>
    <s v="LDCT Screening"/>
    <s v="Surgery + Chemotherapy"/>
    <n v="6"/>
    <s v="Yes"/>
  </r>
  <r>
    <s v="LC-1373"/>
    <n v="2019"/>
    <d v="2019-06-14T00:00:00"/>
    <s v="Europe"/>
    <s v="Germany"/>
    <n v="79"/>
    <x v="0"/>
    <x v="2"/>
    <n v="0"/>
    <n v="0"/>
    <x v="1"/>
    <x v="0"/>
    <x v="1"/>
    <x v="0"/>
    <x v="1"/>
    <n v="27.4"/>
    <x v="1"/>
    <s v="No"/>
    <x v="0"/>
    <x v="0"/>
    <x v="0"/>
    <s v="EGFR"/>
    <s v="No"/>
    <s v="Yes"/>
    <s v="No"/>
    <s v="No"/>
    <s v="No"/>
    <s v="No"/>
    <s v="No"/>
    <s v="No"/>
    <s v="No"/>
    <s v="No"/>
    <x v="0"/>
    <s v="Adenocarcinoma"/>
    <x v="1"/>
    <n v="2.9"/>
    <s v="No"/>
    <s v="CT Scan"/>
    <s v="Targeted Therapy"/>
    <n v="66"/>
    <s v="Yes"/>
  </r>
  <r>
    <s v="LC-1374"/>
    <n v="2025"/>
    <d v="2025-09-12T00:00:00"/>
    <s v="Europe"/>
    <s v="Italy"/>
    <n v="52"/>
    <x v="0"/>
    <x v="2"/>
    <n v="0"/>
    <n v="0"/>
    <x v="0"/>
    <x v="0"/>
    <x v="1"/>
    <x v="1"/>
    <x v="1"/>
    <n v="37.6"/>
    <x v="2"/>
    <s v="No"/>
    <x v="0"/>
    <x v="0"/>
    <x v="0"/>
    <s v="KRAS"/>
    <s v="No"/>
    <s v="Yes"/>
    <s v="No"/>
    <s v="No"/>
    <s v="Yes"/>
    <s v="Yes"/>
    <s v="No"/>
    <s v="No"/>
    <s v="No"/>
    <s v="No"/>
    <x v="0"/>
    <s v="Adenocarcinoma"/>
    <x v="1"/>
    <n v="1.2"/>
    <s v="No"/>
    <s v="LDCT Screening"/>
    <s v="Surgery + Chemotherapy"/>
    <n v="56"/>
    <s v="Yes"/>
  </r>
  <r>
    <s v="LC-1375"/>
    <n v="2016"/>
    <d v="2016-08-10T00:00:00"/>
    <s v="Western Pacific"/>
    <s v="New Zealand"/>
    <n v="50"/>
    <x v="0"/>
    <x v="2"/>
    <n v="0"/>
    <n v="0"/>
    <x v="1"/>
    <x v="0"/>
    <x v="0"/>
    <x v="1"/>
    <x v="2"/>
    <n v="29.8"/>
    <x v="1"/>
    <s v="No"/>
    <x v="0"/>
    <x v="0"/>
    <x v="0"/>
    <s v="ROS1"/>
    <s v="No"/>
    <s v="No"/>
    <s v="No"/>
    <s v="No"/>
    <s v="No"/>
    <s v="No"/>
    <s v="No"/>
    <s v="No"/>
    <s v="No"/>
    <s v="No"/>
    <x v="0"/>
    <s v="Adenocarcinoma"/>
    <x v="1"/>
    <n v="1.9"/>
    <s v="No"/>
    <s v="CT Scan"/>
    <s v="Surgery + Chemotherapy"/>
    <n v="49"/>
    <s v="No"/>
  </r>
  <r>
    <s v="LC-1376"/>
    <n v="2024"/>
    <d v="2024-05-28T00:00:00"/>
    <s v="Africa"/>
    <s v="South Africa"/>
    <n v="73"/>
    <x v="1"/>
    <x v="2"/>
    <n v="0"/>
    <n v="0"/>
    <x v="0"/>
    <x v="1"/>
    <x v="0"/>
    <x v="0"/>
    <x v="0"/>
    <n v="29"/>
    <x v="1"/>
    <s v="No"/>
    <x v="0"/>
    <x v="0"/>
    <x v="0"/>
    <s v="EGFR"/>
    <s v="Yes"/>
    <s v="Yes"/>
    <s v="No"/>
    <s v="No"/>
    <s v="Yes"/>
    <s v="Yes"/>
    <s v="No"/>
    <s v="No"/>
    <s v="No"/>
    <s v="No"/>
    <x v="0"/>
    <s v="Adenocarcinoma"/>
    <x v="1"/>
    <n v="2.5"/>
    <s v="No"/>
    <s v="LDCT Screening"/>
    <s v="Surgery + Chemotherapy"/>
    <n v="41"/>
    <s v="No"/>
  </r>
  <r>
    <s v="LC-1377"/>
    <n v="2025"/>
    <d v="2025-02-06T00:00:00"/>
    <s v="South-East Asia"/>
    <s v="Myanmar"/>
    <n v="60"/>
    <x v="1"/>
    <x v="2"/>
    <n v="0"/>
    <n v="0"/>
    <x v="1"/>
    <x v="0"/>
    <x v="0"/>
    <x v="1"/>
    <x v="0"/>
    <n v="23"/>
    <x v="0"/>
    <s v="No"/>
    <x v="0"/>
    <x v="0"/>
    <x v="0"/>
    <s v="No Mutation"/>
    <s v="No"/>
    <s v="Yes"/>
    <s v="No"/>
    <s v="No"/>
    <s v="Yes"/>
    <s v="No"/>
    <s v="No"/>
    <s v="No"/>
    <s v="Yes"/>
    <s v="No"/>
    <x v="0"/>
    <s v="Squamous Cell"/>
    <x v="3"/>
    <n v="2.7"/>
    <s v="No"/>
    <s v="LDCT Screening"/>
    <s v="Surgery + Chemotherapy"/>
    <n v="24"/>
    <s v="Yes"/>
  </r>
  <r>
    <s v="LC-1378"/>
    <n v="2017"/>
    <d v="2017-12-23T00:00:00"/>
    <s v="Western Pacific"/>
    <s v="Mongolia"/>
    <n v="52"/>
    <x v="1"/>
    <x v="0"/>
    <n v="35"/>
    <n v="21"/>
    <x v="0"/>
    <x v="1"/>
    <x v="0"/>
    <x v="0"/>
    <x v="0"/>
    <n v="25"/>
    <x v="0"/>
    <s v="No"/>
    <x v="0"/>
    <x v="0"/>
    <x v="0"/>
    <s v="No Mutation"/>
    <s v="Yes"/>
    <s v="Yes"/>
    <s v="No"/>
    <s v="No"/>
    <s v="Yes"/>
    <s v="Yes"/>
    <s v="No"/>
    <s v="No"/>
    <s v="No"/>
    <s v="No"/>
    <x v="1"/>
    <s v="Not Applicable"/>
    <x v="3"/>
    <n v="3.9"/>
    <s v="No"/>
    <s v="CT Scan"/>
    <s v="Surgery"/>
    <n v="40"/>
    <s v="Yes"/>
  </r>
  <r>
    <s v="LC-1379"/>
    <n v="2018"/>
    <d v="2018-01-07T00:00:00"/>
    <s v="Western Pacific"/>
    <s v="Vietnam"/>
    <n v="49"/>
    <x v="1"/>
    <x v="2"/>
    <n v="0"/>
    <n v="0"/>
    <x v="0"/>
    <x v="0"/>
    <x v="0"/>
    <x v="0"/>
    <x v="1"/>
    <n v="31.4"/>
    <x v="1"/>
    <s v="No"/>
    <x v="0"/>
    <x v="0"/>
    <x v="0"/>
    <s v="EGFR"/>
    <s v="No"/>
    <s v="Yes"/>
    <s v="No"/>
    <s v="No"/>
    <s v="Yes"/>
    <s v="No"/>
    <s v="Yes"/>
    <s v="No"/>
    <s v="No"/>
    <s v="No"/>
    <x v="0"/>
    <s v="Adenocarcinoma"/>
    <x v="2"/>
    <n v="6.9"/>
    <s v="No"/>
    <s v="Chest X-Ray"/>
    <s v="Surgery + Chemotherapy"/>
    <n v="16"/>
    <s v="No"/>
  </r>
  <r>
    <s v="LC-1380"/>
    <n v="2024"/>
    <d v="2024-03-03T00:00:00"/>
    <s v="South-East Asia"/>
    <s v="Thailand"/>
    <n v="64"/>
    <x v="1"/>
    <x v="2"/>
    <n v="0"/>
    <n v="0"/>
    <x v="0"/>
    <x v="1"/>
    <x v="0"/>
    <x v="1"/>
    <x v="1"/>
    <n v="27"/>
    <x v="1"/>
    <s v="No"/>
    <x v="0"/>
    <x v="0"/>
    <x v="0"/>
    <s v="No Mutation"/>
    <s v="Yes"/>
    <s v="Yes"/>
    <s v="No"/>
    <s v="No"/>
    <s v="No"/>
    <s v="No"/>
    <s v="No"/>
    <s v="No"/>
    <s v="No"/>
    <s v="No"/>
    <x v="0"/>
    <s v="Large Cell"/>
    <x v="0"/>
    <n v="6.6"/>
    <s v="Yes"/>
    <s v="CT Scan"/>
    <s v="Chemotherapy"/>
    <n v="7"/>
    <s v="No"/>
  </r>
  <r>
    <s v="LC-1381"/>
    <n v="2022"/>
    <d v="2022-06-13T00:00:00"/>
    <s v="Eastern Mediterranean"/>
    <s v="Qatar"/>
    <n v="58"/>
    <x v="1"/>
    <x v="0"/>
    <n v="11"/>
    <n v="22"/>
    <x v="1"/>
    <x v="0"/>
    <x v="0"/>
    <x v="1"/>
    <x v="0"/>
    <n v="31"/>
    <x v="1"/>
    <s v="Yes"/>
    <x v="0"/>
    <x v="0"/>
    <x v="0"/>
    <s v="No Mutation"/>
    <s v="Yes"/>
    <s v="Yes"/>
    <s v="Yes"/>
    <s v="Yes"/>
    <s v="Yes"/>
    <s v="Yes"/>
    <s v="No"/>
    <s v="No"/>
    <s v="No"/>
    <s v="No"/>
    <x v="0"/>
    <s v="Adenocarcinoma"/>
    <x v="3"/>
    <n v="4"/>
    <s v="No"/>
    <s v="Biopsy"/>
    <s v="Radiotherapy"/>
    <n v="27"/>
    <s v="No"/>
  </r>
  <r>
    <s v="LC-1382"/>
    <n v="2025"/>
    <d v="2025-01-22T00:00:00"/>
    <s v="Western Pacific"/>
    <s v="Philippines"/>
    <n v="50"/>
    <x v="1"/>
    <x v="2"/>
    <n v="0"/>
    <n v="0"/>
    <x v="1"/>
    <x v="1"/>
    <x v="1"/>
    <x v="0"/>
    <x v="0"/>
    <n v="29.6"/>
    <x v="0"/>
    <s v="No"/>
    <x v="0"/>
    <x v="0"/>
    <x v="0"/>
    <s v="MET"/>
    <s v="No"/>
    <s v="No"/>
    <s v="Yes"/>
    <s v="No"/>
    <s v="Yes"/>
    <s v="No"/>
    <s v="No"/>
    <s v="No"/>
    <s v="No"/>
    <s v="No"/>
    <x v="0"/>
    <s v="Large Cell"/>
    <x v="1"/>
    <n v="2.5"/>
    <s v="No"/>
    <s v="PET Scan"/>
    <s v="Surgery"/>
    <n v="40"/>
    <s v="Yes"/>
  </r>
  <r>
    <s v="LC-1383"/>
    <n v="2020"/>
    <d v="2020-05-27T00:00:00"/>
    <s v="Americas"/>
    <s v="Brazil"/>
    <n v="79"/>
    <x v="1"/>
    <x v="2"/>
    <n v="0"/>
    <n v="0"/>
    <x v="0"/>
    <x v="0"/>
    <x v="0"/>
    <x v="2"/>
    <x v="0"/>
    <n v="27"/>
    <x v="0"/>
    <s v="No"/>
    <x v="0"/>
    <x v="0"/>
    <x v="0"/>
    <s v="No Mutation"/>
    <s v="No"/>
    <s v="No"/>
    <s v="No"/>
    <s v="No"/>
    <s v="No"/>
    <s v="No"/>
    <s v="No"/>
    <s v="No"/>
    <s v="No"/>
    <s v="No"/>
    <x v="0"/>
    <s v="Adenocarcinoma"/>
    <x v="3"/>
    <n v="5.7"/>
    <s v="No"/>
    <s v="PET Scan"/>
    <s v="Chemotherapy"/>
    <n v="44"/>
    <s v="No"/>
  </r>
  <r>
    <s v="LC-1384"/>
    <n v="2025"/>
    <d v="2025-01-13T00:00:00"/>
    <s v="Western Pacific"/>
    <s v="New Zealand"/>
    <n v="78"/>
    <x v="1"/>
    <x v="2"/>
    <n v="0"/>
    <n v="0"/>
    <x v="1"/>
    <x v="0"/>
    <x v="0"/>
    <x v="0"/>
    <x v="2"/>
    <n v="24.2"/>
    <x v="1"/>
    <s v="No"/>
    <x v="0"/>
    <x v="0"/>
    <x v="0"/>
    <s v="ALK"/>
    <s v="No"/>
    <s v="Yes"/>
    <s v="No"/>
    <s v="No"/>
    <s v="No"/>
    <s v="No"/>
    <s v="No"/>
    <s v="No"/>
    <s v="No"/>
    <s v="No"/>
    <x v="0"/>
    <s v="Squamous Cell"/>
    <x v="1"/>
    <n v="2"/>
    <s v="No"/>
    <s v="CT Scan"/>
    <s v="Surgery"/>
    <n v="16"/>
    <s v="No"/>
  </r>
  <r>
    <s v="LC-1385"/>
    <n v="2022"/>
    <d v="2022-09-24T00:00:00"/>
    <s v="Western Pacific"/>
    <s v="Singapore"/>
    <n v="57"/>
    <x v="1"/>
    <x v="2"/>
    <n v="0"/>
    <n v="0"/>
    <x v="0"/>
    <x v="0"/>
    <x v="0"/>
    <x v="0"/>
    <x v="0"/>
    <n v="28"/>
    <x v="2"/>
    <s v="No"/>
    <x v="0"/>
    <x v="0"/>
    <x v="0"/>
    <s v="MET"/>
    <s v="Yes"/>
    <s v="No"/>
    <s v="Yes"/>
    <s v="No"/>
    <s v="No"/>
    <s v="No"/>
    <s v="Yes"/>
    <s v="No"/>
    <s v="No"/>
    <s v="No"/>
    <x v="0"/>
    <s v="Large Cell"/>
    <x v="1"/>
    <n v="1.3"/>
    <s v="No"/>
    <s v="LDCT Screening"/>
    <s v="Surgery"/>
    <n v="60"/>
    <s v="Yes"/>
  </r>
  <r>
    <s v="LC-1386"/>
    <n v="2025"/>
    <d v="2025-04-04T00:00:00"/>
    <s v="Americas"/>
    <s v="Peru"/>
    <n v="69"/>
    <x v="1"/>
    <x v="2"/>
    <n v="0"/>
    <n v="0"/>
    <x v="1"/>
    <x v="1"/>
    <x v="0"/>
    <x v="2"/>
    <x v="0"/>
    <n v="24.4"/>
    <x v="1"/>
    <s v="No"/>
    <x v="0"/>
    <x v="0"/>
    <x v="1"/>
    <s v="ALK"/>
    <s v="Yes"/>
    <s v="No"/>
    <s v="Yes"/>
    <s v="No"/>
    <s v="Yes"/>
    <s v="No"/>
    <s v="No"/>
    <s v="Yes"/>
    <s v="No"/>
    <s v="No"/>
    <x v="0"/>
    <s v="Adenocarcinoma"/>
    <x v="3"/>
    <n v="3.5"/>
    <s v="No"/>
    <s v="Bronchoscopy"/>
    <s v="Chemotherapy"/>
    <n v="30"/>
    <s v="No"/>
  </r>
  <r>
    <s v="LC-1387"/>
    <n v="2016"/>
    <d v="2016-02-26T00:00:00"/>
    <s v="South-East Asia"/>
    <s v="Indonesia"/>
    <n v="52"/>
    <x v="0"/>
    <x v="2"/>
    <n v="0"/>
    <n v="0"/>
    <x v="0"/>
    <x v="0"/>
    <x v="0"/>
    <x v="1"/>
    <x v="2"/>
    <n v="22.4"/>
    <x v="0"/>
    <s v="No"/>
    <x v="0"/>
    <x v="0"/>
    <x v="0"/>
    <s v="No Mutation"/>
    <s v="No"/>
    <s v="No"/>
    <s v="No"/>
    <s v="Yes"/>
    <s v="Yes"/>
    <s v="Yes"/>
    <s v="No"/>
    <s v="No"/>
    <s v="No"/>
    <s v="No"/>
    <x v="0"/>
    <s v="Adenocarcinoma"/>
    <x v="1"/>
    <n v="3.2"/>
    <s v="No"/>
    <s v="Biopsy"/>
    <s v="Surgery"/>
    <n v="49"/>
    <s v="No"/>
  </r>
  <r>
    <s v="LC-1388"/>
    <n v="2023"/>
    <d v="2023-02-01T00:00:00"/>
    <s v="Europe"/>
    <s v="UK"/>
    <n v="61"/>
    <x v="0"/>
    <x v="2"/>
    <n v="0"/>
    <n v="0"/>
    <x v="0"/>
    <x v="0"/>
    <x v="0"/>
    <x v="0"/>
    <x v="2"/>
    <n v="32.700000000000003"/>
    <x v="0"/>
    <s v="No"/>
    <x v="0"/>
    <x v="0"/>
    <x v="1"/>
    <s v="EGFR"/>
    <s v="No"/>
    <s v="No"/>
    <s v="Yes"/>
    <s v="No"/>
    <s v="No"/>
    <s v="Yes"/>
    <s v="No"/>
    <s v="No"/>
    <s v="Yes"/>
    <s v="No"/>
    <x v="0"/>
    <s v="Adenocarcinoma"/>
    <x v="1"/>
    <n v="1.3"/>
    <s v="No"/>
    <s v="CT Scan"/>
    <s v="Surgery + Chemotherapy"/>
    <n v="69"/>
    <s v="Yes"/>
  </r>
  <r>
    <s v="LC-1389"/>
    <n v="2023"/>
    <d v="2023-04-05T00:00:00"/>
    <s v="Americas"/>
    <s v="Mexico"/>
    <n v="44"/>
    <x v="1"/>
    <x v="2"/>
    <n v="0"/>
    <n v="0"/>
    <x v="1"/>
    <x v="0"/>
    <x v="0"/>
    <x v="1"/>
    <x v="1"/>
    <n v="35.299999999999997"/>
    <x v="1"/>
    <s v="No"/>
    <x v="0"/>
    <x v="0"/>
    <x v="0"/>
    <s v="TP53"/>
    <s v="No"/>
    <s v="No"/>
    <s v="No"/>
    <s v="No"/>
    <s v="Yes"/>
    <s v="No"/>
    <s v="No"/>
    <s v="No"/>
    <s v="No"/>
    <s v="No"/>
    <x v="0"/>
    <s v="Adenocarcinoma"/>
    <x v="1"/>
    <n v="2.4"/>
    <s v="No"/>
    <s v="CT Scan"/>
    <s v="Surgery"/>
    <n v="37"/>
    <s v="Yes"/>
  </r>
  <r>
    <s v="LC-1390"/>
    <n v="2021"/>
    <d v="2021-07-12T00:00:00"/>
    <s v="Western Pacific"/>
    <s v="Japan"/>
    <n v="60"/>
    <x v="1"/>
    <x v="2"/>
    <n v="0"/>
    <n v="0"/>
    <x v="1"/>
    <x v="0"/>
    <x v="0"/>
    <x v="2"/>
    <x v="2"/>
    <n v="25.2"/>
    <x v="0"/>
    <s v="No"/>
    <x v="0"/>
    <x v="0"/>
    <x v="0"/>
    <s v="No Mutation"/>
    <s v="Yes"/>
    <s v="No"/>
    <s v="No"/>
    <s v="No"/>
    <s v="Yes"/>
    <s v="No"/>
    <s v="No"/>
    <s v="Yes"/>
    <s v="No"/>
    <s v="No"/>
    <x v="1"/>
    <s v="Not Applicable"/>
    <x v="0"/>
    <n v="7.5"/>
    <s v="Yes"/>
    <s v="CT Scan"/>
    <s v="Immunotherapy"/>
    <n v="10"/>
    <s v="No"/>
  </r>
  <r>
    <s v="LC-1391"/>
    <n v="2018"/>
    <d v="2018-10-19T00:00:00"/>
    <s v="Americas"/>
    <s v="Argentina"/>
    <n v="56"/>
    <x v="1"/>
    <x v="2"/>
    <n v="0"/>
    <n v="0"/>
    <x v="1"/>
    <x v="0"/>
    <x v="0"/>
    <x v="0"/>
    <x v="2"/>
    <n v="22.7"/>
    <x v="0"/>
    <s v="No"/>
    <x v="1"/>
    <x v="0"/>
    <x v="0"/>
    <s v="ALK"/>
    <s v="No"/>
    <s v="Yes"/>
    <s v="No"/>
    <s v="No"/>
    <s v="No"/>
    <s v="No"/>
    <s v="Yes"/>
    <s v="No"/>
    <s v="No"/>
    <s v="No"/>
    <x v="0"/>
    <s v="Adenocarcinoma"/>
    <x v="2"/>
    <n v="6.1"/>
    <s v="No"/>
    <s v="Chest X-Ray"/>
    <s v="Targeted Therapy"/>
    <n v="15"/>
    <s v="No"/>
  </r>
  <r>
    <s v="LC-1392"/>
    <n v="2017"/>
    <d v="2017-02-01T00:00:00"/>
    <s v="Europe"/>
    <s v="Germany"/>
    <n v="68"/>
    <x v="0"/>
    <x v="2"/>
    <n v="0"/>
    <n v="0"/>
    <x v="0"/>
    <x v="1"/>
    <x v="0"/>
    <x v="0"/>
    <x v="0"/>
    <n v="27.6"/>
    <x v="2"/>
    <s v="Yes"/>
    <x v="0"/>
    <x v="0"/>
    <x v="0"/>
    <s v="No Mutation"/>
    <s v="No"/>
    <s v="No"/>
    <s v="Yes"/>
    <s v="No"/>
    <s v="Yes"/>
    <s v="Yes"/>
    <s v="No"/>
    <s v="No"/>
    <s v="No"/>
    <s v="Yes"/>
    <x v="1"/>
    <s v="Not Applicable"/>
    <x v="2"/>
    <n v="7.8"/>
    <s v="No"/>
    <s v="PET Scan"/>
    <s v="Surgery + Chemotherapy"/>
    <n v="8"/>
    <s v="No"/>
  </r>
  <r>
    <s v="LC-1393"/>
    <n v="2025"/>
    <d v="2025-04-21T00:00:00"/>
    <s v="Western Pacific"/>
    <s v="New Zealand"/>
    <n v="75"/>
    <x v="1"/>
    <x v="2"/>
    <n v="0"/>
    <n v="0"/>
    <x v="0"/>
    <x v="0"/>
    <x v="0"/>
    <x v="2"/>
    <x v="2"/>
    <n v="33.4"/>
    <x v="0"/>
    <s v="No"/>
    <x v="0"/>
    <x v="0"/>
    <x v="0"/>
    <s v="ALK"/>
    <s v="No"/>
    <s v="Yes"/>
    <s v="No"/>
    <s v="Yes"/>
    <s v="Yes"/>
    <s v="No"/>
    <s v="Yes"/>
    <s v="No"/>
    <s v="Yes"/>
    <s v="No"/>
    <x v="0"/>
    <s v="Adenocarcinoma"/>
    <x v="1"/>
    <n v="1.7"/>
    <s v="No"/>
    <s v="LDCT Screening"/>
    <s v="Immunotherapy"/>
    <n v="55"/>
    <s v="Yes"/>
  </r>
  <r>
    <s v="LC-1394"/>
    <n v="2022"/>
    <d v="2022-03-03T00:00:00"/>
    <s v="South-East Asia"/>
    <s v="Sri Lanka"/>
    <n v="59"/>
    <x v="0"/>
    <x v="2"/>
    <n v="0"/>
    <n v="0"/>
    <x v="0"/>
    <x v="0"/>
    <x v="0"/>
    <x v="0"/>
    <x v="0"/>
    <n v="21.9"/>
    <x v="0"/>
    <s v="No"/>
    <x v="0"/>
    <x v="0"/>
    <x v="1"/>
    <s v="RET"/>
    <s v="Yes"/>
    <s v="No"/>
    <s v="No"/>
    <s v="No"/>
    <s v="Yes"/>
    <s v="Yes"/>
    <s v="No"/>
    <s v="No"/>
    <s v="No"/>
    <s v="Yes"/>
    <x v="0"/>
    <s v="Adenocarcinoma"/>
    <x v="0"/>
    <n v="7.8"/>
    <s v="Yes"/>
    <s v="Bronchoscopy"/>
    <s v="Chemotherapy"/>
    <n v="4"/>
    <s v="No"/>
  </r>
  <r>
    <s v="LC-1395"/>
    <n v="2020"/>
    <d v="2020-02-02T00:00:00"/>
    <s v="Americas"/>
    <s v="Peru"/>
    <n v="81"/>
    <x v="0"/>
    <x v="2"/>
    <n v="0"/>
    <n v="0"/>
    <x v="1"/>
    <x v="0"/>
    <x v="0"/>
    <x v="2"/>
    <x v="0"/>
    <n v="22.5"/>
    <x v="1"/>
    <s v="No"/>
    <x v="0"/>
    <x v="0"/>
    <x v="0"/>
    <s v="No Mutation"/>
    <s v="No"/>
    <s v="No"/>
    <s v="No"/>
    <s v="No"/>
    <s v="Yes"/>
    <s v="No"/>
    <s v="Yes"/>
    <s v="No"/>
    <s v="No"/>
    <s v="Yes"/>
    <x v="0"/>
    <s v="Adenocarcinoma"/>
    <x v="3"/>
    <n v="2.6"/>
    <s v="No"/>
    <s v="CT Scan"/>
    <s v="Chemotherapy"/>
    <n v="26"/>
    <s v="Yes"/>
  </r>
  <r>
    <s v="LC-1396"/>
    <n v="2015"/>
    <d v="2015-01-06T00:00:00"/>
    <s v="South-East Asia"/>
    <s v="Bhutan"/>
    <n v="75"/>
    <x v="1"/>
    <x v="2"/>
    <n v="0"/>
    <n v="0"/>
    <x v="1"/>
    <x v="1"/>
    <x v="0"/>
    <x v="1"/>
    <x v="0"/>
    <n v="28.6"/>
    <x v="1"/>
    <s v="No"/>
    <x v="0"/>
    <x v="0"/>
    <x v="0"/>
    <s v="KRAS"/>
    <s v="No"/>
    <s v="Yes"/>
    <s v="No"/>
    <s v="No"/>
    <s v="Yes"/>
    <s v="No"/>
    <s v="No"/>
    <s v="No"/>
    <s v="Yes"/>
    <s v="No"/>
    <x v="0"/>
    <s v="Large Cell"/>
    <x v="2"/>
    <n v="5.2"/>
    <s v="No"/>
    <s v="PET Scan"/>
    <s v="Chemotherapy"/>
    <n v="34"/>
    <s v="Yes"/>
  </r>
  <r>
    <s v="LC-1397"/>
    <n v="2024"/>
    <d v="2024-07-27T00:00:00"/>
    <s v="Americas"/>
    <s v="Chile"/>
    <n v="58"/>
    <x v="0"/>
    <x v="2"/>
    <n v="0"/>
    <n v="0"/>
    <x v="1"/>
    <x v="0"/>
    <x v="1"/>
    <x v="0"/>
    <x v="0"/>
    <n v="25.2"/>
    <x v="2"/>
    <s v="No"/>
    <x v="0"/>
    <x v="0"/>
    <x v="0"/>
    <s v="ALK"/>
    <s v="Yes"/>
    <s v="No"/>
    <s v="No"/>
    <s v="No"/>
    <s v="Yes"/>
    <s v="Yes"/>
    <s v="No"/>
    <s v="Yes"/>
    <s v="No"/>
    <s v="No"/>
    <x v="0"/>
    <s v="Adenocarcinoma"/>
    <x v="2"/>
    <n v="5.5"/>
    <s v="Yes"/>
    <s v="LDCT Screening"/>
    <s v="Radiotherapy"/>
    <n v="20"/>
    <s v="No"/>
  </r>
  <r>
    <s v="LC-1398"/>
    <n v="2025"/>
    <d v="2025-08-01T00:00:00"/>
    <s v="Europe"/>
    <s v="Turkey"/>
    <n v="68"/>
    <x v="1"/>
    <x v="2"/>
    <n v="0"/>
    <n v="0"/>
    <x v="1"/>
    <x v="0"/>
    <x v="0"/>
    <x v="0"/>
    <x v="2"/>
    <n v="31.5"/>
    <x v="0"/>
    <s v="No"/>
    <x v="0"/>
    <x v="0"/>
    <x v="0"/>
    <s v="EGFR"/>
    <s v="No"/>
    <s v="Yes"/>
    <s v="Yes"/>
    <s v="No"/>
    <s v="No"/>
    <s v="No"/>
    <s v="No"/>
    <s v="Yes"/>
    <s v="No"/>
    <s v="No"/>
    <x v="0"/>
    <s v="Adenocarcinoma"/>
    <x v="1"/>
    <n v="2.2000000000000002"/>
    <s v="No"/>
    <s v="Chest X-Ray"/>
    <s v="Surgery + Chemotherapy"/>
    <n v="92"/>
    <s v="Yes"/>
  </r>
  <r>
    <s v="LC-1399"/>
    <n v="2022"/>
    <d v="2022-11-14T00:00:00"/>
    <s v="Americas"/>
    <s v="Brazil"/>
    <n v="76"/>
    <x v="0"/>
    <x v="2"/>
    <n v="0"/>
    <n v="0"/>
    <x v="0"/>
    <x v="0"/>
    <x v="0"/>
    <x v="2"/>
    <x v="0"/>
    <n v="29.4"/>
    <x v="1"/>
    <s v="Yes"/>
    <x v="1"/>
    <x v="0"/>
    <x v="0"/>
    <s v="No Mutation"/>
    <s v="Yes"/>
    <s v="Yes"/>
    <s v="Yes"/>
    <s v="No"/>
    <s v="Yes"/>
    <s v="No"/>
    <s v="No"/>
    <s v="No"/>
    <s v="Yes"/>
    <s v="No"/>
    <x v="0"/>
    <s v="Adenocarcinoma"/>
    <x v="1"/>
    <n v="2.5"/>
    <s v="No"/>
    <s v="CT Scan"/>
    <s v="Surgery"/>
    <n v="30"/>
    <s v="No"/>
  </r>
  <r>
    <s v="LC-1400"/>
    <n v="2024"/>
    <d v="2024-06-07T00:00:00"/>
    <s v="Africa"/>
    <s v="Kenya"/>
    <n v="61"/>
    <x v="0"/>
    <x v="2"/>
    <n v="0"/>
    <n v="0"/>
    <x v="1"/>
    <x v="0"/>
    <x v="0"/>
    <x v="1"/>
    <x v="1"/>
    <n v="30.7"/>
    <x v="2"/>
    <s v="No"/>
    <x v="0"/>
    <x v="1"/>
    <x v="0"/>
    <s v="ALK"/>
    <s v="No"/>
    <s v="No"/>
    <s v="No"/>
    <s v="No"/>
    <s v="No"/>
    <s v="No"/>
    <s v="No"/>
    <s v="No"/>
    <s v="No"/>
    <s v="No"/>
    <x v="0"/>
    <s v="Adenocarcinoma"/>
    <x v="3"/>
    <n v="4.0999999999999996"/>
    <s v="No"/>
    <s v="Biopsy"/>
    <s v="Targeted Therapy"/>
    <n v="61"/>
    <s v="No"/>
  </r>
  <r>
    <s v="LC-1401"/>
    <n v="2016"/>
    <d v="2016-05-09T00:00:00"/>
    <s v="Americas"/>
    <s v="Peru"/>
    <n v="52"/>
    <x v="1"/>
    <x v="2"/>
    <n v="0"/>
    <n v="0"/>
    <x v="1"/>
    <x v="0"/>
    <x v="0"/>
    <x v="2"/>
    <x v="2"/>
    <n v="27.1"/>
    <x v="1"/>
    <s v="No"/>
    <x v="0"/>
    <x v="0"/>
    <x v="0"/>
    <s v="No Mutation"/>
    <s v="No"/>
    <s v="No"/>
    <s v="No"/>
    <s v="No"/>
    <s v="Yes"/>
    <s v="No"/>
    <s v="No"/>
    <s v="Yes"/>
    <s v="No"/>
    <s v="No"/>
    <x v="0"/>
    <s v="Adenocarcinoma"/>
    <x v="2"/>
    <n v="5.7"/>
    <s v="No"/>
    <s v="PET Scan"/>
    <s v="Chemo + Radiation"/>
    <n v="12"/>
    <s v="No"/>
  </r>
  <r>
    <s v="LC-1402"/>
    <n v="2022"/>
    <d v="2022-03-02T00:00:00"/>
    <s v="Western Pacific"/>
    <s v="Mongolia"/>
    <n v="59"/>
    <x v="0"/>
    <x v="2"/>
    <n v="0"/>
    <n v="0"/>
    <x v="1"/>
    <x v="0"/>
    <x v="0"/>
    <x v="1"/>
    <x v="0"/>
    <n v="25.8"/>
    <x v="1"/>
    <s v="No"/>
    <x v="0"/>
    <x v="1"/>
    <x v="0"/>
    <s v="EGFR"/>
    <s v="No"/>
    <s v="No"/>
    <s v="No"/>
    <s v="No"/>
    <s v="Yes"/>
    <s v="No"/>
    <s v="No"/>
    <s v="No"/>
    <s v="No"/>
    <s v="No"/>
    <x v="0"/>
    <s v="Adenocarcinoma"/>
    <x v="1"/>
    <n v="1"/>
    <s v="No"/>
    <s v="Biopsy"/>
    <s v="Targeted Therapy"/>
    <n v="64"/>
    <s v="Yes"/>
  </r>
  <r>
    <s v="LC-1403"/>
    <n v="2020"/>
    <d v="2020-10-20T00:00:00"/>
    <s v="Western Pacific"/>
    <s v="Australia"/>
    <n v="56"/>
    <x v="1"/>
    <x v="2"/>
    <n v="0"/>
    <n v="0"/>
    <x v="1"/>
    <x v="0"/>
    <x v="0"/>
    <x v="0"/>
    <x v="0"/>
    <n v="29"/>
    <x v="0"/>
    <s v="No"/>
    <x v="0"/>
    <x v="0"/>
    <x v="1"/>
    <s v="EGFR"/>
    <s v="No"/>
    <s v="No"/>
    <s v="Yes"/>
    <s v="No"/>
    <s v="No"/>
    <s v="Yes"/>
    <s v="No"/>
    <s v="No"/>
    <s v="No"/>
    <s v="No"/>
    <x v="0"/>
    <s v="Adenocarcinoma"/>
    <x v="3"/>
    <n v="3.6"/>
    <s v="No"/>
    <s v="Bronchoscopy"/>
    <s v="Radiotherapy"/>
    <n v="37"/>
    <s v="No"/>
  </r>
  <r>
    <s v="LC-1404"/>
    <n v="2020"/>
    <d v="2020-11-10T00:00:00"/>
    <s v="Western Pacific"/>
    <s v="New Zealand"/>
    <n v="52"/>
    <x v="0"/>
    <x v="2"/>
    <n v="0"/>
    <n v="0"/>
    <x v="0"/>
    <x v="0"/>
    <x v="0"/>
    <x v="1"/>
    <x v="1"/>
    <n v="28.2"/>
    <x v="0"/>
    <s v="No"/>
    <x v="0"/>
    <x v="0"/>
    <x v="0"/>
    <s v="BRAF"/>
    <s v="No"/>
    <s v="No"/>
    <s v="Yes"/>
    <s v="No"/>
    <s v="Yes"/>
    <s v="Yes"/>
    <s v="No"/>
    <s v="Yes"/>
    <s v="No"/>
    <s v="No"/>
    <x v="0"/>
    <s v="Adenocarcinoma"/>
    <x v="3"/>
    <n v="3.6"/>
    <s v="No"/>
    <s v="CT Scan"/>
    <s v="Surgery"/>
    <n v="30"/>
    <s v="No"/>
  </r>
  <r>
    <s v="LC-1405"/>
    <n v="2017"/>
    <d v="2017-07-18T00:00:00"/>
    <s v="Western Pacific"/>
    <s v="New Zealand"/>
    <n v="57"/>
    <x v="1"/>
    <x v="2"/>
    <n v="0"/>
    <n v="0"/>
    <x v="1"/>
    <x v="1"/>
    <x v="1"/>
    <x v="1"/>
    <x v="2"/>
    <n v="25"/>
    <x v="2"/>
    <s v="No"/>
    <x v="0"/>
    <x v="0"/>
    <x v="0"/>
    <s v="ALK"/>
    <s v="Yes"/>
    <s v="No"/>
    <s v="No"/>
    <s v="No"/>
    <s v="Yes"/>
    <s v="No"/>
    <s v="No"/>
    <s v="Yes"/>
    <s v="No"/>
    <s v="No"/>
    <x v="0"/>
    <s v="Adenocarcinoma"/>
    <x v="1"/>
    <n v="0.6"/>
    <s v="No"/>
    <s v="CT Scan"/>
    <s v="Surgery"/>
    <n v="60"/>
    <s v="No"/>
  </r>
  <r>
    <s v="LC-1406"/>
    <n v="2015"/>
    <d v="2015-01-03T00:00:00"/>
    <s v="Europe"/>
    <s v="Spain"/>
    <n v="52"/>
    <x v="1"/>
    <x v="2"/>
    <n v="0"/>
    <n v="0"/>
    <x v="1"/>
    <x v="0"/>
    <x v="0"/>
    <x v="1"/>
    <x v="2"/>
    <n v="30.4"/>
    <x v="2"/>
    <s v="No"/>
    <x v="0"/>
    <x v="0"/>
    <x v="0"/>
    <s v="No Mutation"/>
    <s v="Yes"/>
    <s v="No"/>
    <s v="Yes"/>
    <s v="No"/>
    <s v="Yes"/>
    <s v="Yes"/>
    <s v="No"/>
    <s v="No"/>
    <s v="No"/>
    <s v="Yes"/>
    <x v="0"/>
    <s v="Squamous Cell"/>
    <x v="0"/>
    <n v="5.7"/>
    <s v="Yes"/>
    <s v="Chest X-Ray"/>
    <s v="Chemotherapy"/>
    <n v="4"/>
    <s v="No"/>
  </r>
  <r>
    <s v="LC-1407"/>
    <n v="2023"/>
    <d v="2023-07-05T00:00:00"/>
    <s v="Americas"/>
    <s v="Chile"/>
    <n v="53"/>
    <x v="0"/>
    <x v="2"/>
    <n v="0"/>
    <n v="0"/>
    <x v="0"/>
    <x v="0"/>
    <x v="0"/>
    <x v="2"/>
    <x v="2"/>
    <n v="32.200000000000003"/>
    <x v="0"/>
    <s v="No"/>
    <x v="0"/>
    <x v="1"/>
    <x v="0"/>
    <s v="EGFR"/>
    <s v="Yes"/>
    <s v="No"/>
    <s v="No"/>
    <s v="No"/>
    <s v="Yes"/>
    <s v="No"/>
    <s v="Yes"/>
    <s v="Yes"/>
    <s v="No"/>
    <s v="No"/>
    <x v="0"/>
    <s v="Adenocarcinoma"/>
    <x v="1"/>
    <n v="3.5"/>
    <s v="No"/>
    <s v="CT Scan"/>
    <s v="Surgery"/>
    <n v="59"/>
    <s v="Yes"/>
  </r>
  <r>
    <s v="LC-1408"/>
    <n v="2025"/>
    <d v="2025-04-21T00:00:00"/>
    <s v="Europe"/>
    <s v="Netherlands"/>
    <n v="74"/>
    <x v="0"/>
    <x v="0"/>
    <n v="15"/>
    <n v="40"/>
    <x v="0"/>
    <x v="1"/>
    <x v="0"/>
    <x v="0"/>
    <x v="2"/>
    <n v="29.3"/>
    <x v="1"/>
    <s v="No"/>
    <x v="0"/>
    <x v="0"/>
    <x v="1"/>
    <s v="BRAF"/>
    <s v="Yes"/>
    <s v="No"/>
    <s v="No"/>
    <s v="No"/>
    <s v="Yes"/>
    <s v="Yes"/>
    <s v="Yes"/>
    <s v="Yes"/>
    <s v="No"/>
    <s v="Yes"/>
    <x v="0"/>
    <s v="Squamous Cell"/>
    <x v="1"/>
    <n v="1.7"/>
    <s v="No"/>
    <s v="CT Scan"/>
    <s v="Radiotherapy"/>
    <n v="71"/>
    <s v="Yes"/>
  </r>
  <r>
    <s v="LC-1409"/>
    <n v="2016"/>
    <d v="2016-04-21T00:00:00"/>
    <s v="Europe"/>
    <s v="Netherlands"/>
    <n v="73"/>
    <x v="0"/>
    <x v="1"/>
    <n v="22"/>
    <n v="19"/>
    <x v="0"/>
    <x v="1"/>
    <x v="1"/>
    <x v="2"/>
    <x v="1"/>
    <n v="29.2"/>
    <x v="0"/>
    <s v="Yes"/>
    <x v="0"/>
    <x v="0"/>
    <x v="0"/>
    <s v="EGFR"/>
    <s v="Yes"/>
    <s v="No"/>
    <s v="Yes"/>
    <s v="No"/>
    <s v="Yes"/>
    <s v="No"/>
    <s v="No"/>
    <s v="No"/>
    <s v="No"/>
    <s v="No"/>
    <x v="0"/>
    <s v="Adenocarcinoma"/>
    <x v="2"/>
    <n v="7.3"/>
    <s v="No"/>
    <s v="PET Scan"/>
    <s v="Chemo + Radiation"/>
    <n v="15"/>
    <s v="No"/>
  </r>
  <r>
    <s v="LC-1410"/>
    <n v="2025"/>
    <d v="2025-01-13T00:00:00"/>
    <s v="Western Pacific"/>
    <s v="Vietnam"/>
    <n v="62"/>
    <x v="1"/>
    <x v="2"/>
    <n v="0"/>
    <n v="0"/>
    <x v="0"/>
    <x v="0"/>
    <x v="1"/>
    <x v="1"/>
    <x v="2"/>
    <n v="27.6"/>
    <x v="1"/>
    <s v="No"/>
    <x v="0"/>
    <x v="1"/>
    <x v="0"/>
    <s v="No Mutation"/>
    <s v="No"/>
    <s v="Yes"/>
    <s v="Yes"/>
    <s v="No"/>
    <s v="No"/>
    <s v="No"/>
    <s v="Yes"/>
    <s v="No"/>
    <s v="No"/>
    <s v="Yes"/>
    <x v="0"/>
    <s v="Adenocarcinoma"/>
    <x v="3"/>
    <n v="3.7"/>
    <s v="No"/>
    <s v="Biopsy"/>
    <s v="Surgery"/>
    <n v="28"/>
    <s v="Yes"/>
  </r>
  <r>
    <s v="LC-1411"/>
    <n v="2018"/>
    <d v="2018-08-18T00:00:00"/>
    <s v="Western Pacific"/>
    <s v="New Zealand"/>
    <n v="73"/>
    <x v="1"/>
    <x v="0"/>
    <n v="22"/>
    <n v="21"/>
    <x v="0"/>
    <x v="0"/>
    <x v="0"/>
    <x v="2"/>
    <x v="1"/>
    <n v="27.2"/>
    <x v="1"/>
    <s v="No"/>
    <x v="0"/>
    <x v="0"/>
    <x v="0"/>
    <s v="TP53"/>
    <s v="Yes"/>
    <s v="Yes"/>
    <s v="Yes"/>
    <s v="Yes"/>
    <s v="No"/>
    <s v="Yes"/>
    <s v="Yes"/>
    <s v="No"/>
    <s v="No"/>
    <s v="No"/>
    <x v="1"/>
    <s v="Not Applicable"/>
    <x v="0"/>
    <n v="7.9"/>
    <s v="Yes"/>
    <s v="Bronchoscopy"/>
    <s v="Chemo + Radiation"/>
    <n v="18"/>
    <s v="No"/>
  </r>
  <r>
    <s v="LC-1412"/>
    <n v="2018"/>
    <d v="2018-06-19T00:00:00"/>
    <s v="South-East Asia"/>
    <s v="Timor-Leste"/>
    <n v="67"/>
    <x v="1"/>
    <x v="0"/>
    <n v="5"/>
    <n v="36"/>
    <x v="1"/>
    <x v="1"/>
    <x v="0"/>
    <x v="1"/>
    <x v="1"/>
    <n v="26.6"/>
    <x v="2"/>
    <s v="Yes"/>
    <x v="0"/>
    <x v="0"/>
    <x v="0"/>
    <s v="ALK"/>
    <s v="Yes"/>
    <s v="No"/>
    <s v="Yes"/>
    <s v="No"/>
    <s v="Yes"/>
    <s v="No"/>
    <s v="Yes"/>
    <s v="Yes"/>
    <s v="No"/>
    <s v="No"/>
    <x v="0"/>
    <s v="Large Cell"/>
    <x v="1"/>
    <n v="2.1"/>
    <s v="No"/>
    <s v="LDCT Screening"/>
    <s v="Radiotherapy"/>
    <n v="61"/>
    <s v="Yes"/>
  </r>
  <r>
    <s v="LC-1413"/>
    <n v="2018"/>
    <d v="2018-06-13T00:00:00"/>
    <s v="Africa"/>
    <s v="Ethiopia"/>
    <n v="60"/>
    <x v="1"/>
    <x v="2"/>
    <n v="0"/>
    <n v="0"/>
    <x v="0"/>
    <x v="0"/>
    <x v="0"/>
    <x v="0"/>
    <x v="0"/>
    <n v="31.7"/>
    <x v="2"/>
    <s v="No"/>
    <x v="0"/>
    <x v="0"/>
    <x v="0"/>
    <s v="KRAS"/>
    <s v="No"/>
    <s v="No"/>
    <s v="No"/>
    <s v="No"/>
    <s v="No"/>
    <s v="No"/>
    <s v="No"/>
    <s v="No"/>
    <s v="No"/>
    <s v="No"/>
    <x v="0"/>
    <s v="Adenocarcinoma"/>
    <x v="1"/>
    <n v="2.2000000000000002"/>
    <s v="No"/>
    <s v="Biopsy"/>
    <s v="Surgery"/>
    <n v="42"/>
    <s v="Yes"/>
  </r>
  <r>
    <s v="LC-1414"/>
    <n v="2025"/>
    <d v="2025-03-01T00:00:00"/>
    <s v="Western Pacific"/>
    <s v="Vietnam"/>
    <n v="79"/>
    <x v="1"/>
    <x v="2"/>
    <n v="0"/>
    <n v="0"/>
    <x v="1"/>
    <x v="0"/>
    <x v="0"/>
    <x v="2"/>
    <x v="2"/>
    <n v="32.6"/>
    <x v="2"/>
    <s v="No"/>
    <x v="0"/>
    <x v="0"/>
    <x v="0"/>
    <s v="EGFR"/>
    <s v="No"/>
    <s v="Yes"/>
    <s v="Yes"/>
    <s v="No"/>
    <s v="No"/>
    <s v="No"/>
    <s v="No"/>
    <s v="Yes"/>
    <s v="No"/>
    <s v="No"/>
    <x v="1"/>
    <s v="Not Applicable"/>
    <x v="2"/>
    <n v="5.5"/>
    <s v="No"/>
    <s v="CT Scan"/>
    <s v="Immunotherapy"/>
    <n v="11"/>
    <s v="No"/>
  </r>
  <r>
    <s v="LC-1415"/>
    <n v="2020"/>
    <d v="2020-10-08T00:00:00"/>
    <s v="Europe"/>
    <s v="UK"/>
    <n v="65"/>
    <x v="0"/>
    <x v="0"/>
    <n v="25"/>
    <n v="36"/>
    <x v="0"/>
    <x v="0"/>
    <x v="0"/>
    <x v="0"/>
    <x v="0"/>
    <n v="21.4"/>
    <x v="2"/>
    <s v="Yes"/>
    <x v="0"/>
    <x v="0"/>
    <x v="0"/>
    <s v="EGFR"/>
    <s v="No"/>
    <s v="Yes"/>
    <s v="Yes"/>
    <s v="Yes"/>
    <s v="Yes"/>
    <s v="Yes"/>
    <s v="Yes"/>
    <s v="No"/>
    <s v="No"/>
    <s v="No"/>
    <x v="0"/>
    <s v="Large Cell"/>
    <x v="0"/>
    <n v="4.7"/>
    <s v="Yes"/>
    <s v="PET Scan"/>
    <s v="Immunotherapy"/>
    <n v="7"/>
    <s v="No"/>
  </r>
  <r>
    <s v="LC-1416"/>
    <n v="2025"/>
    <d v="2025-05-02T00:00:00"/>
    <s v="Americas"/>
    <s v="Peru"/>
    <n v="47"/>
    <x v="1"/>
    <x v="2"/>
    <n v="0"/>
    <n v="0"/>
    <x v="1"/>
    <x v="0"/>
    <x v="0"/>
    <x v="2"/>
    <x v="0"/>
    <n v="31.2"/>
    <x v="2"/>
    <s v="No"/>
    <x v="0"/>
    <x v="0"/>
    <x v="0"/>
    <s v="No Mutation"/>
    <s v="No"/>
    <s v="No"/>
    <s v="Yes"/>
    <s v="No"/>
    <s v="Yes"/>
    <s v="No"/>
    <s v="Yes"/>
    <s v="No"/>
    <s v="No"/>
    <s v="No"/>
    <x v="0"/>
    <s v="Adenocarcinoma"/>
    <x v="2"/>
    <n v="5.0999999999999996"/>
    <s v="No"/>
    <s v="PET Scan"/>
    <s v="Chemotherapy"/>
    <n v="25"/>
    <s v="No"/>
  </r>
  <r>
    <s v="LC-1417"/>
    <n v="2015"/>
    <d v="2015-09-12T00:00:00"/>
    <s v="Americas"/>
    <s v="Venezuela"/>
    <n v="45"/>
    <x v="0"/>
    <x v="2"/>
    <n v="0"/>
    <n v="0"/>
    <x v="1"/>
    <x v="0"/>
    <x v="0"/>
    <x v="2"/>
    <x v="2"/>
    <n v="30.2"/>
    <x v="1"/>
    <s v="No"/>
    <x v="0"/>
    <x v="0"/>
    <x v="0"/>
    <s v="ALK"/>
    <s v="No"/>
    <s v="No"/>
    <s v="No"/>
    <s v="Yes"/>
    <s v="Yes"/>
    <s v="No"/>
    <s v="No"/>
    <s v="Yes"/>
    <s v="No"/>
    <s v="No"/>
    <x v="0"/>
    <s v="Adenocarcinoma"/>
    <x v="2"/>
    <n v="9.4"/>
    <s v="No"/>
    <s v="CT Scan"/>
    <s v="Chemotherapy"/>
    <n v="24"/>
    <s v="No"/>
  </r>
  <r>
    <s v="LC-1418"/>
    <n v="2017"/>
    <d v="2017-04-06T00:00:00"/>
    <s v="Americas"/>
    <s v="Canada"/>
    <n v="61"/>
    <x v="1"/>
    <x v="2"/>
    <n v="0"/>
    <n v="0"/>
    <x v="0"/>
    <x v="0"/>
    <x v="1"/>
    <x v="0"/>
    <x v="0"/>
    <n v="29.9"/>
    <x v="1"/>
    <s v="No"/>
    <x v="0"/>
    <x v="0"/>
    <x v="0"/>
    <s v="No Mutation"/>
    <s v="Yes"/>
    <s v="No"/>
    <s v="No"/>
    <s v="No"/>
    <s v="Yes"/>
    <s v="No"/>
    <s v="No"/>
    <s v="Yes"/>
    <s v="No"/>
    <s v="No"/>
    <x v="0"/>
    <s v="Adenocarcinoma"/>
    <x v="3"/>
    <n v="3.4"/>
    <s v="No"/>
    <s v="MRI"/>
    <s v="Surgery + Chemotherapy"/>
    <n v="25"/>
    <s v="Yes"/>
  </r>
  <r>
    <s v="LC-1419"/>
    <n v="2025"/>
    <d v="2025-04-22T00:00:00"/>
    <s v="Eastern Mediterranean"/>
    <s v="UAE"/>
    <n v="60"/>
    <x v="1"/>
    <x v="0"/>
    <n v="24"/>
    <n v="26"/>
    <x v="0"/>
    <x v="0"/>
    <x v="0"/>
    <x v="1"/>
    <x v="2"/>
    <n v="32.299999999999997"/>
    <x v="2"/>
    <s v="No"/>
    <x v="0"/>
    <x v="0"/>
    <x v="0"/>
    <s v="KRAS"/>
    <s v="No"/>
    <s v="Yes"/>
    <s v="Yes"/>
    <s v="No"/>
    <s v="Yes"/>
    <s v="Yes"/>
    <s v="No"/>
    <s v="No"/>
    <s v="No"/>
    <s v="No"/>
    <x v="1"/>
    <s v="Not Applicable"/>
    <x v="0"/>
    <n v="8.8000000000000007"/>
    <s v="Yes"/>
    <s v="Biopsy"/>
    <s v="Chemotherapy"/>
    <n v="2"/>
    <s v="No"/>
  </r>
  <r>
    <s v="LC-1420"/>
    <n v="2019"/>
    <d v="2019-05-18T00:00:00"/>
    <s v="Western Pacific"/>
    <s v="China"/>
    <n v="54"/>
    <x v="1"/>
    <x v="2"/>
    <n v="0"/>
    <n v="0"/>
    <x v="1"/>
    <x v="0"/>
    <x v="1"/>
    <x v="1"/>
    <x v="0"/>
    <n v="17"/>
    <x v="1"/>
    <s v="No"/>
    <x v="0"/>
    <x v="0"/>
    <x v="0"/>
    <s v="No Mutation"/>
    <s v="No"/>
    <s v="No"/>
    <s v="Yes"/>
    <s v="Yes"/>
    <s v="Yes"/>
    <s v="No"/>
    <s v="No"/>
    <s v="No"/>
    <s v="No"/>
    <s v="No"/>
    <x v="0"/>
    <s v="Adenocarcinoma"/>
    <x v="0"/>
    <n v="5.2"/>
    <s v="Yes"/>
    <s v="Chest X-Ray"/>
    <s v="Targeted Therapy"/>
    <n v="8"/>
    <s v="No"/>
  </r>
  <r>
    <s v="LC-1421"/>
    <n v="2019"/>
    <d v="2019-04-19T00:00:00"/>
    <s v="Europe"/>
    <s v="Turkey"/>
    <n v="62"/>
    <x v="1"/>
    <x v="0"/>
    <n v="16"/>
    <n v="18"/>
    <x v="0"/>
    <x v="0"/>
    <x v="0"/>
    <x v="2"/>
    <x v="2"/>
    <n v="23.8"/>
    <x v="1"/>
    <s v="No"/>
    <x v="0"/>
    <x v="0"/>
    <x v="0"/>
    <s v="BRAF"/>
    <s v="Yes"/>
    <s v="Yes"/>
    <s v="Yes"/>
    <s v="No"/>
    <s v="Yes"/>
    <s v="No"/>
    <s v="No"/>
    <s v="No"/>
    <s v="No"/>
    <s v="No"/>
    <x v="0"/>
    <s v="Large Cell"/>
    <x v="1"/>
    <n v="2.5"/>
    <s v="No"/>
    <s v="CT Scan"/>
    <s v="Surgery"/>
    <n v="44"/>
    <s v="No"/>
  </r>
  <r>
    <s v="LC-1422"/>
    <n v="2025"/>
    <d v="2025-06-27T00:00:00"/>
    <s v="Western Pacific"/>
    <s v="South Korea"/>
    <n v="47"/>
    <x v="0"/>
    <x v="2"/>
    <n v="0"/>
    <n v="0"/>
    <x v="1"/>
    <x v="0"/>
    <x v="0"/>
    <x v="2"/>
    <x v="2"/>
    <n v="27.9"/>
    <x v="0"/>
    <s v="No"/>
    <x v="0"/>
    <x v="0"/>
    <x v="0"/>
    <s v="No Mutation"/>
    <s v="No"/>
    <s v="No"/>
    <s v="No"/>
    <s v="No"/>
    <s v="Yes"/>
    <s v="No"/>
    <s v="No"/>
    <s v="No"/>
    <s v="No"/>
    <s v="No"/>
    <x v="0"/>
    <s v="Adenocarcinoma"/>
    <x v="0"/>
    <n v="8"/>
    <s v="Yes"/>
    <s v="CT Scan"/>
    <s v="Immunotherapy"/>
    <n v="9"/>
    <s v="No"/>
  </r>
  <r>
    <s v="LC-1423"/>
    <n v="2023"/>
    <d v="2023-03-08T00:00:00"/>
    <s v="South-East Asia"/>
    <s v="Bhutan"/>
    <n v="48"/>
    <x v="1"/>
    <x v="2"/>
    <n v="0"/>
    <n v="0"/>
    <x v="0"/>
    <x v="1"/>
    <x v="1"/>
    <x v="1"/>
    <x v="1"/>
    <n v="30.4"/>
    <x v="1"/>
    <s v="Yes"/>
    <x v="0"/>
    <x v="0"/>
    <x v="0"/>
    <s v="EGFR"/>
    <s v="No"/>
    <s v="No"/>
    <s v="No"/>
    <s v="No"/>
    <s v="Yes"/>
    <s v="No"/>
    <s v="No"/>
    <s v="Yes"/>
    <s v="No"/>
    <s v="Yes"/>
    <x v="0"/>
    <s v="Adenocarcinoma"/>
    <x v="0"/>
    <n v="6.8"/>
    <s v="Yes"/>
    <s v="Bronchoscopy"/>
    <s v="Immunotherapy"/>
    <n v="7"/>
    <s v="No"/>
  </r>
  <r>
    <s v="LC-1424"/>
    <n v="2022"/>
    <d v="2022-06-26T00:00:00"/>
    <s v="Western Pacific"/>
    <s v="Vietnam"/>
    <n v="66"/>
    <x v="1"/>
    <x v="0"/>
    <n v="24"/>
    <n v="17"/>
    <x v="0"/>
    <x v="0"/>
    <x v="0"/>
    <x v="0"/>
    <x v="0"/>
    <n v="23.8"/>
    <x v="2"/>
    <s v="Yes"/>
    <x v="0"/>
    <x v="0"/>
    <x v="0"/>
    <s v="No Mutation"/>
    <s v="Yes"/>
    <s v="Yes"/>
    <s v="No"/>
    <s v="No"/>
    <s v="Yes"/>
    <s v="Yes"/>
    <s v="Yes"/>
    <s v="Yes"/>
    <s v="No"/>
    <s v="No"/>
    <x v="0"/>
    <s v="Adenocarcinoma"/>
    <x v="1"/>
    <n v="0.9"/>
    <s v="No"/>
    <s v="LDCT Screening"/>
    <s v="Surgery"/>
    <n v="53"/>
    <s v="Yes"/>
  </r>
  <r>
    <s v="LC-1425"/>
    <n v="2017"/>
    <d v="2017-10-01T00:00:00"/>
    <s v="Western Pacific"/>
    <s v="Vietnam"/>
    <n v="71"/>
    <x v="1"/>
    <x v="0"/>
    <n v="35"/>
    <n v="48"/>
    <x v="0"/>
    <x v="0"/>
    <x v="0"/>
    <x v="0"/>
    <x v="0"/>
    <n v="31.4"/>
    <x v="0"/>
    <s v="Yes"/>
    <x v="0"/>
    <x v="0"/>
    <x v="0"/>
    <s v="No Mutation"/>
    <s v="Yes"/>
    <s v="Yes"/>
    <s v="Yes"/>
    <s v="Yes"/>
    <s v="No"/>
    <s v="Yes"/>
    <s v="Yes"/>
    <s v="No"/>
    <s v="No"/>
    <s v="No"/>
    <x v="1"/>
    <s v="Not Applicable"/>
    <x v="1"/>
    <n v="1.8"/>
    <s v="No"/>
    <s v="Chest X-Ray"/>
    <s v="Immunotherapy"/>
    <n v="77"/>
    <s v="Yes"/>
  </r>
  <r>
    <s v="LC-1426"/>
    <n v="2023"/>
    <d v="2023-10-19T00:00:00"/>
    <s v="Eastern Mediterranean"/>
    <s v="Saudi Arabia"/>
    <n v="41"/>
    <x v="0"/>
    <x v="2"/>
    <n v="0"/>
    <n v="0"/>
    <x v="0"/>
    <x v="0"/>
    <x v="0"/>
    <x v="0"/>
    <x v="2"/>
    <n v="24.8"/>
    <x v="2"/>
    <s v="No"/>
    <x v="0"/>
    <x v="0"/>
    <x v="0"/>
    <s v="No Mutation"/>
    <s v="Yes"/>
    <s v="Yes"/>
    <s v="No"/>
    <s v="No"/>
    <s v="Yes"/>
    <s v="No"/>
    <s v="No"/>
    <s v="No"/>
    <s v="No"/>
    <s v="No"/>
    <x v="0"/>
    <s v="Adenocarcinoma"/>
    <x v="1"/>
    <n v="3.3"/>
    <s v="No"/>
    <s v="LDCT Screening"/>
    <s v="Radiotherapy"/>
    <n v="40"/>
    <s v="Yes"/>
  </r>
  <r>
    <s v="LC-1427"/>
    <n v="2024"/>
    <d v="2024-10-07T00:00:00"/>
    <s v="Africa"/>
    <s v="Morocco"/>
    <n v="54"/>
    <x v="1"/>
    <x v="2"/>
    <n v="0"/>
    <n v="0"/>
    <x v="1"/>
    <x v="0"/>
    <x v="0"/>
    <x v="0"/>
    <x v="1"/>
    <n v="26.7"/>
    <x v="0"/>
    <s v="No"/>
    <x v="0"/>
    <x v="0"/>
    <x v="0"/>
    <s v="EGFR"/>
    <s v="No"/>
    <s v="Yes"/>
    <s v="Yes"/>
    <s v="No"/>
    <s v="Yes"/>
    <s v="No"/>
    <s v="No"/>
    <s v="No"/>
    <s v="No"/>
    <s v="No"/>
    <x v="0"/>
    <s v="Adenocarcinoma"/>
    <x v="0"/>
    <n v="4"/>
    <s v="Yes"/>
    <s v="CT Scan"/>
    <s v="Targeted Therapy"/>
    <n v="5"/>
    <s v="No"/>
  </r>
  <r>
    <s v="LC-1428"/>
    <n v="2024"/>
    <d v="2024-09-10T00:00:00"/>
    <s v="South-East Asia"/>
    <s v="Indonesia"/>
    <n v="63"/>
    <x v="0"/>
    <x v="0"/>
    <n v="15"/>
    <n v="30"/>
    <x v="1"/>
    <x v="0"/>
    <x v="0"/>
    <x v="0"/>
    <x v="0"/>
    <n v="32"/>
    <x v="1"/>
    <s v="No"/>
    <x v="0"/>
    <x v="0"/>
    <x v="0"/>
    <s v="KRAS"/>
    <s v="Yes"/>
    <s v="Yes"/>
    <s v="Yes"/>
    <s v="No"/>
    <s v="No"/>
    <s v="No"/>
    <s v="No"/>
    <s v="No"/>
    <s v="No"/>
    <s v="No"/>
    <x v="0"/>
    <s v="Adenocarcinoma"/>
    <x v="2"/>
    <n v="6.4"/>
    <s v="No"/>
    <s v="Biopsy"/>
    <s v="Chemo + Radiation"/>
    <n v="10"/>
    <s v="No"/>
  </r>
  <r>
    <s v="LC-1429"/>
    <n v="2017"/>
    <d v="2017-08-02T00:00:00"/>
    <s v="Western Pacific"/>
    <s v="Japan"/>
    <n v="60"/>
    <x v="0"/>
    <x v="2"/>
    <n v="0"/>
    <n v="0"/>
    <x v="0"/>
    <x v="0"/>
    <x v="0"/>
    <x v="1"/>
    <x v="1"/>
    <n v="24.5"/>
    <x v="0"/>
    <s v="Yes"/>
    <x v="0"/>
    <x v="0"/>
    <x v="0"/>
    <s v="No Mutation"/>
    <s v="No"/>
    <s v="No"/>
    <s v="No"/>
    <s v="No"/>
    <s v="Yes"/>
    <s v="No"/>
    <s v="No"/>
    <s v="No"/>
    <s v="No"/>
    <s v="No"/>
    <x v="0"/>
    <s v="Large Cell"/>
    <x v="0"/>
    <n v="6.7"/>
    <s v="Yes"/>
    <s v="Biopsy"/>
    <s v="Palliative Care"/>
    <n v="15"/>
    <s v="Yes"/>
  </r>
  <r>
    <s v="LC-1430"/>
    <n v="2025"/>
    <d v="2025-01-08T00:00:00"/>
    <s v="Eastern Mediterranean"/>
    <s v="Kuwait"/>
    <n v="51"/>
    <x v="1"/>
    <x v="2"/>
    <n v="0"/>
    <n v="0"/>
    <x v="0"/>
    <x v="0"/>
    <x v="0"/>
    <x v="1"/>
    <x v="0"/>
    <n v="24.2"/>
    <x v="0"/>
    <s v="No"/>
    <x v="0"/>
    <x v="0"/>
    <x v="0"/>
    <s v="HER2"/>
    <s v="Yes"/>
    <s v="No"/>
    <s v="No"/>
    <s v="No"/>
    <s v="No"/>
    <s v="Yes"/>
    <s v="Yes"/>
    <s v="No"/>
    <s v="No"/>
    <s v="No"/>
    <x v="0"/>
    <s v="Adenocarcinoma"/>
    <x v="2"/>
    <n v="8.6999999999999993"/>
    <s v="No"/>
    <s v="Bronchoscopy"/>
    <s v="Chemotherapy"/>
    <n v="15"/>
    <s v="No"/>
  </r>
  <r>
    <s v="LC-1431"/>
    <n v="2021"/>
    <d v="2021-04-01T00:00:00"/>
    <s v="Americas"/>
    <s v="Cuba"/>
    <n v="60"/>
    <x v="1"/>
    <x v="2"/>
    <n v="0"/>
    <n v="0"/>
    <x v="0"/>
    <x v="0"/>
    <x v="0"/>
    <x v="2"/>
    <x v="0"/>
    <n v="26.2"/>
    <x v="1"/>
    <s v="No"/>
    <x v="0"/>
    <x v="0"/>
    <x v="0"/>
    <s v="No Mutation"/>
    <s v="Yes"/>
    <s v="No"/>
    <s v="Yes"/>
    <s v="No"/>
    <s v="Yes"/>
    <s v="No"/>
    <s v="No"/>
    <s v="No"/>
    <s v="No"/>
    <s v="No"/>
    <x v="0"/>
    <s v="Large Cell"/>
    <x v="3"/>
    <n v="5.7"/>
    <s v="No"/>
    <s v="LDCT Screening"/>
    <s v="Surgery"/>
    <n v="41"/>
    <s v="No"/>
  </r>
  <r>
    <s v="LC-1432"/>
    <n v="2023"/>
    <d v="2023-08-01T00:00:00"/>
    <s v="Europe"/>
    <s v="Russia"/>
    <n v="49"/>
    <x v="0"/>
    <x v="0"/>
    <n v="24"/>
    <n v="22"/>
    <x v="0"/>
    <x v="0"/>
    <x v="0"/>
    <x v="2"/>
    <x v="0"/>
    <n v="29.6"/>
    <x v="1"/>
    <s v="Yes"/>
    <x v="0"/>
    <x v="0"/>
    <x v="0"/>
    <s v="EGFR"/>
    <s v="No"/>
    <s v="Yes"/>
    <s v="Yes"/>
    <s v="No"/>
    <s v="Yes"/>
    <s v="No"/>
    <s v="No"/>
    <s v="Yes"/>
    <s v="No"/>
    <s v="No"/>
    <x v="0"/>
    <s v="Adenocarcinoma"/>
    <x v="0"/>
    <n v="8.1999999999999993"/>
    <s v="Yes"/>
    <s v="CT Scan"/>
    <s v="Immunotherapy"/>
    <n v="10"/>
    <s v="No"/>
  </r>
  <r>
    <s v="LC-1433"/>
    <n v="2017"/>
    <d v="2017-10-07T00:00:00"/>
    <s v="Europe"/>
    <s v="France"/>
    <n v="65"/>
    <x v="0"/>
    <x v="2"/>
    <n v="0"/>
    <n v="0"/>
    <x v="1"/>
    <x v="0"/>
    <x v="0"/>
    <x v="2"/>
    <x v="2"/>
    <n v="21.8"/>
    <x v="1"/>
    <s v="No"/>
    <x v="0"/>
    <x v="0"/>
    <x v="0"/>
    <s v="ALK"/>
    <s v="No"/>
    <s v="No"/>
    <s v="No"/>
    <s v="Yes"/>
    <s v="Yes"/>
    <s v="Yes"/>
    <s v="Yes"/>
    <s v="No"/>
    <s v="No"/>
    <s v="No"/>
    <x v="0"/>
    <s v="Adenocarcinoma"/>
    <x v="3"/>
    <n v="4"/>
    <s v="No"/>
    <s v="CT Scan"/>
    <s v="Radiotherapy"/>
    <n v="43"/>
    <s v="Yes"/>
  </r>
  <r>
    <s v="LC-1434"/>
    <n v="2019"/>
    <d v="2019-06-23T00:00:00"/>
    <s v="Americas"/>
    <s v="Brazil"/>
    <n v="50"/>
    <x v="0"/>
    <x v="2"/>
    <n v="0"/>
    <n v="0"/>
    <x v="0"/>
    <x v="0"/>
    <x v="0"/>
    <x v="0"/>
    <x v="2"/>
    <n v="23.4"/>
    <x v="2"/>
    <s v="No"/>
    <x v="1"/>
    <x v="0"/>
    <x v="1"/>
    <s v="ROS1"/>
    <s v="Yes"/>
    <s v="Yes"/>
    <s v="No"/>
    <s v="No"/>
    <s v="Yes"/>
    <s v="No"/>
    <s v="No"/>
    <s v="Yes"/>
    <s v="No"/>
    <s v="No"/>
    <x v="0"/>
    <s v="Large Cell"/>
    <x v="2"/>
    <n v="4.0999999999999996"/>
    <s v="No"/>
    <s v="Biopsy"/>
    <s v="Surgery + Chemotherapy"/>
    <n v="10"/>
    <s v="No"/>
  </r>
  <r>
    <s v="LC-1435"/>
    <n v="2022"/>
    <d v="2022-06-02T00:00:00"/>
    <s v="Western Pacific"/>
    <s v="China"/>
    <n v="68"/>
    <x v="1"/>
    <x v="0"/>
    <n v="24"/>
    <n v="30"/>
    <x v="1"/>
    <x v="1"/>
    <x v="1"/>
    <x v="2"/>
    <x v="2"/>
    <n v="23.5"/>
    <x v="1"/>
    <s v="No"/>
    <x v="0"/>
    <x v="0"/>
    <x v="1"/>
    <s v="No Mutation"/>
    <s v="No"/>
    <s v="Yes"/>
    <s v="Yes"/>
    <s v="No"/>
    <s v="Yes"/>
    <s v="Yes"/>
    <s v="Yes"/>
    <s v="No"/>
    <s v="No"/>
    <s v="No"/>
    <x v="0"/>
    <s v="Adenocarcinoma"/>
    <x v="3"/>
    <n v="4.2"/>
    <s v="No"/>
    <s v="LDCT Screening"/>
    <s v="Targeted Therapy"/>
    <n v="35"/>
    <s v="No"/>
  </r>
  <r>
    <s v="LC-1436"/>
    <n v="2019"/>
    <d v="2019-03-19T00:00:00"/>
    <s v="Americas"/>
    <s v="Brazil"/>
    <n v="68"/>
    <x v="1"/>
    <x v="2"/>
    <n v="0"/>
    <n v="0"/>
    <x v="0"/>
    <x v="0"/>
    <x v="0"/>
    <x v="2"/>
    <x v="0"/>
    <n v="18.600000000000001"/>
    <x v="1"/>
    <s v="No"/>
    <x v="0"/>
    <x v="0"/>
    <x v="0"/>
    <s v="TP53"/>
    <s v="No"/>
    <s v="Yes"/>
    <s v="No"/>
    <s v="No"/>
    <s v="Yes"/>
    <s v="No"/>
    <s v="No"/>
    <s v="No"/>
    <s v="No"/>
    <s v="No"/>
    <x v="0"/>
    <s v="Adenocarcinoma"/>
    <x v="0"/>
    <n v="9.6999999999999993"/>
    <s v="Yes"/>
    <s v="Biopsy"/>
    <s v="Palliative Care"/>
    <n v="14"/>
    <s v="No"/>
  </r>
  <r>
    <s v="LC-1437"/>
    <n v="2024"/>
    <d v="2024-02-28T00:00:00"/>
    <s v="Africa"/>
    <s v="Algeria"/>
    <n v="77"/>
    <x v="1"/>
    <x v="2"/>
    <n v="0"/>
    <n v="0"/>
    <x v="1"/>
    <x v="1"/>
    <x v="0"/>
    <x v="1"/>
    <x v="0"/>
    <n v="31"/>
    <x v="1"/>
    <s v="No"/>
    <x v="0"/>
    <x v="0"/>
    <x v="0"/>
    <s v="EGFR"/>
    <s v="No"/>
    <s v="No"/>
    <s v="No"/>
    <s v="No"/>
    <s v="No"/>
    <s v="No"/>
    <s v="No"/>
    <s v="Yes"/>
    <s v="No"/>
    <s v="No"/>
    <x v="0"/>
    <s v="Squamous Cell"/>
    <x v="0"/>
    <n v="9.1999999999999993"/>
    <s v="Yes"/>
    <s v="MRI"/>
    <s v="Chemo + Radiation"/>
    <n v="6"/>
    <s v="No"/>
  </r>
  <r>
    <s v="LC-1438"/>
    <n v="2024"/>
    <d v="2024-06-03T00:00:00"/>
    <s v="Western Pacific"/>
    <s v="Vietnam"/>
    <n v="62"/>
    <x v="0"/>
    <x v="2"/>
    <n v="0"/>
    <n v="0"/>
    <x v="1"/>
    <x v="1"/>
    <x v="0"/>
    <x v="0"/>
    <x v="2"/>
    <n v="23.4"/>
    <x v="1"/>
    <s v="No"/>
    <x v="0"/>
    <x v="0"/>
    <x v="0"/>
    <s v="No Mutation"/>
    <s v="Yes"/>
    <s v="No"/>
    <s v="No"/>
    <s v="No"/>
    <s v="No"/>
    <s v="No"/>
    <s v="No"/>
    <s v="No"/>
    <s v="No"/>
    <s v="No"/>
    <x v="0"/>
    <s v="Large Cell"/>
    <x v="1"/>
    <n v="2.4"/>
    <s v="No"/>
    <s v="LDCT Screening"/>
    <s v="Surgery"/>
    <n v="29"/>
    <s v="No"/>
  </r>
  <r>
    <s v="LC-1439"/>
    <n v="2024"/>
    <d v="2024-12-22T00:00:00"/>
    <s v="Western Pacific"/>
    <s v="Malaysia"/>
    <n v="72"/>
    <x v="1"/>
    <x v="2"/>
    <n v="0"/>
    <n v="0"/>
    <x v="1"/>
    <x v="0"/>
    <x v="0"/>
    <x v="1"/>
    <x v="0"/>
    <n v="24.1"/>
    <x v="1"/>
    <s v="No"/>
    <x v="0"/>
    <x v="0"/>
    <x v="0"/>
    <s v="EGFR"/>
    <s v="No"/>
    <s v="No"/>
    <s v="No"/>
    <s v="No"/>
    <s v="Yes"/>
    <s v="No"/>
    <s v="No"/>
    <s v="No"/>
    <s v="No"/>
    <s v="No"/>
    <x v="0"/>
    <s v="Adenocarcinoma"/>
    <x v="3"/>
    <n v="2.7"/>
    <s v="No"/>
    <s v="Biopsy"/>
    <s v="Surgery + Chemotherapy"/>
    <n v="40"/>
    <s v="Yes"/>
  </r>
  <r>
    <s v="LC-1440"/>
    <n v="2018"/>
    <d v="2018-10-04T00:00:00"/>
    <s v="Americas"/>
    <s v="Colombia"/>
    <n v="54"/>
    <x v="1"/>
    <x v="0"/>
    <n v="22"/>
    <n v="19"/>
    <x v="1"/>
    <x v="1"/>
    <x v="1"/>
    <x v="0"/>
    <x v="2"/>
    <n v="29.8"/>
    <x v="0"/>
    <s v="Yes"/>
    <x v="1"/>
    <x v="0"/>
    <x v="0"/>
    <s v="KRAS"/>
    <s v="No"/>
    <s v="Yes"/>
    <s v="Yes"/>
    <s v="Yes"/>
    <s v="Yes"/>
    <s v="Yes"/>
    <s v="No"/>
    <s v="No"/>
    <s v="No"/>
    <s v="No"/>
    <x v="0"/>
    <s v="Adenocarcinoma"/>
    <x v="0"/>
    <n v="10.3"/>
    <s v="Yes"/>
    <s v="PET Scan"/>
    <s v="Chemotherapy"/>
    <n v="3"/>
    <s v="No"/>
  </r>
  <r>
    <s v="LC-1441"/>
    <n v="2019"/>
    <d v="2019-05-11T00:00:00"/>
    <s v="Europe"/>
    <s v="France"/>
    <n v="52"/>
    <x v="0"/>
    <x v="2"/>
    <n v="0"/>
    <n v="0"/>
    <x v="1"/>
    <x v="0"/>
    <x v="0"/>
    <x v="0"/>
    <x v="0"/>
    <n v="33.9"/>
    <x v="0"/>
    <s v="No"/>
    <x v="0"/>
    <x v="0"/>
    <x v="0"/>
    <s v="No Mutation"/>
    <s v="Yes"/>
    <s v="No"/>
    <s v="No"/>
    <s v="Yes"/>
    <s v="No"/>
    <s v="No"/>
    <s v="No"/>
    <s v="No"/>
    <s v="No"/>
    <s v="No"/>
    <x v="0"/>
    <s v="Adenocarcinoma"/>
    <x v="1"/>
    <n v="0.7"/>
    <s v="No"/>
    <s v="Chest X-Ray"/>
    <s v="Surgery + Chemotherapy"/>
    <n v="31"/>
    <s v="No"/>
  </r>
  <r>
    <s v="LC-1442"/>
    <n v="2025"/>
    <d v="2025-03-24T00:00:00"/>
    <s v="Western Pacific"/>
    <s v="Malaysia"/>
    <n v="76"/>
    <x v="0"/>
    <x v="2"/>
    <n v="0"/>
    <n v="0"/>
    <x v="1"/>
    <x v="0"/>
    <x v="0"/>
    <x v="1"/>
    <x v="0"/>
    <n v="22.6"/>
    <x v="0"/>
    <s v="No"/>
    <x v="1"/>
    <x v="0"/>
    <x v="0"/>
    <s v="MET"/>
    <s v="No"/>
    <s v="No"/>
    <s v="No"/>
    <s v="No"/>
    <s v="Yes"/>
    <s v="No"/>
    <s v="No"/>
    <s v="Yes"/>
    <s v="No"/>
    <s v="No"/>
    <x v="0"/>
    <s v="Adenocarcinoma"/>
    <x v="1"/>
    <n v="1.3"/>
    <s v="No"/>
    <s v="CT Scan"/>
    <s v="Surgery"/>
    <n v="44"/>
    <s v="Yes"/>
  </r>
  <r>
    <s v="LC-1443"/>
    <n v="2024"/>
    <d v="2024-11-16T00:00:00"/>
    <s v="South-East Asia"/>
    <s v="Sri Lanka"/>
    <n v="76"/>
    <x v="1"/>
    <x v="1"/>
    <n v="16"/>
    <n v="21"/>
    <x v="1"/>
    <x v="0"/>
    <x v="1"/>
    <x v="2"/>
    <x v="0"/>
    <n v="25.6"/>
    <x v="0"/>
    <s v="Yes"/>
    <x v="0"/>
    <x v="0"/>
    <x v="0"/>
    <s v="No Mutation"/>
    <s v="Yes"/>
    <s v="No"/>
    <s v="No"/>
    <s v="Yes"/>
    <s v="Yes"/>
    <s v="Yes"/>
    <s v="No"/>
    <s v="Yes"/>
    <s v="Yes"/>
    <s v="No"/>
    <x v="0"/>
    <s v="Adenocarcinoma"/>
    <x v="2"/>
    <n v="3"/>
    <s v="Yes"/>
    <s v="CT Scan"/>
    <s v="Chemo + Radiation"/>
    <n v="10"/>
    <s v="No"/>
  </r>
  <r>
    <s v="LC-1444"/>
    <n v="2016"/>
    <d v="2016-03-23T00:00:00"/>
    <s v="South-East Asia"/>
    <s v="Timor-Leste"/>
    <n v="51"/>
    <x v="1"/>
    <x v="2"/>
    <n v="0"/>
    <n v="0"/>
    <x v="1"/>
    <x v="0"/>
    <x v="0"/>
    <x v="1"/>
    <x v="2"/>
    <n v="24.1"/>
    <x v="2"/>
    <s v="No"/>
    <x v="0"/>
    <x v="0"/>
    <x v="1"/>
    <s v="EGFR"/>
    <s v="No"/>
    <s v="No"/>
    <s v="No"/>
    <s v="No"/>
    <s v="No"/>
    <s v="No"/>
    <s v="No"/>
    <s v="No"/>
    <s v="No"/>
    <s v="No"/>
    <x v="0"/>
    <s v="Adenocarcinoma"/>
    <x v="0"/>
    <n v="9.6"/>
    <s v="Yes"/>
    <s v="Bronchoscopy"/>
    <s v="Targeted Therapy"/>
    <n v="1"/>
    <s v="No"/>
  </r>
  <r>
    <s v="LC-1445"/>
    <n v="2018"/>
    <d v="2018-12-20T00:00:00"/>
    <s v="Europe"/>
    <s v="Russia"/>
    <n v="56"/>
    <x v="1"/>
    <x v="0"/>
    <n v="41"/>
    <n v="36"/>
    <x v="1"/>
    <x v="0"/>
    <x v="0"/>
    <x v="2"/>
    <x v="1"/>
    <n v="26.3"/>
    <x v="1"/>
    <s v="Yes"/>
    <x v="0"/>
    <x v="0"/>
    <x v="0"/>
    <s v="TP53"/>
    <s v="No"/>
    <s v="No"/>
    <s v="No"/>
    <s v="Yes"/>
    <s v="Yes"/>
    <s v="No"/>
    <s v="No"/>
    <s v="No"/>
    <s v="No"/>
    <s v="No"/>
    <x v="0"/>
    <s v="Adenocarcinoma"/>
    <x v="2"/>
    <n v="3.9"/>
    <s v="No"/>
    <s v="PET Scan"/>
    <s v="Surgery + Chemotherapy"/>
    <n v="12"/>
    <s v="No"/>
  </r>
  <r>
    <s v="LC-1446"/>
    <n v="2019"/>
    <d v="2019-04-22T00:00:00"/>
    <s v="Western Pacific"/>
    <s v="Mongolia"/>
    <n v="67"/>
    <x v="0"/>
    <x v="0"/>
    <n v="26"/>
    <n v="39"/>
    <x v="0"/>
    <x v="0"/>
    <x v="1"/>
    <x v="0"/>
    <x v="2"/>
    <n v="24.8"/>
    <x v="1"/>
    <s v="Yes"/>
    <x v="1"/>
    <x v="0"/>
    <x v="0"/>
    <s v="KRAS"/>
    <s v="Yes"/>
    <s v="Yes"/>
    <s v="No"/>
    <s v="No"/>
    <s v="No"/>
    <s v="No"/>
    <s v="No"/>
    <s v="Yes"/>
    <s v="No"/>
    <s v="No"/>
    <x v="0"/>
    <s v="Large Cell"/>
    <x v="0"/>
    <n v="7.7"/>
    <s v="Yes"/>
    <s v="PET Scan"/>
    <s v="Immunotherapy"/>
    <n v="4"/>
    <s v="No"/>
  </r>
  <r>
    <s v="LC-1447"/>
    <n v="2017"/>
    <d v="2017-03-13T00:00:00"/>
    <s v="Western Pacific"/>
    <s v="Philippines"/>
    <n v="62"/>
    <x v="0"/>
    <x v="2"/>
    <n v="0"/>
    <n v="0"/>
    <x v="1"/>
    <x v="0"/>
    <x v="1"/>
    <x v="0"/>
    <x v="0"/>
    <n v="23"/>
    <x v="2"/>
    <s v="No"/>
    <x v="0"/>
    <x v="0"/>
    <x v="0"/>
    <s v="No Mutation"/>
    <s v="No"/>
    <s v="Yes"/>
    <s v="No"/>
    <s v="Yes"/>
    <s v="No"/>
    <s v="No"/>
    <s v="Yes"/>
    <s v="Yes"/>
    <s v="No"/>
    <s v="No"/>
    <x v="0"/>
    <s v="Large Cell"/>
    <x v="2"/>
    <n v="3.9"/>
    <s v="No"/>
    <s v="CT Scan"/>
    <s v="Chemotherapy"/>
    <n v="7"/>
    <s v="No"/>
  </r>
  <r>
    <s v="LC-1448"/>
    <n v="2021"/>
    <d v="2021-12-23T00:00:00"/>
    <s v="Europe"/>
    <s v="Spain"/>
    <n v="73"/>
    <x v="1"/>
    <x v="2"/>
    <n v="0"/>
    <n v="0"/>
    <x v="0"/>
    <x v="0"/>
    <x v="0"/>
    <x v="0"/>
    <x v="2"/>
    <n v="23.8"/>
    <x v="2"/>
    <s v="Yes"/>
    <x v="0"/>
    <x v="0"/>
    <x v="0"/>
    <s v="ALK"/>
    <s v="No"/>
    <s v="Yes"/>
    <s v="No"/>
    <s v="No"/>
    <s v="Yes"/>
    <s v="No"/>
    <s v="No"/>
    <s v="Yes"/>
    <s v="No"/>
    <s v="No"/>
    <x v="0"/>
    <s v="Adenocarcinoma"/>
    <x v="0"/>
    <n v="5.0999999999999996"/>
    <s v="Yes"/>
    <s v="CT Scan"/>
    <s v="Targeted Therapy"/>
    <n v="11"/>
    <s v="No"/>
  </r>
  <r>
    <s v="LC-1449"/>
    <n v="2015"/>
    <d v="2015-03-06T00:00:00"/>
    <s v="Americas"/>
    <s v="USA"/>
    <n v="62"/>
    <x v="1"/>
    <x v="2"/>
    <n v="0"/>
    <n v="0"/>
    <x v="0"/>
    <x v="1"/>
    <x v="0"/>
    <x v="0"/>
    <x v="2"/>
    <n v="30.5"/>
    <x v="2"/>
    <s v="No"/>
    <x v="0"/>
    <x v="0"/>
    <x v="0"/>
    <s v="No Mutation"/>
    <s v="Yes"/>
    <s v="No"/>
    <s v="No"/>
    <s v="No"/>
    <s v="Yes"/>
    <s v="No"/>
    <s v="Yes"/>
    <s v="No"/>
    <s v="No"/>
    <s v="Yes"/>
    <x v="0"/>
    <s v="Large Cell"/>
    <x v="0"/>
    <n v="8.1999999999999993"/>
    <s v="Yes"/>
    <s v="PET Scan"/>
    <s v="Chemo + Radiation"/>
    <n v="13"/>
    <s v="No"/>
  </r>
  <r>
    <s v="LC-1450"/>
    <n v="2025"/>
    <d v="2025-12-19T00:00:00"/>
    <s v="Americas"/>
    <s v="Chile"/>
    <n v="48"/>
    <x v="0"/>
    <x v="2"/>
    <n v="0"/>
    <n v="0"/>
    <x v="0"/>
    <x v="0"/>
    <x v="0"/>
    <x v="0"/>
    <x v="2"/>
    <n v="30.5"/>
    <x v="0"/>
    <s v="No"/>
    <x v="1"/>
    <x v="0"/>
    <x v="0"/>
    <s v="HER2"/>
    <s v="No"/>
    <s v="Yes"/>
    <s v="No"/>
    <s v="No"/>
    <s v="Yes"/>
    <s v="No"/>
    <s v="No"/>
    <s v="No"/>
    <s v="No"/>
    <s v="No"/>
    <x v="0"/>
    <s v="Adenocarcinoma"/>
    <x v="1"/>
    <n v="0.5"/>
    <s v="No"/>
    <s v="Biopsy"/>
    <s v="Surgery"/>
    <n v="44"/>
    <s v="Yes"/>
  </r>
  <r>
    <s v="LC-1451"/>
    <n v="2021"/>
    <d v="2021-10-02T00:00:00"/>
    <s v="South-East Asia"/>
    <s v="Indonesia"/>
    <n v="61"/>
    <x v="1"/>
    <x v="1"/>
    <n v="13"/>
    <n v="20"/>
    <x v="0"/>
    <x v="0"/>
    <x v="0"/>
    <x v="1"/>
    <x v="2"/>
    <n v="25.4"/>
    <x v="2"/>
    <s v="Yes"/>
    <x v="0"/>
    <x v="0"/>
    <x v="0"/>
    <s v="ROS1"/>
    <s v="No"/>
    <s v="Yes"/>
    <s v="No"/>
    <s v="Yes"/>
    <s v="No"/>
    <s v="No"/>
    <s v="No"/>
    <s v="No"/>
    <s v="No"/>
    <s v="No"/>
    <x v="1"/>
    <s v="Not Applicable"/>
    <x v="2"/>
    <n v="9.1"/>
    <s v="No"/>
    <s v="CT Scan"/>
    <s v="Chemo + Radiation"/>
    <n v="20"/>
    <s v="No"/>
  </r>
  <r>
    <s v="LC-1452"/>
    <n v="2016"/>
    <d v="2016-10-11T00:00:00"/>
    <s v="South-East Asia"/>
    <s v="Bhutan"/>
    <n v="51"/>
    <x v="0"/>
    <x v="2"/>
    <n v="0"/>
    <n v="0"/>
    <x v="1"/>
    <x v="0"/>
    <x v="0"/>
    <x v="2"/>
    <x v="2"/>
    <n v="27.5"/>
    <x v="0"/>
    <s v="No"/>
    <x v="0"/>
    <x v="0"/>
    <x v="1"/>
    <s v="No Mutation"/>
    <s v="No"/>
    <s v="No"/>
    <s v="No"/>
    <s v="Yes"/>
    <s v="No"/>
    <s v="No"/>
    <s v="No"/>
    <s v="No"/>
    <s v="No"/>
    <s v="No"/>
    <x v="0"/>
    <s v="Adenocarcinoma"/>
    <x v="0"/>
    <n v="5.6"/>
    <s v="Yes"/>
    <s v="PET Scan"/>
    <s v="Chemotherapy"/>
    <n v="1"/>
    <s v="No"/>
  </r>
  <r>
    <s v="LC-1453"/>
    <n v="2020"/>
    <d v="2020-04-21T00:00:00"/>
    <s v="Western Pacific"/>
    <s v="Mongolia"/>
    <n v="61"/>
    <x v="1"/>
    <x v="1"/>
    <n v="11"/>
    <n v="12"/>
    <x v="0"/>
    <x v="0"/>
    <x v="0"/>
    <x v="1"/>
    <x v="1"/>
    <n v="29.8"/>
    <x v="2"/>
    <s v="Yes"/>
    <x v="0"/>
    <x v="0"/>
    <x v="0"/>
    <s v="No Mutation"/>
    <s v="No"/>
    <s v="No"/>
    <s v="Yes"/>
    <s v="No"/>
    <s v="No"/>
    <s v="No"/>
    <s v="Yes"/>
    <s v="No"/>
    <s v="No"/>
    <s v="No"/>
    <x v="0"/>
    <s v="Adenocarcinoma"/>
    <x v="1"/>
    <n v="2.1"/>
    <s v="No"/>
    <s v="Biopsy"/>
    <s v="Surgery + Chemotherapy"/>
    <n v="36"/>
    <s v="Yes"/>
  </r>
  <r>
    <s v="LC-1454"/>
    <n v="2017"/>
    <d v="2017-02-16T00:00:00"/>
    <s v="Western Pacific"/>
    <s v="South Korea"/>
    <n v="59"/>
    <x v="1"/>
    <x v="2"/>
    <n v="0"/>
    <n v="0"/>
    <x v="0"/>
    <x v="0"/>
    <x v="0"/>
    <x v="2"/>
    <x v="1"/>
    <n v="24.5"/>
    <x v="0"/>
    <s v="No"/>
    <x v="0"/>
    <x v="0"/>
    <x v="0"/>
    <s v="No Mutation"/>
    <s v="Yes"/>
    <s v="No"/>
    <s v="Yes"/>
    <s v="No"/>
    <s v="No"/>
    <s v="No"/>
    <s v="No"/>
    <s v="Yes"/>
    <s v="No"/>
    <s v="No"/>
    <x v="0"/>
    <s v="Large Cell"/>
    <x v="1"/>
    <n v="0.8"/>
    <s v="No"/>
    <s v="LDCT Screening"/>
    <s v="Surgery"/>
    <n v="69"/>
    <s v="Yes"/>
  </r>
  <r>
    <s v="LC-1455"/>
    <n v="2017"/>
    <d v="2017-06-24T00:00:00"/>
    <s v="Americas"/>
    <s v="Canada"/>
    <n v="59"/>
    <x v="1"/>
    <x v="1"/>
    <n v="11"/>
    <n v="10"/>
    <x v="1"/>
    <x v="1"/>
    <x v="0"/>
    <x v="0"/>
    <x v="2"/>
    <n v="29.1"/>
    <x v="0"/>
    <s v="Yes"/>
    <x v="0"/>
    <x v="0"/>
    <x v="0"/>
    <s v="No Mutation"/>
    <s v="No"/>
    <s v="No"/>
    <s v="Yes"/>
    <s v="No"/>
    <s v="Yes"/>
    <s v="No"/>
    <s v="Yes"/>
    <s v="No"/>
    <s v="No"/>
    <s v="No"/>
    <x v="0"/>
    <s v="Adenocarcinoma"/>
    <x v="2"/>
    <n v="4.7"/>
    <s v="No"/>
    <s v="CT Scan"/>
    <s v="Immunotherapy"/>
    <n v="22"/>
    <s v="No"/>
  </r>
  <r>
    <s v="LC-1456"/>
    <n v="2025"/>
    <d v="2025-04-12T00:00:00"/>
    <s v="Americas"/>
    <s v="Colombia"/>
    <n v="66"/>
    <x v="1"/>
    <x v="2"/>
    <n v="0"/>
    <n v="0"/>
    <x v="1"/>
    <x v="1"/>
    <x v="0"/>
    <x v="2"/>
    <x v="2"/>
    <n v="26.1"/>
    <x v="0"/>
    <s v="No"/>
    <x v="0"/>
    <x v="0"/>
    <x v="0"/>
    <s v="No Mutation"/>
    <s v="Yes"/>
    <s v="Yes"/>
    <s v="No"/>
    <s v="No"/>
    <s v="No"/>
    <s v="No"/>
    <s v="No"/>
    <s v="Yes"/>
    <s v="No"/>
    <s v="No"/>
    <x v="0"/>
    <s v="Adenocarcinoma"/>
    <x v="1"/>
    <n v="2.1"/>
    <s v="No"/>
    <s v="Biopsy"/>
    <s v="Surgery"/>
    <n v="85"/>
    <s v="No"/>
  </r>
  <r>
    <s v="LC-1457"/>
    <n v="2024"/>
    <d v="2024-03-21T00:00:00"/>
    <s v="Europe"/>
    <s v="Germany"/>
    <n v="53"/>
    <x v="0"/>
    <x v="2"/>
    <n v="0"/>
    <n v="0"/>
    <x v="1"/>
    <x v="0"/>
    <x v="1"/>
    <x v="0"/>
    <x v="2"/>
    <n v="29.9"/>
    <x v="2"/>
    <s v="No"/>
    <x v="0"/>
    <x v="0"/>
    <x v="1"/>
    <s v="EGFR"/>
    <s v="Yes"/>
    <s v="No"/>
    <s v="No"/>
    <s v="No"/>
    <s v="Yes"/>
    <s v="Yes"/>
    <s v="No"/>
    <s v="No"/>
    <s v="No"/>
    <s v="No"/>
    <x v="0"/>
    <s v="Adenocarcinoma"/>
    <x v="2"/>
    <n v="7.2"/>
    <s v="No"/>
    <s v="CT Scan"/>
    <s v="Chemo + Radiation"/>
    <n v="17"/>
    <s v="No"/>
  </r>
  <r>
    <s v="LC-1458"/>
    <n v="2020"/>
    <d v="2020-12-22T00:00:00"/>
    <s v="Europe"/>
    <s v="Russia"/>
    <n v="48"/>
    <x v="1"/>
    <x v="0"/>
    <n v="24"/>
    <n v="14"/>
    <x v="1"/>
    <x v="1"/>
    <x v="0"/>
    <x v="2"/>
    <x v="2"/>
    <n v="29.9"/>
    <x v="0"/>
    <s v="Yes"/>
    <x v="0"/>
    <x v="0"/>
    <x v="0"/>
    <s v="KRAS"/>
    <s v="Yes"/>
    <s v="Yes"/>
    <s v="No"/>
    <s v="Yes"/>
    <s v="Yes"/>
    <s v="Yes"/>
    <s v="No"/>
    <s v="No"/>
    <s v="No"/>
    <s v="No"/>
    <x v="0"/>
    <s v="Squamous Cell"/>
    <x v="0"/>
    <n v="11.2"/>
    <s v="Yes"/>
    <s v="Bronchoscopy"/>
    <s v="Immunotherapy"/>
    <n v="12"/>
    <s v="No"/>
  </r>
  <r>
    <s v="LC-1459"/>
    <n v="2019"/>
    <d v="2019-08-01T00:00:00"/>
    <s v="Eastern Mediterranean"/>
    <s v="Iraq"/>
    <n v="55"/>
    <x v="0"/>
    <x v="2"/>
    <n v="0"/>
    <n v="0"/>
    <x v="1"/>
    <x v="0"/>
    <x v="0"/>
    <x v="1"/>
    <x v="0"/>
    <n v="21"/>
    <x v="0"/>
    <s v="No"/>
    <x v="1"/>
    <x v="0"/>
    <x v="0"/>
    <s v="ALK"/>
    <s v="No"/>
    <s v="No"/>
    <s v="Yes"/>
    <s v="Yes"/>
    <s v="No"/>
    <s v="No"/>
    <s v="No"/>
    <s v="No"/>
    <s v="No"/>
    <s v="No"/>
    <x v="0"/>
    <s v="Adenocarcinoma"/>
    <x v="3"/>
    <n v="3"/>
    <s v="No"/>
    <s v="PET Scan"/>
    <s v="Surgery"/>
    <n v="22"/>
    <s v="No"/>
  </r>
  <r>
    <s v="LC-1460"/>
    <n v="2022"/>
    <d v="2022-04-08T00:00:00"/>
    <s v="Western Pacific"/>
    <s v="Japan"/>
    <n v="62"/>
    <x v="0"/>
    <x v="2"/>
    <n v="0"/>
    <n v="0"/>
    <x v="0"/>
    <x v="0"/>
    <x v="0"/>
    <x v="1"/>
    <x v="1"/>
    <n v="22.5"/>
    <x v="2"/>
    <s v="No"/>
    <x v="0"/>
    <x v="0"/>
    <x v="0"/>
    <s v="KRAS"/>
    <s v="No"/>
    <s v="Yes"/>
    <s v="Yes"/>
    <s v="No"/>
    <s v="No"/>
    <s v="Yes"/>
    <s v="No"/>
    <s v="No"/>
    <s v="No"/>
    <s v="No"/>
    <x v="1"/>
    <s v="Not Applicable"/>
    <x v="0"/>
    <n v="8.9"/>
    <s v="Yes"/>
    <s v="PET Scan"/>
    <s v="Palliative Care"/>
    <n v="7"/>
    <s v="No"/>
  </r>
  <r>
    <s v="LC-1461"/>
    <n v="2025"/>
    <d v="2025-06-09T00:00:00"/>
    <s v="Americas"/>
    <s v="Canada"/>
    <n v="61"/>
    <x v="1"/>
    <x v="0"/>
    <n v="5"/>
    <n v="32"/>
    <x v="1"/>
    <x v="0"/>
    <x v="0"/>
    <x v="2"/>
    <x v="2"/>
    <n v="28"/>
    <x v="0"/>
    <s v="Yes"/>
    <x v="0"/>
    <x v="0"/>
    <x v="0"/>
    <s v="ALK"/>
    <s v="Yes"/>
    <s v="Yes"/>
    <s v="Yes"/>
    <s v="No"/>
    <s v="Yes"/>
    <s v="Yes"/>
    <s v="Yes"/>
    <s v="No"/>
    <s v="No"/>
    <s v="No"/>
    <x v="1"/>
    <s v="Not Applicable"/>
    <x v="3"/>
    <n v="6.9"/>
    <s v="No"/>
    <s v="PET Scan"/>
    <s v="Immunotherapy"/>
    <n v="35"/>
    <s v="Yes"/>
  </r>
  <r>
    <s v="LC-1462"/>
    <n v="2023"/>
    <d v="2023-12-01T00:00:00"/>
    <s v="Western Pacific"/>
    <s v="China"/>
    <n v="63"/>
    <x v="0"/>
    <x v="2"/>
    <n v="0"/>
    <n v="0"/>
    <x v="0"/>
    <x v="0"/>
    <x v="0"/>
    <x v="1"/>
    <x v="2"/>
    <n v="25.1"/>
    <x v="1"/>
    <s v="No"/>
    <x v="0"/>
    <x v="0"/>
    <x v="0"/>
    <s v="No Mutation"/>
    <s v="No"/>
    <s v="No"/>
    <s v="No"/>
    <s v="No"/>
    <s v="Yes"/>
    <s v="No"/>
    <s v="No"/>
    <s v="Yes"/>
    <s v="No"/>
    <s v="No"/>
    <x v="0"/>
    <s v="Adenocarcinoma"/>
    <x v="3"/>
    <n v="4"/>
    <s v="No"/>
    <s v="CT Scan"/>
    <s v="Radiotherapy"/>
    <n v="53"/>
    <s v="Yes"/>
  </r>
  <r>
    <s v="LC-1463"/>
    <n v="2020"/>
    <d v="2020-07-15T00:00:00"/>
    <s v="Americas"/>
    <s v="Chile"/>
    <n v="45"/>
    <x v="1"/>
    <x v="2"/>
    <n v="0"/>
    <n v="0"/>
    <x v="0"/>
    <x v="0"/>
    <x v="0"/>
    <x v="0"/>
    <x v="0"/>
    <n v="32.700000000000003"/>
    <x v="1"/>
    <s v="No"/>
    <x v="0"/>
    <x v="0"/>
    <x v="0"/>
    <s v="BRAF"/>
    <s v="Yes"/>
    <s v="No"/>
    <s v="No"/>
    <s v="No"/>
    <s v="Yes"/>
    <s v="Yes"/>
    <s v="No"/>
    <s v="Yes"/>
    <s v="No"/>
    <s v="No"/>
    <x v="0"/>
    <s v="Adenocarcinoma"/>
    <x v="3"/>
    <n v="2.8"/>
    <s v="No"/>
    <s v="MRI"/>
    <s v="Radiotherapy"/>
    <n v="23"/>
    <s v="No"/>
  </r>
  <r>
    <s v="LC-1464"/>
    <n v="2020"/>
    <d v="2020-03-14T00:00:00"/>
    <s v="Western Pacific"/>
    <s v="New Zealand"/>
    <n v="78"/>
    <x v="1"/>
    <x v="2"/>
    <n v="0"/>
    <n v="0"/>
    <x v="0"/>
    <x v="0"/>
    <x v="1"/>
    <x v="1"/>
    <x v="2"/>
    <n v="27.1"/>
    <x v="2"/>
    <s v="No"/>
    <x v="0"/>
    <x v="0"/>
    <x v="0"/>
    <s v="ROS1"/>
    <s v="Yes"/>
    <s v="No"/>
    <s v="No"/>
    <s v="No"/>
    <s v="No"/>
    <s v="No"/>
    <s v="No"/>
    <s v="Yes"/>
    <s v="No"/>
    <s v="No"/>
    <x v="0"/>
    <s v="Squamous Cell"/>
    <x v="1"/>
    <n v="1.2"/>
    <s v="No"/>
    <s v="CT Scan"/>
    <s v="Surgery"/>
    <n v="36"/>
    <s v="Yes"/>
  </r>
  <r>
    <s v="LC-1465"/>
    <n v="2023"/>
    <d v="2023-07-12T00:00:00"/>
    <s v="Americas"/>
    <s v="Cuba"/>
    <n v="48"/>
    <x v="0"/>
    <x v="2"/>
    <n v="0"/>
    <n v="0"/>
    <x v="0"/>
    <x v="0"/>
    <x v="1"/>
    <x v="0"/>
    <x v="0"/>
    <n v="23.9"/>
    <x v="0"/>
    <s v="No"/>
    <x v="0"/>
    <x v="0"/>
    <x v="0"/>
    <s v="EGFR"/>
    <s v="No"/>
    <s v="Yes"/>
    <s v="No"/>
    <s v="No"/>
    <s v="Yes"/>
    <s v="No"/>
    <s v="No"/>
    <s v="Yes"/>
    <s v="No"/>
    <s v="No"/>
    <x v="0"/>
    <s v="Large Cell"/>
    <x v="3"/>
    <n v="3.2"/>
    <s v="No"/>
    <s v="CT Scan"/>
    <s v="Surgery"/>
    <n v="47"/>
    <s v="Yes"/>
  </r>
  <r>
    <s v="LC-1466"/>
    <n v="2019"/>
    <d v="2019-07-04T00:00:00"/>
    <s v="Europe"/>
    <s v="Poland"/>
    <n v="84"/>
    <x v="1"/>
    <x v="2"/>
    <n v="0"/>
    <n v="0"/>
    <x v="1"/>
    <x v="0"/>
    <x v="0"/>
    <x v="0"/>
    <x v="0"/>
    <n v="26.6"/>
    <x v="0"/>
    <s v="No"/>
    <x v="0"/>
    <x v="0"/>
    <x v="0"/>
    <s v="ROS1"/>
    <s v="No"/>
    <s v="No"/>
    <s v="No"/>
    <s v="No"/>
    <s v="No"/>
    <s v="No"/>
    <s v="No"/>
    <s v="No"/>
    <s v="No"/>
    <s v="Yes"/>
    <x v="0"/>
    <s v="Squamous Cell"/>
    <x v="1"/>
    <n v="2.6"/>
    <s v="No"/>
    <s v="CT Scan"/>
    <s v="Surgery"/>
    <n v="51"/>
    <s v="Yes"/>
  </r>
  <r>
    <s v="LC-1467"/>
    <n v="2021"/>
    <d v="2021-10-21T00:00:00"/>
    <s v="Western Pacific"/>
    <s v="Australia"/>
    <n v="55"/>
    <x v="0"/>
    <x v="0"/>
    <n v="20"/>
    <n v="37"/>
    <x v="1"/>
    <x v="1"/>
    <x v="1"/>
    <x v="0"/>
    <x v="2"/>
    <n v="22.9"/>
    <x v="1"/>
    <s v="Yes"/>
    <x v="1"/>
    <x v="0"/>
    <x v="0"/>
    <s v="KRAS"/>
    <s v="Yes"/>
    <s v="Yes"/>
    <s v="Yes"/>
    <s v="No"/>
    <s v="Yes"/>
    <s v="No"/>
    <s v="No"/>
    <s v="No"/>
    <s v="No"/>
    <s v="No"/>
    <x v="0"/>
    <s v="Squamous Cell"/>
    <x v="1"/>
    <n v="0.9"/>
    <s v="No"/>
    <s v="LDCT Screening"/>
    <s v="Surgery"/>
    <n v="71"/>
    <s v="No"/>
  </r>
  <r>
    <s v="LC-1468"/>
    <n v="2023"/>
    <d v="2023-03-15T00:00:00"/>
    <s v="Americas"/>
    <s v="Canada"/>
    <n v="71"/>
    <x v="1"/>
    <x v="2"/>
    <n v="0"/>
    <n v="0"/>
    <x v="1"/>
    <x v="0"/>
    <x v="0"/>
    <x v="1"/>
    <x v="2"/>
    <n v="27.1"/>
    <x v="1"/>
    <s v="No"/>
    <x v="0"/>
    <x v="0"/>
    <x v="0"/>
    <s v="KRAS"/>
    <s v="No"/>
    <s v="No"/>
    <s v="Yes"/>
    <s v="Yes"/>
    <s v="No"/>
    <s v="No"/>
    <s v="Yes"/>
    <s v="No"/>
    <s v="No"/>
    <s v="No"/>
    <x v="0"/>
    <s v="Adenocarcinoma"/>
    <x v="0"/>
    <n v="9"/>
    <s v="Yes"/>
    <s v="MRI"/>
    <s v="Targeted Therapy"/>
    <n v="14"/>
    <s v="No"/>
  </r>
  <r>
    <s v="LC-1469"/>
    <n v="2020"/>
    <d v="2020-01-10T00:00:00"/>
    <s v="Europe"/>
    <s v="UK"/>
    <n v="42"/>
    <x v="1"/>
    <x v="0"/>
    <n v="7"/>
    <n v="15"/>
    <x v="1"/>
    <x v="1"/>
    <x v="0"/>
    <x v="0"/>
    <x v="2"/>
    <n v="31.9"/>
    <x v="1"/>
    <s v="No"/>
    <x v="0"/>
    <x v="0"/>
    <x v="0"/>
    <s v="HER2"/>
    <s v="Yes"/>
    <s v="Yes"/>
    <s v="Yes"/>
    <s v="Yes"/>
    <s v="Yes"/>
    <s v="Yes"/>
    <s v="Yes"/>
    <s v="Yes"/>
    <s v="No"/>
    <s v="No"/>
    <x v="0"/>
    <s v="Large Cell"/>
    <x v="0"/>
    <n v="7.3"/>
    <s v="Yes"/>
    <s v="Chest X-Ray"/>
    <s v="Chemotherapy"/>
    <n v="8"/>
    <s v="No"/>
  </r>
  <r>
    <s v="LC-1470"/>
    <n v="2018"/>
    <d v="2018-06-09T00:00:00"/>
    <s v="Western Pacific"/>
    <s v="Japan"/>
    <n v="58"/>
    <x v="1"/>
    <x v="2"/>
    <n v="0"/>
    <n v="0"/>
    <x v="1"/>
    <x v="0"/>
    <x v="0"/>
    <x v="1"/>
    <x v="2"/>
    <n v="25.9"/>
    <x v="1"/>
    <s v="No"/>
    <x v="0"/>
    <x v="0"/>
    <x v="0"/>
    <s v="EGFR"/>
    <s v="No"/>
    <s v="No"/>
    <s v="Yes"/>
    <s v="No"/>
    <s v="Yes"/>
    <s v="No"/>
    <s v="No"/>
    <s v="No"/>
    <s v="No"/>
    <s v="No"/>
    <x v="0"/>
    <s v="Large Cell"/>
    <x v="1"/>
    <n v="2.5"/>
    <s v="No"/>
    <s v="LDCT Screening"/>
    <s v="Surgery"/>
    <n v="58"/>
    <s v="Yes"/>
  </r>
  <r>
    <s v="LC-1471"/>
    <n v="2017"/>
    <d v="2017-02-11T00:00:00"/>
    <s v="Eastern Mediterranean"/>
    <s v="Saudi Arabia"/>
    <n v="76"/>
    <x v="1"/>
    <x v="2"/>
    <n v="0"/>
    <n v="0"/>
    <x v="1"/>
    <x v="0"/>
    <x v="1"/>
    <x v="1"/>
    <x v="1"/>
    <n v="28.4"/>
    <x v="1"/>
    <s v="No"/>
    <x v="0"/>
    <x v="0"/>
    <x v="0"/>
    <s v="EGFR"/>
    <s v="No"/>
    <s v="Yes"/>
    <s v="Yes"/>
    <s v="No"/>
    <s v="Yes"/>
    <s v="Yes"/>
    <s v="No"/>
    <s v="No"/>
    <s v="No"/>
    <s v="No"/>
    <x v="0"/>
    <s v="Adenocarcinoma"/>
    <x v="3"/>
    <n v="2.9"/>
    <s v="No"/>
    <s v="Bronchoscopy"/>
    <s v="Targeted Therapy"/>
    <n v="22"/>
    <s v="Yes"/>
  </r>
  <r>
    <s v="LC-1472"/>
    <n v="2018"/>
    <d v="2018-07-06T00:00:00"/>
    <s v="Western Pacific"/>
    <s v="Japan"/>
    <n v="66"/>
    <x v="0"/>
    <x v="2"/>
    <n v="0"/>
    <n v="0"/>
    <x v="0"/>
    <x v="0"/>
    <x v="0"/>
    <x v="1"/>
    <x v="1"/>
    <n v="24.2"/>
    <x v="1"/>
    <s v="No"/>
    <x v="0"/>
    <x v="0"/>
    <x v="0"/>
    <s v="EGFR"/>
    <s v="No"/>
    <s v="No"/>
    <s v="No"/>
    <s v="No"/>
    <s v="No"/>
    <s v="Yes"/>
    <s v="No"/>
    <s v="Yes"/>
    <s v="No"/>
    <s v="No"/>
    <x v="0"/>
    <s v="Squamous Cell"/>
    <x v="3"/>
    <n v="3.4"/>
    <s v="No"/>
    <s v="Biopsy"/>
    <s v="Targeted Therapy"/>
    <n v="33"/>
    <s v="No"/>
  </r>
  <r>
    <s v="LC-1473"/>
    <n v="2020"/>
    <d v="2020-09-03T00:00:00"/>
    <s v="Europe"/>
    <s v="Russia"/>
    <n v="64"/>
    <x v="1"/>
    <x v="2"/>
    <n v="0"/>
    <n v="0"/>
    <x v="1"/>
    <x v="0"/>
    <x v="0"/>
    <x v="0"/>
    <x v="1"/>
    <n v="36.5"/>
    <x v="0"/>
    <s v="No"/>
    <x v="0"/>
    <x v="0"/>
    <x v="0"/>
    <s v="BRAF"/>
    <s v="No"/>
    <s v="No"/>
    <s v="No"/>
    <s v="No"/>
    <s v="No"/>
    <s v="No"/>
    <s v="No"/>
    <s v="No"/>
    <s v="Yes"/>
    <s v="No"/>
    <x v="0"/>
    <s v="Adenocarcinoma"/>
    <x v="3"/>
    <n v="4.5999999999999996"/>
    <s v="No"/>
    <s v="Chest X-Ray"/>
    <s v="Surgery + Chemotherapy"/>
    <n v="20"/>
    <s v="No"/>
  </r>
  <r>
    <s v="LC-1474"/>
    <n v="2023"/>
    <d v="2023-10-20T00:00:00"/>
    <s v="Eastern Mediterranean"/>
    <s v="Oman"/>
    <n v="65"/>
    <x v="1"/>
    <x v="2"/>
    <n v="0"/>
    <n v="0"/>
    <x v="0"/>
    <x v="0"/>
    <x v="1"/>
    <x v="0"/>
    <x v="1"/>
    <n v="29.7"/>
    <x v="0"/>
    <s v="No"/>
    <x v="0"/>
    <x v="0"/>
    <x v="0"/>
    <s v="No Mutation"/>
    <s v="No"/>
    <s v="Yes"/>
    <s v="No"/>
    <s v="No"/>
    <s v="Yes"/>
    <s v="Yes"/>
    <s v="No"/>
    <s v="No"/>
    <s v="No"/>
    <s v="No"/>
    <x v="0"/>
    <s v="Adenocarcinoma"/>
    <x v="2"/>
    <n v="4.9000000000000004"/>
    <s v="No"/>
    <s v="PET Scan"/>
    <s v="Chemotherapy"/>
    <n v="23"/>
    <s v="No"/>
  </r>
  <r>
    <s v="LC-1475"/>
    <n v="2016"/>
    <d v="2016-12-01T00:00:00"/>
    <s v="Western Pacific"/>
    <s v="Malaysia"/>
    <n v="70"/>
    <x v="1"/>
    <x v="0"/>
    <n v="24"/>
    <n v="42"/>
    <x v="0"/>
    <x v="0"/>
    <x v="0"/>
    <x v="0"/>
    <x v="2"/>
    <n v="27.6"/>
    <x v="1"/>
    <s v="No"/>
    <x v="0"/>
    <x v="1"/>
    <x v="0"/>
    <s v="No Mutation"/>
    <s v="No"/>
    <s v="Yes"/>
    <s v="Yes"/>
    <s v="No"/>
    <s v="Yes"/>
    <s v="No"/>
    <s v="Yes"/>
    <s v="No"/>
    <s v="No"/>
    <s v="No"/>
    <x v="0"/>
    <s v="Squamous Cell"/>
    <x v="0"/>
    <n v="11.8"/>
    <s v="Yes"/>
    <s v="PET Scan"/>
    <s v="Targeted Therapy"/>
    <n v="5"/>
    <s v="No"/>
  </r>
  <r>
    <s v="LC-1476"/>
    <n v="2019"/>
    <d v="2019-11-06T00:00:00"/>
    <s v="South-East Asia"/>
    <s v="Bhutan"/>
    <n v="55"/>
    <x v="1"/>
    <x v="0"/>
    <n v="44"/>
    <n v="24"/>
    <x v="1"/>
    <x v="1"/>
    <x v="0"/>
    <x v="1"/>
    <x v="2"/>
    <n v="26.6"/>
    <x v="0"/>
    <s v="Yes"/>
    <x v="0"/>
    <x v="0"/>
    <x v="0"/>
    <s v="EGFR"/>
    <s v="Yes"/>
    <s v="No"/>
    <s v="Yes"/>
    <s v="No"/>
    <s v="Yes"/>
    <s v="Yes"/>
    <s v="No"/>
    <s v="No"/>
    <s v="No"/>
    <s v="No"/>
    <x v="0"/>
    <s v="Adenocarcinoma"/>
    <x v="0"/>
    <n v="5"/>
    <s v="Yes"/>
    <s v="Bronchoscopy"/>
    <s v="Immunotherapy"/>
    <n v="1"/>
    <s v="No"/>
  </r>
  <r>
    <s v="LC-1477"/>
    <n v="2025"/>
    <d v="2025-07-06T00:00:00"/>
    <s v="South-East Asia"/>
    <s v="India"/>
    <n v="53"/>
    <x v="1"/>
    <x v="0"/>
    <n v="37"/>
    <n v="24"/>
    <x v="1"/>
    <x v="0"/>
    <x v="0"/>
    <x v="1"/>
    <x v="2"/>
    <n v="27.9"/>
    <x v="2"/>
    <s v="No"/>
    <x v="0"/>
    <x v="0"/>
    <x v="0"/>
    <s v="EGFR"/>
    <s v="Yes"/>
    <s v="Yes"/>
    <s v="Yes"/>
    <s v="Yes"/>
    <s v="Yes"/>
    <s v="No"/>
    <s v="Yes"/>
    <s v="No"/>
    <s v="No"/>
    <s v="Yes"/>
    <x v="0"/>
    <s v="Adenocarcinoma"/>
    <x v="1"/>
    <n v="1.6"/>
    <s v="No"/>
    <s v="PET Scan"/>
    <s v="Targeted Therapy"/>
    <n v="67"/>
    <s v="No"/>
  </r>
  <r>
    <s v="LC-1478"/>
    <n v="2018"/>
    <d v="2018-02-11T00:00:00"/>
    <s v="Europe"/>
    <s v="Italy"/>
    <n v="70"/>
    <x v="1"/>
    <x v="0"/>
    <n v="12"/>
    <n v="48"/>
    <x v="0"/>
    <x v="0"/>
    <x v="0"/>
    <x v="0"/>
    <x v="2"/>
    <n v="24.5"/>
    <x v="2"/>
    <s v="Yes"/>
    <x v="1"/>
    <x v="0"/>
    <x v="0"/>
    <s v="MET"/>
    <s v="Yes"/>
    <s v="Yes"/>
    <s v="No"/>
    <s v="No"/>
    <s v="No"/>
    <s v="Yes"/>
    <s v="No"/>
    <s v="No"/>
    <s v="No"/>
    <s v="No"/>
    <x v="0"/>
    <s v="Adenocarcinoma"/>
    <x v="0"/>
    <n v="6.5"/>
    <s v="Yes"/>
    <s v="Biopsy"/>
    <s v="Targeted Therapy"/>
    <n v="7"/>
    <s v="No"/>
  </r>
  <r>
    <s v="LC-1479"/>
    <n v="2025"/>
    <d v="2025-04-14T00:00:00"/>
    <s v="Western Pacific"/>
    <s v="Singapore"/>
    <n v="58"/>
    <x v="1"/>
    <x v="2"/>
    <n v="0"/>
    <n v="0"/>
    <x v="0"/>
    <x v="0"/>
    <x v="0"/>
    <x v="0"/>
    <x v="0"/>
    <n v="27"/>
    <x v="0"/>
    <s v="No"/>
    <x v="0"/>
    <x v="0"/>
    <x v="0"/>
    <s v="RET"/>
    <s v="No"/>
    <s v="No"/>
    <s v="Yes"/>
    <s v="No"/>
    <s v="No"/>
    <s v="No"/>
    <s v="Yes"/>
    <s v="Yes"/>
    <s v="No"/>
    <s v="No"/>
    <x v="1"/>
    <s v="Not Applicable"/>
    <x v="3"/>
    <n v="2.8"/>
    <s v="No"/>
    <s v="PET Scan"/>
    <s v="Surgery + Chemotherapy"/>
    <n v="31"/>
    <s v="Yes"/>
  </r>
  <r>
    <s v="LC-1480"/>
    <n v="2024"/>
    <d v="2024-12-24T00:00:00"/>
    <s v="South-East Asia"/>
    <s v="Timor-Leste"/>
    <n v="76"/>
    <x v="1"/>
    <x v="0"/>
    <n v="26"/>
    <n v="35"/>
    <x v="0"/>
    <x v="0"/>
    <x v="0"/>
    <x v="1"/>
    <x v="2"/>
    <n v="31.3"/>
    <x v="0"/>
    <s v="Yes"/>
    <x v="0"/>
    <x v="0"/>
    <x v="0"/>
    <s v="EGFR"/>
    <s v="Yes"/>
    <s v="Yes"/>
    <s v="No"/>
    <s v="Yes"/>
    <s v="Yes"/>
    <s v="Yes"/>
    <s v="No"/>
    <s v="No"/>
    <s v="No"/>
    <s v="No"/>
    <x v="0"/>
    <s v="Adenocarcinoma"/>
    <x v="0"/>
    <n v="8.9"/>
    <s v="Yes"/>
    <s v="PET Scan"/>
    <s v="Immunotherapy"/>
    <n v="1"/>
    <s v="No"/>
  </r>
  <r>
    <s v="LC-1481"/>
    <n v="2020"/>
    <d v="2020-05-22T00:00:00"/>
    <s v="Eastern Mediterranean"/>
    <s v="Iraq"/>
    <n v="59"/>
    <x v="0"/>
    <x v="2"/>
    <n v="0"/>
    <n v="0"/>
    <x v="1"/>
    <x v="0"/>
    <x v="0"/>
    <x v="2"/>
    <x v="2"/>
    <n v="32.4"/>
    <x v="0"/>
    <s v="No"/>
    <x v="1"/>
    <x v="0"/>
    <x v="0"/>
    <s v="EGFR"/>
    <s v="No"/>
    <s v="Yes"/>
    <s v="No"/>
    <s v="No"/>
    <s v="No"/>
    <s v="No"/>
    <s v="No"/>
    <s v="No"/>
    <s v="No"/>
    <s v="No"/>
    <x v="0"/>
    <s v="Squamous Cell"/>
    <x v="2"/>
    <n v="8.1"/>
    <s v="No"/>
    <s v="CT Scan"/>
    <s v="Chemotherapy"/>
    <n v="16"/>
    <s v="No"/>
  </r>
  <r>
    <s v="LC-1482"/>
    <n v="2020"/>
    <d v="2020-05-08T00:00:00"/>
    <s v="Eastern Mediterranean"/>
    <s v="Iran"/>
    <n v="51"/>
    <x v="1"/>
    <x v="2"/>
    <n v="0"/>
    <n v="0"/>
    <x v="1"/>
    <x v="0"/>
    <x v="0"/>
    <x v="2"/>
    <x v="0"/>
    <n v="28.7"/>
    <x v="0"/>
    <s v="Yes"/>
    <x v="0"/>
    <x v="0"/>
    <x v="1"/>
    <s v="EGFR"/>
    <s v="No"/>
    <s v="No"/>
    <s v="No"/>
    <s v="No"/>
    <s v="Yes"/>
    <s v="No"/>
    <s v="No"/>
    <s v="Yes"/>
    <s v="No"/>
    <s v="No"/>
    <x v="0"/>
    <s v="Adenocarcinoma"/>
    <x v="3"/>
    <n v="3.6"/>
    <s v="No"/>
    <s v="PET Scan"/>
    <s v="Surgery + Chemotherapy"/>
    <n v="53"/>
    <s v="No"/>
  </r>
  <r>
    <s v="LC-1483"/>
    <n v="2020"/>
    <d v="2020-01-13T00:00:00"/>
    <s v="Western Pacific"/>
    <s v="Mongolia"/>
    <n v="65"/>
    <x v="1"/>
    <x v="2"/>
    <n v="0"/>
    <n v="0"/>
    <x v="1"/>
    <x v="1"/>
    <x v="0"/>
    <x v="2"/>
    <x v="0"/>
    <n v="31"/>
    <x v="0"/>
    <s v="No"/>
    <x v="0"/>
    <x v="0"/>
    <x v="0"/>
    <s v="EGFR"/>
    <s v="Yes"/>
    <s v="No"/>
    <s v="Yes"/>
    <s v="No"/>
    <s v="Yes"/>
    <s v="No"/>
    <s v="No"/>
    <s v="Yes"/>
    <s v="No"/>
    <s v="No"/>
    <x v="0"/>
    <s v="Large Cell"/>
    <x v="1"/>
    <n v="1.1000000000000001"/>
    <s v="No"/>
    <s v="CT Scan"/>
    <s v="Surgery"/>
    <n v="45"/>
    <s v="No"/>
  </r>
  <r>
    <s v="LC-1484"/>
    <n v="2020"/>
    <d v="2020-09-27T00:00:00"/>
    <s v="Americas"/>
    <s v="Peru"/>
    <n v="60"/>
    <x v="1"/>
    <x v="0"/>
    <n v="38"/>
    <n v="26"/>
    <x v="0"/>
    <x v="0"/>
    <x v="0"/>
    <x v="1"/>
    <x v="2"/>
    <n v="25.5"/>
    <x v="0"/>
    <s v="No"/>
    <x v="0"/>
    <x v="0"/>
    <x v="0"/>
    <s v="MET"/>
    <s v="Yes"/>
    <s v="Yes"/>
    <s v="Yes"/>
    <s v="Yes"/>
    <s v="Yes"/>
    <s v="Yes"/>
    <s v="No"/>
    <s v="No"/>
    <s v="No"/>
    <s v="No"/>
    <x v="0"/>
    <s v="Adenocarcinoma"/>
    <x v="2"/>
    <n v="5.4"/>
    <s v="No"/>
    <s v="Bronchoscopy"/>
    <s v="Chemotherapy"/>
    <n v="21"/>
    <s v="No"/>
  </r>
  <r>
    <s v="LC-1485"/>
    <n v="2019"/>
    <d v="2019-03-02T00:00:00"/>
    <s v="Western Pacific"/>
    <s v="Vietnam"/>
    <n v="43"/>
    <x v="1"/>
    <x v="2"/>
    <n v="0"/>
    <n v="0"/>
    <x v="0"/>
    <x v="0"/>
    <x v="0"/>
    <x v="1"/>
    <x v="0"/>
    <n v="23.2"/>
    <x v="0"/>
    <s v="No"/>
    <x v="0"/>
    <x v="0"/>
    <x v="0"/>
    <s v="KRAS"/>
    <s v="No"/>
    <s v="No"/>
    <s v="No"/>
    <s v="No"/>
    <s v="Yes"/>
    <s v="No"/>
    <s v="Yes"/>
    <s v="No"/>
    <s v="No"/>
    <s v="No"/>
    <x v="0"/>
    <s v="Adenocarcinoma"/>
    <x v="3"/>
    <n v="3.9"/>
    <s v="No"/>
    <s v="LDCT Screening"/>
    <s v="Surgery + Chemotherapy"/>
    <n v="14"/>
    <s v="Yes"/>
  </r>
  <r>
    <s v="LC-1486"/>
    <n v="2015"/>
    <d v="2015-01-14T00:00:00"/>
    <s v="Western Pacific"/>
    <s v="Japan"/>
    <n v="69"/>
    <x v="1"/>
    <x v="2"/>
    <n v="0"/>
    <n v="0"/>
    <x v="1"/>
    <x v="1"/>
    <x v="0"/>
    <x v="0"/>
    <x v="1"/>
    <n v="24.8"/>
    <x v="1"/>
    <s v="No"/>
    <x v="0"/>
    <x v="0"/>
    <x v="0"/>
    <s v="MET"/>
    <s v="Yes"/>
    <s v="No"/>
    <s v="No"/>
    <s v="No"/>
    <s v="Yes"/>
    <s v="No"/>
    <s v="No"/>
    <s v="No"/>
    <s v="No"/>
    <s v="Yes"/>
    <x v="0"/>
    <s v="Adenocarcinoma"/>
    <x v="1"/>
    <n v="2.1"/>
    <s v="No"/>
    <s v="Chest X-Ray"/>
    <s v="Surgery"/>
    <n v="36"/>
    <s v="Yes"/>
  </r>
  <r>
    <s v="LC-1487"/>
    <n v="2025"/>
    <d v="2025-05-27T00:00:00"/>
    <s v="Western Pacific"/>
    <s v="Mongolia"/>
    <n v="44"/>
    <x v="1"/>
    <x v="2"/>
    <n v="0"/>
    <n v="0"/>
    <x v="0"/>
    <x v="1"/>
    <x v="1"/>
    <x v="0"/>
    <x v="1"/>
    <n v="20.9"/>
    <x v="2"/>
    <s v="No"/>
    <x v="1"/>
    <x v="0"/>
    <x v="0"/>
    <s v="ALK"/>
    <s v="No"/>
    <s v="Yes"/>
    <s v="No"/>
    <s v="No"/>
    <s v="Yes"/>
    <s v="No"/>
    <s v="No"/>
    <s v="No"/>
    <s v="No"/>
    <s v="No"/>
    <x v="0"/>
    <s v="Adenocarcinoma"/>
    <x v="2"/>
    <n v="3.8"/>
    <s v="No"/>
    <s v="PET Scan"/>
    <s v="Chemotherapy"/>
    <n v="15"/>
    <s v="No"/>
  </r>
  <r>
    <s v="LC-1488"/>
    <n v="2022"/>
    <d v="2022-08-07T00:00:00"/>
    <s v="Eastern Mediterranean"/>
    <s v="Iran"/>
    <n v="73"/>
    <x v="0"/>
    <x v="2"/>
    <n v="0"/>
    <n v="0"/>
    <x v="0"/>
    <x v="1"/>
    <x v="0"/>
    <x v="1"/>
    <x v="2"/>
    <n v="27.2"/>
    <x v="2"/>
    <s v="No"/>
    <x v="0"/>
    <x v="0"/>
    <x v="0"/>
    <s v="No Mutation"/>
    <s v="No"/>
    <s v="No"/>
    <s v="No"/>
    <s v="No"/>
    <s v="Yes"/>
    <s v="No"/>
    <s v="No"/>
    <s v="No"/>
    <s v="No"/>
    <s v="Yes"/>
    <x v="0"/>
    <s v="Adenocarcinoma"/>
    <x v="2"/>
    <n v="7.3"/>
    <s v="No"/>
    <s v="Biopsy"/>
    <s v="Chemo + Radiation"/>
    <n v="25"/>
    <s v="No"/>
  </r>
  <r>
    <s v="LC-1489"/>
    <n v="2023"/>
    <d v="2023-01-07T00:00:00"/>
    <s v="Americas"/>
    <s v="Brazil"/>
    <n v="64"/>
    <x v="0"/>
    <x v="0"/>
    <n v="33"/>
    <n v="37"/>
    <x v="1"/>
    <x v="0"/>
    <x v="0"/>
    <x v="0"/>
    <x v="2"/>
    <n v="19"/>
    <x v="1"/>
    <s v="No"/>
    <x v="0"/>
    <x v="0"/>
    <x v="0"/>
    <s v="No Mutation"/>
    <s v="Yes"/>
    <s v="No"/>
    <s v="Yes"/>
    <s v="No"/>
    <s v="Yes"/>
    <s v="Yes"/>
    <s v="Yes"/>
    <s v="No"/>
    <s v="No"/>
    <s v="No"/>
    <x v="0"/>
    <s v="Adenocarcinoma"/>
    <x v="2"/>
    <n v="7"/>
    <s v="No"/>
    <s v="MRI"/>
    <s v="Chemo + Radiation"/>
    <n v="21"/>
    <s v="Yes"/>
  </r>
  <r>
    <s v="LC-1490"/>
    <n v="2023"/>
    <d v="2023-11-10T00:00:00"/>
    <s v="Western Pacific"/>
    <s v="Japan"/>
    <n v="70"/>
    <x v="1"/>
    <x v="1"/>
    <n v="9"/>
    <n v="17"/>
    <x v="0"/>
    <x v="0"/>
    <x v="0"/>
    <x v="0"/>
    <x v="0"/>
    <n v="30"/>
    <x v="0"/>
    <s v="Yes"/>
    <x v="0"/>
    <x v="0"/>
    <x v="0"/>
    <s v="No Mutation"/>
    <s v="No"/>
    <s v="No"/>
    <s v="No"/>
    <s v="Yes"/>
    <s v="Yes"/>
    <s v="Yes"/>
    <s v="No"/>
    <s v="No"/>
    <s v="No"/>
    <s v="No"/>
    <x v="0"/>
    <s v="Squamous Cell"/>
    <x v="1"/>
    <n v="1.8"/>
    <s v="No"/>
    <s v="Biopsy"/>
    <s v="Surgery"/>
    <n v="55"/>
    <s v="No"/>
  </r>
  <r>
    <s v="LC-1491"/>
    <n v="2017"/>
    <d v="2017-08-28T00:00:00"/>
    <s v="South-East Asia"/>
    <s v="Bangladesh"/>
    <n v="70"/>
    <x v="1"/>
    <x v="2"/>
    <n v="0"/>
    <n v="0"/>
    <x v="0"/>
    <x v="0"/>
    <x v="0"/>
    <x v="0"/>
    <x v="0"/>
    <n v="29.2"/>
    <x v="2"/>
    <s v="No"/>
    <x v="0"/>
    <x v="0"/>
    <x v="0"/>
    <s v="RET"/>
    <s v="Yes"/>
    <s v="Yes"/>
    <s v="No"/>
    <s v="No"/>
    <s v="No"/>
    <s v="No"/>
    <s v="No"/>
    <s v="No"/>
    <s v="No"/>
    <s v="No"/>
    <x v="0"/>
    <s v="Adenocarcinoma"/>
    <x v="3"/>
    <n v="2.7"/>
    <s v="No"/>
    <s v="CT Scan"/>
    <s v="Chemotherapy"/>
    <n v="47"/>
    <s v="No"/>
  </r>
  <r>
    <s v="LC-1492"/>
    <n v="2016"/>
    <d v="2016-05-26T00:00:00"/>
    <s v="Eastern Mediterranean"/>
    <s v="Lebanon"/>
    <n v="62"/>
    <x v="1"/>
    <x v="0"/>
    <n v="41"/>
    <n v="23"/>
    <x v="1"/>
    <x v="0"/>
    <x v="1"/>
    <x v="1"/>
    <x v="2"/>
    <n v="22.8"/>
    <x v="0"/>
    <s v="No"/>
    <x v="1"/>
    <x v="0"/>
    <x v="0"/>
    <s v="No Mutation"/>
    <s v="Yes"/>
    <s v="Yes"/>
    <s v="Yes"/>
    <s v="Yes"/>
    <s v="No"/>
    <s v="No"/>
    <s v="No"/>
    <s v="No"/>
    <s v="No"/>
    <s v="Yes"/>
    <x v="1"/>
    <s v="Not Applicable"/>
    <x v="1"/>
    <n v="1.3"/>
    <s v="No"/>
    <s v="Biopsy"/>
    <s v="Surgery"/>
    <n v="70"/>
    <s v="No"/>
  </r>
  <r>
    <s v="LC-1493"/>
    <n v="2019"/>
    <d v="2019-08-16T00:00:00"/>
    <s v="South-East Asia"/>
    <s v="Myanmar"/>
    <n v="65"/>
    <x v="1"/>
    <x v="2"/>
    <n v="0"/>
    <n v="0"/>
    <x v="1"/>
    <x v="0"/>
    <x v="0"/>
    <x v="0"/>
    <x v="0"/>
    <n v="29.8"/>
    <x v="1"/>
    <s v="No"/>
    <x v="0"/>
    <x v="0"/>
    <x v="0"/>
    <s v="No Mutation"/>
    <s v="No"/>
    <s v="Yes"/>
    <s v="No"/>
    <s v="No"/>
    <s v="Yes"/>
    <s v="No"/>
    <s v="No"/>
    <s v="Yes"/>
    <s v="No"/>
    <s v="Yes"/>
    <x v="0"/>
    <s v="Adenocarcinoma"/>
    <x v="3"/>
    <n v="2.8"/>
    <s v="No"/>
    <s v="Biopsy"/>
    <s v="Radiotherapy"/>
    <n v="47"/>
    <s v="Yes"/>
  </r>
  <r>
    <s v="LC-1494"/>
    <n v="2025"/>
    <d v="2025-02-21T00:00:00"/>
    <s v="Americas"/>
    <s v="Cuba"/>
    <n v="57"/>
    <x v="1"/>
    <x v="0"/>
    <n v="25"/>
    <n v="24"/>
    <x v="0"/>
    <x v="0"/>
    <x v="0"/>
    <x v="0"/>
    <x v="1"/>
    <n v="21"/>
    <x v="1"/>
    <s v="No"/>
    <x v="0"/>
    <x v="0"/>
    <x v="0"/>
    <s v="No Mutation"/>
    <s v="Yes"/>
    <s v="No"/>
    <s v="No"/>
    <s v="Yes"/>
    <s v="No"/>
    <s v="Yes"/>
    <s v="Yes"/>
    <s v="No"/>
    <s v="Yes"/>
    <s v="No"/>
    <x v="1"/>
    <s v="Not Applicable"/>
    <x v="3"/>
    <n v="4.0999999999999996"/>
    <s v="No"/>
    <s v="CT Scan"/>
    <s v="Surgery"/>
    <n v="26"/>
    <s v="Yes"/>
  </r>
  <r>
    <s v="LC-1495"/>
    <n v="2018"/>
    <d v="2018-07-06T00:00:00"/>
    <s v="Western Pacific"/>
    <s v="Vietnam"/>
    <n v="64"/>
    <x v="1"/>
    <x v="2"/>
    <n v="0"/>
    <n v="0"/>
    <x v="0"/>
    <x v="0"/>
    <x v="0"/>
    <x v="1"/>
    <x v="1"/>
    <n v="19.2"/>
    <x v="0"/>
    <s v="No"/>
    <x v="0"/>
    <x v="0"/>
    <x v="0"/>
    <s v="ALK"/>
    <s v="Yes"/>
    <s v="No"/>
    <s v="No"/>
    <s v="No"/>
    <s v="Yes"/>
    <s v="Yes"/>
    <s v="No"/>
    <s v="No"/>
    <s v="No"/>
    <s v="No"/>
    <x v="0"/>
    <s v="Large Cell"/>
    <x v="0"/>
    <n v="5.4"/>
    <s v="Yes"/>
    <s v="PET Scan"/>
    <s v="Chemo + Radiation"/>
    <n v="17"/>
    <s v="No"/>
  </r>
  <r>
    <s v="LC-1496"/>
    <n v="2018"/>
    <d v="2018-07-12T00:00:00"/>
    <s v="Western Pacific"/>
    <s v="South Korea"/>
    <n v="55"/>
    <x v="1"/>
    <x v="1"/>
    <n v="5"/>
    <n v="11"/>
    <x v="1"/>
    <x v="1"/>
    <x v="0"/>
    <x v="1"/>
    <x v="1"/>
    <n v="24.5"/>
    <x v="2"/>
    <s v="No"/>
    <x v="0"/>
    <x v="0"/>
    <x v="0"/>
    <s v="No Mutation"/>
    <s v="Yes"/>
    <s v="Yes"/>
    <s v="No"/>
    <s v="No"/>
    <s v="Yes"/>
    <s v="No"/>
    <s v="Yes"/>
    <s v="Yes"/>
    <s v="No"/>
    <s v="No"/>
    <x v="0"/>
    <s v="Large Cell"/>
    <x v="0"/>
    <n v="8.6"/>
    <s v="Yes"/>
    <s v="CT Scan"/>
    <s v="Immunotherapy"/>
    <n v="1"/>
    <s v="No"/>
  </r>
  <r>
    <s v="LC-1497"/>
    <n v="2017"/>
    <d v="2017-08-02T00:00:00"/>
    <s v="Eastern Mediterranean"/>
    <s v="Iraq"/>
    <n v="56"/>
    <x v="1"/>
    <x v="0"/>
    <n v="20"/>
    <n v="29"/>
    <x v="0"/>
    <x v="0"/>
    <x v="0"/>
    <x v="1"/>
    <x v="0"/>
    <n v="32.4"/>
    <x v="2"/>
    <s v="No"/>
    <x v="0"/>
    <x v="0"/>
    <x v="0"/>
    <s v="KRAS"/>
    <s v="Yes"/>
    <s v="No"/>
    <s v="Yes"/>
    <s v="Yes"/>
    <s v="Yes"/>
    <s v="No"/>
    <s v="Yes"/>
    <s v="No"/>
    <s v="No"/>
    <s v="No"/>
    <x v="0"/>
    <s v="Adenocarcinoma"/>
    <x v="0"/>
    <n v="8.1"/>
    <s v="Yes"/>
    <s v="Bronchoscopy"/>
    <s v="Immunotherapy"/>
    <n v="3"/>
    <s v="No"/>
  </r>
  <r>
    <s v="LC-1498"/>
    <n v="2016"/>
    <d v="2016-08-15T00:00:00"/>
    <s v="Americas"/>
    <s v="Argentina"/>
    <n v="60"/>
    <x v="1"/>
    <x v="2"/>
    <n v="0"/>
    <n v="0"/>
    <x v="0"/>
    <x v="1"/>
    <x v="1"/>
    <x v="1"/>
    <x v="1"/>
    <n v="22.1"/>
    <x v="0"/>
    <s v="No"/>
    <x v="0"/>
    <x v="0"/>
    <x v="0"/>
    <s v="ALK"/>
    <s v="No"/>
    <s v="No"/>
    <s v="Yes"/>
    <s v="No"/>
    <s v="Yes"/>
    <s v="No"/>
    <s v="No"/>
    <s v="No"/>
    <s v="No"/>
    <s v="No"/>
    <x v="0"/>
    <s v="Adenocarcinoma"/>
    <x v="2"/>
    <n v="5.5"/>
    <s v="No"/>
    <s v="Bronchoscopy"/>
    <s v="Chemotherapy"/>
    <n v="11"/>
    <s v="No"/>
  </r>
  <r>
    <s v="LC-1499"/>
    <n v="2017"/>
    <d v="2017-04-27T00:00:00"/>
    <s v="Africa"/>
    <s v="Ethiopia"/>
    <n v="68"/>
    <x v="1"/>
    <x v="0"/>
    <n v="22"/>
    <n v="33"/>
    <x v="1"/>
    <x v="1"/>
    <x v="0"/>
    <x v="1"/>
    <x v="0"/>
    <n v="27.9"/>
    <x v="0"/>
    <s v="No"/>
    <x v="0"/>
    <x v="0"/>
    <x v="0"/>
    <s v="No Mutation"/>
    <s v="Yes"/>
    <s v="Yes"/>
    <s v="Yes"/>
    <s v="Yes"/>
    <s v="Yes"/>
    <s v="Yes"/>
    <s v="No"/>
    <s v="Yes"/>
    <s v="No"/>
    <s v="No"/>
    <x v="0"/>
    <s v="Squamous Cell"/>
    <x v="2"/>
    <n v="5.7"/>
    <s v="No"/>
    <s v="Chest X-Ray"/>
    <s v="Chemo + Radiation"/>
    <n v="19"/>
    <s v="Yes"/>
  </r>
  <r>
    <s v="LC-1500"/>
    <n v="2024"/>
    <d v="2024-10-02T00:00:00"/>
    <s v="Eastern Mediterranean"/>
    <s v="Saudi Arabia"/>
    <n v="78"/>
    <x v="1"/>
    <x v="2"/>
    <n v="0"/>
    <n v="0"/>
    <x v="0"/>
    <x v="1"/>
    <x v="0"/>
    <x v="0"/>
    <x v="0"/>
    <n v="24.9"/>
    <x v="0"/>
    <s v="No"/>
    <x v="0"/>
    <x v="0"/>
    <x v="1"/>
    <s v="No Mutation"/>
    <s v="No"/>
    <s v="No"/>
    <s v="Yes"/>
    <s v="No"/>
    <s v="Yes"/>
    <s v="No"/>
    <s v="No"/>
    <s v="No"/>
    <s v="No"/>
    <s v="No"/>
    <x v="0"/>
    <s v="Large Cell"/>
    <x v="3"/>
    <n v="5.0999999999999996"/>
    <s v="No"/>
    <s v="PET Scan"/>
    <s v="Radiotherapy"/>
    <n v="28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0391B-F9D5-7345-8544-66040C28127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7" firstHeaderRow="1" firstDataRow="2" firstDataCol="1"/>
  <pivotFields count="41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>
      <items count="3">
        <item x="0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 sortType="ascending">
      <items count="4">
        <item x="2"/>
        <item x="0"/>
        <item x="1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2"/>
  </rowFields>
  <rowItems count="3">
    <i>
      <x/>
    </i>
    <i>
      <x v="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Age" fld="5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54A980-7D6C-2E49-88AA-214EFD68D818}" autoFormatId="16" applyNumberFormats="0" applyBorderFormats="0" applyFontFormats="0" applyPatternFormats="0" applyAlignmentFormats="0" applyWidthHeightFormats="0">
  <queryTableRefresh nextId="42">
    <queryTableFields count="41">
      <queryTableField id="1" name="Patient_ID" tableColumnId="1"/>
      <queryTableField id="2" name="Diagnosis_Year" tableColumnId="2"/>
      <queryTableField id="3" name="Diagnosis_Date" tableColumnId="3"/>
      <queryTableField id="4" name="WHO_Region" tableColumnId="4"/>
      <queryTableField id="5" name="Country" tableColumnId="5"/>
      <queryTableField id="6" name="Age" tableColumnId="6"/>
      <queryTableField id="7" name="Gender" tableColumnId="7"/>
      <queryTableField id="8" name="Smoking_Status" tableColumnId="8"/>
      <queryTableField id="9" name="Cigarettes_Per_Day" tableColumnId="9"/>
      <queryTableField id="10" name="Years_Smoking" tableColumnId="10"/>
      <queryTableField id="11" name="Secondhand_Smoke" tableColumnId="11"/>
      <queryTableField id="12" name="Family_History" tableColumnId="12"/>
      <queryTableField id="13" name="Occupational_Hazard" tableColumnId="13"/>
      <queryTableField id="14" name="Air_Pollution_Exposure" tableColumnId="14"/>
      <queryTableField id="15" name="Alcohol_Use" tableColumnId="15"/>
      <queryTableField id="16" name="BMI" tableColumnId="16"/>
      <queryTableField id="17" name="Exercise_Frequency" tableColumnId="17"/>
      <queryTableField id="18" name="Chronic_Lung_Disease" tableColumnId="18"/>
      <queryTableField id="19" name="Asbestos_Exposure" tableColumnId="19"/>
      <queryTableField id="20" name="Radon_Exposure" tableColumnId="20"/>
      <queryTableField id="21" name="Previous_Cancer_History" tableColumnId="21"/>
      <queryTableField id="22" name="Genetic_Mutation" tableColumnId="22"/>
      <queryTableField id="23" name="Coughing" tableColumnId="23"/>
      <queryTableField id="24" name="Shortness_of_Breath" tableColumnId="24"/>
      <queryTableField id="25" name="Chest_Pain" tableColumnId="25"/>
      <queryTableField id="26" name="Coughing_Blood" tableColumnId="26"/>
      <queryTableField id="27" name="Fatigue" tableColumnId="27"/>
      <queryTableField id="28" name="Weight_Loss" tableColumnId="28"/>
      <queryTableField id="29" name="Wheezing" tableColumnId="29"/>
      <queryTableField id="30" name="Recurrent_Infections" tableColumnId="30"/>
      <queryTableField id="31" name="Swallowing_Difficulty" tableColumnId="31"/>
      <queryTableField id="32" name="Finger_Clubbing" tableColumnId="32"/>
      <queryTableField id="33" name="Cancer_Type" tableColumnId="33"/>
      <queryTableField id="34" name="NSCLC_Subtype" tableColumnId="34"/>
      <queryTableField id="35" name="Cancer_Stage" tableColumnId="35"/>
      <queryTableField id="36" name="Tumor_Size_cm" tableColumnId="36"/>
      <queryTableField id="37" name="Metastasis" tableColumnId="37"/>
      <queryTableField id="38" name="Diagnosis_Method" tableColumnId="38"/>
      <queryTableField id="39" name="Treatment" tableColumnId="39"/>
      <queryTableField id="40" name="Survival_Months" tableColumnId="40"/>
      <queryTableField id="41" name="Survived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9E96A7-D607-8449-81D9-327D2DFFA1DB}" name="lung_cancer_dataset" displayName="lung_cancer_dataset" ref="A1:AO1501" tableType="queryTable" totalsRowShown="0">
  <autoFilter ref="A1:AO1501" xr:uid="{9D9E96A7-D607-8449-81D9-327D2DFFA1DB}"/>
  <tableColumns count="41">
    <tableColumn id="1" xr3:uid="{54973C6B-CC24-D646-9A94-B5AC90A2262B}" uniqueName="1" name="Patient_ID" queryTableFieldId="1" dataDxfId="33"/>
    <tableColumn id="2" xr3:uid="{396A3E58-2521-0A4F-B966-7D0E05FB8918}" uniqueName="2" name="Diagnosis_Year" queryTableFieldId="2"/>
    <tableColumn id="3" xr3:uid="{3CB8F870-5138-D14B-B739-32A4139109C0}" uniqueName="3" name="Diagnosis_Date" queryTableFieldId="3" dataDxfId="32"/>
    <tableColumn id="4" xr3:uid="{40958822-B9C1-844E-9EDF-ED10E280DF0D}" uniqueName="4" name="WHO_Region" queryTableFieldId="4" dataDxfId="31"/>
    <tableColumn id="5" xr3:uid="{9A87385D-3E7C-7B47-B3F9-DC701ED6CC8E}" uniqueName="5" name="Country" queryTableFieldId="5" dataDxfId="30"/>
    <tableColumn id="6" xr3:uid="{35F0955B-F361-8648-813B-DA697349AE30}" uniqueName="6" name="Age" queryTableFieldId="6"/>
    <tableColumn id="7" xr3:uid="{3A4C7168-803B-3746-B296-5795952E25A5}" uniqueName="7" name="Gender" queryTableFieldId="7" dataDxfId="29"/>
    <tableColumn id="8" xr3:uid="{85B10D60-68A1-FA4E-B981-EEF947D73205}" uniqueName="8" name="Smoking_Status" queryTableFieldId="8" dataDxfId="28"/>
    <tableColumn id="9" xr3:uid="{3CDF1292-3EEC-1A40-9BC8-2B5EE62F02E4}" uniqueName="9" name="Cigarettes_Per_Day" queryTableFieldId="9"/>
    <tableColumn id="10" xr3:uid="{D49BE858-E899-834E-96D0-7975AEC0929F}" uniqueName="10" name="Years_Smoking" queryTableFieldId="10"/>
    <tableColumn id="11" xr3:uid="{EA0C5DB4-3437-B049-9985-5274DB7C41A6}" uniqueName="11" name="Secondhand_Smoke" queryTableFieldId="11" dataDxfId="27"/>
    <tableColumn id="12" xr3:uid="{00C0CEAB-CFC9-7A45-92CA-E5A10CFEA374}" uniqueName="12" name="Family_History" queryTableFieldId="12" dataDxfId="26"/>
    <tableColumn id="13" xr3:uid="{5A210141-AED1-CF4E-8F11-B56AC2567A86}" uniqueName="13" name="Occupational_Hazard" queryTableFieldId="13" dataDxfId="25"/>
    <tableColumn id="14" xr3:uid="{C3AFAA34-49DD-AE48-9313-9AB0F7F46E5A}" uniqueName="14" name="Air_Pollution_Exposure" queryTableFieldId="14" dataDxfId="24"/>
    <tableColumn id="15" xr3:uid="{C11E0D57-04B2-D940-8F84-DACEC67227B7}" uniqueName="15" name="Alcohol_Use" queryTableFieldId="15" dataDxfId="23"/>
    <tableColumn id="16" xr3:uid="{82E53CB0-EA99-CC47-96C8-471100CEBB3A}" uniqueName="16" name="BMI" queryTableFieldId="16"/>
    <tableColumn id="17" xr3:uid="{F89DD4F7-2A01-D84E-869E-6350B1608217}" uniqueName="17" name="Exercise_Frequency" queryTableFieldId="17" dataDxfId="22"/>
    <tableColumn id="18" xr3:uid="{69F6BCD8-4CC7-DB4D-90F3-DBEACBBA3EED}" uniqueName="18" name="Chronic_Lung_Disease" queryTableFieldId="18" dataDxfId="21"/>
    <tableColumn id="19" xr3:uid="{3CB68834-DC44-7248-8D85-719ED42F1288}" uniqueName="19" name="Asbestos_Exposure" queryTableFieldId="19" dataDxfId="20"/>
    <tableColumn id="20" xr3:uid="{C9ED0EA9-6324-174F-B4FA-2294703E4BB7}" uniqueName="20" name="Radon_Exposure" queryTableFieldId="20" dataDxfId="19"/>
    <tableColumn id="21" xr3:uid="{464F0461-EC00-CE4D-8F3C-D6161FA962E7}" uniqueName="21" name="Previous_Cancer_History" queryTableFieldId="21" dataDxfId="18"/>
    <tableColumn id="22" xr3:uid="{EB00FC7E-C086-584B-B2CA-B8AFE78FAF6E}" uniqueName="22" name="Genetic_Mutation" queryTableFieldId="22" dataDxfId="17"/>
    <tableColumn id="23" xr3:uid="{E3FCCFBB-0FD1-0E4D-A9B3-D411522FC7DC}" uniqueName="23" name="Coughing" queryTableFieldId="23" dataDxfId="16"/>
    <tableColumn id="24" xr3:uid="{EB442767-44DC-2842-B1D5-55778A0EEC8A}" uniqueName="24" name="Shortness_of_Breath" queryTableFieldId="24" dataDxfId="15"/>
    <tableColumn id="25" xr3:uid="{75DB7064-4368-F244-AB9F-8A2B7FCC8419}" uniqueName="25" name="Chest_Pain" queryTableFieldId="25" dataDxfId="14"/>
    <tableColumn id="26" xr3:uid="{166F2CD6-F1C7-4349-9D9C-A795571F23B3}" uniqueName="26" name="Coughing_Blood" queryTableFieldId="26" dataDxfId="13"/>
    <tableColumn id="27" xr3:uid="{366E3894-4A68-4941-A178-9D60FA524768}" uniqueName="27" name="Fatigue" queryTableFieldId="27" dataDxfId="12"/>
    <tableColumn id="28" xr3:uid="{5EE44E68-40B9-8249-8D39-A7C9327A0018}" uniqueName="28" name="Weight_Loss" queryTableFieldId="28" dataDxfId="11"/>
    <tableColumn id="29" xr3:uid="{12EAEA97-0764-0740-A7CC-D575915B374D}" uniqueName="29" name="Wheezing" queryTableFieldId="29" dataDxfId="10"/>
    <tableColumn id="30" xr3:uid="{3941A7A3-B11E-1048-9FFD-151DD00D9CD6}" uniqueName="30" name="Recurrent_Infections" queryTableFieldId="30" dataDxfId="9"/>
    <tableColumn id="31" xr3:uid="{E59D1DBC-1EA8-4C49-B087-1AC77A5C6D1D}" uniqueName="31" name="Swallowing_Difficulty" queryTableFieldId="31" dataDxfId="8"/>
    <tableColumn id="32" xr3:uid="{E35D4081-3A52-974D-AAE7-BA0735C7E1F0}" uniqueName="32" name="Finger_Clubbing" queryTableFieldId="32" dataDxfId="7"/>
    <tableColumn id="33" xr3:uid="{ED289F02-38A2-CD49-86AA-54BE9720831F}" uniqueName="33" name="Cancer_Type" queryTableFieldId="33" dataDxfId="6"/>
    <tableColumn id="34" xr3:uid="{67B10311-303F-7143-8E39-7985EBFFB29D}" uniqueName="34" name="NSCLC_Subtype" queryTableFieldId="34" dataDxfId="5"/>
    <tableColumn id="35" xr3:uid="{2C12732C-14FD-D645-9743-24172EB6AAB8}" uniqueName="35" name="Cancer_Stage" queryTableFieldId="35" dataDxfId="4"/>
    <tableColumn id="36" xr3:uid="{0CCC04F0-E1EB-1D48-AA88-34F9E4E9215F}" uniqueName="36" name="Tumor_Size_cm" queryTableFieldId="36"/>
    <tableColumn id="37" xr3:uid="{FB146E76-AEEC-3E4B-AA0B-3D320E1383BA}" uniqueName="37" name="Metastasis" queryTableFieldId="37" dataDxfId="3"/>
    <tableColumn id="38" xr3:uid="{C0F44117-045E-0942-8C2B-661F531816FB}" uniqueName="38" name="Diagnosis_Method" queryTableFieldId="38" dataDxfId="2"/>
    <tableColumn id="39" xr3:uid="{B9E4D9BE-D621-0C4F-8B99-F3986BE6CB71}" uniqueName="39" name="Treatment" queryTableFieldId="39" dataDxfId="1"/>
    <tableColumn id="40" xr3:uid="{E0F1EB36-EB54-2F4B-980F-1BB67638FEB1}" uniqueName="40" name="Survival_Months" queryTableFieldId="40"/>
    <tableColumn id="41" xr3:uid="{C8F93C70-2997-A24C-85A8-616280E3A88D}" uniqueName="41" name="Survived" queryTableFieldId="4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BBC2-13C0-6C42-9031-6F2CBD558C96}">
  <dimension ref="A1:AO1501"/>
  <sheetViews>
    <sheetView topLeftCell="AB1" workbookViewId="0">
      <selection activeCell="AG1" sqref="AG1"/>
    </sheetView>
  </sheetViews>
  <sheetFormatPr baseColWidth="10" defaultRowHeight="16"/>
  <cols>
    <col min="1" max="1" width="12.33203125" bestFit="1" customWidth="1"/>
    <col min="2" max="2" width="16.5" bestFit="1" customWidth="1"/>
    <col min="3" max="3" width="16.83203125" bestFit="1" customWidth="1"/>
    <col min="4" max="4" width="19.83203125" bestFit="1" customWidth="1"/>
    <col min="5" max="5" width="11.6640625" bestFit="1" customWidth="1"/>
    <col min="6" max="6" width="6.83203125" bestFit="1" customWidth="1"/>
    <col min="7" max="7" width="9.6640625" bestFit="1" customWidth="1"/>
    <col min="8" max="8" width="17" bestFit="1" customWidth="1"/>
    <col min="9" max="9" width="20.33203125" bestFit="1" customWidth="1"/>
    <col min="10" max="10" width="16.33203125" bestFit="1" customWidth="1"/>
    <col min="11" max="11" width="20.33203125" bestFit="1" customWidth="1"/>
    <col min="12" max="12" width="16" bestFit="1" customWidth="1"/>
    <col min="13" max="13" width="21.5" bestFit="1" customWidth="1"/>
    <col min="14" max="14" width="22.6640625" bestFit="1" customWidth="1"/>
    <col min="15" max="15" width="13.83203125" bestFit="1" customWidth="1"/>
    <col min="16" max="16" width="6.83203125" bestFit="1" customWidth="1"/>
    <col min="17" max="17" width="20.1640625" bestFit="1" customWidth="1"/>
    <col min="18" max="18" width="22.83203125" bestFit="1" customWidth="1"/>
    <col min="19" max="19" width="20" bestFit="1" customWidth="1"/>
    <col min="20" max="20" width="17.1640625" bestFit="1" customWidth="1"/>
    <col min="21" max="21" width="24.83203125" bestFit="1" customWidth="1"/>
    <col min="22" max="22" width="18.33203125" bestFit="1" customWidth="1"/>
    <col min="23" max="23" width="11.5" bestFit="1" customWidth="1"/>
    <col min="24" max="24" width="21" bestFit="1" customWidth="1"/>
    <col min="25" max="25" width="13.1640625" bestFit="1" customWidth="1"/>
    <col min="26" max="26" width="17" bestFit="1" customWidth="1"/>
    <col min="27" max="27" width="9.83203125" bestFit="1" customWidth="1"/>
    <col min="28" max="28" width="14.33203125" bestFit="1" customWidth="1"/>
    <col min="29" max="29" width="11.6640625" bestFit="1" customWidth="1"/>
    <col min="30" max="30" width="21.1640625" bestFit="1" customWidth="1"/>
    <col min="31" max="31" width="21.5" bestFit="1" customWidth="1"/>
    <col min="32" max="32" width="17" bestFit="1" customWidth="1"/>
    <col min="33" max="33" width="14.1640625" bestFit="1" customWidth="1"/>
    <col min="34" max="34" width="17" bestFit="1" customWidth="1"/>
    <col min="35" max="35" width="15.1640625" bestFit="1" customWidth="1"/>
    <col min="36" max="36" width="16.5" bestFit="1" customWidth="1"/>
    <col min="37" max="37" width="13" bestFit="1" customWidth="1"/>
    <col min="38" max="38" width="19.1640625" bestFit="1" customWidth="1"/>
    <col min="39" max="39" width="21" bestFit="1" customWidth="1"/>
    <col min="40" max="40" width="17" bestFit="1" customWidth="1"/>
    <col min="41" max="41" width="10.5" bestFit="1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>
        <v>2020</v>
      </c>
      <c r="C2" s="1">
        <v>44139</v>
      </c>
      <c r="D2" t="s">
        <v>42</v>
      </c>
      <c r="E2" t="s">
        <v>43</v>
      </c>
      <c r="F2">
        <v>46</v>
      </c>
      <c r="G2" t="s">
        <v>44</v>
      </c>
      <c r="H2" t="s">
        <v>45</v>
      </c>
      <c r="I2">
        <v>28</v>
      </c>
      <c r="J2">
        <v>28</v>
      </c>
      <c r="K2" t="s">
        <v>46</v>
      </c>
      <c r="L2" t="s">
        <v>47</v>
      </c>
      <c r="M2" t="s">
        <v>47</v>
      </c>
      <c r="N2" t="s">
        <v>48</v>
      </c>
      <c r="O2" t="s">
        <v>49</v>
      </c>
      <c r="P2">
        <v>29.6</v>
      </c>
      <c r="Q2" t="s">
        <v>50</v>
      </c>
      <c r="R2" t="s">
        <v>46</v>
      </c>
      <c r="S2" t="s">
        <v>47</v>
      </c>
      <c r="T2" t="s">
        <v>47</v>
      </c>
      <c r="U2" t="s">
        <v>47</v>
      </c>
      <c r="V2" t="s">
        <v>51</v>
      </c>
      <c r="W2" t="s">
        <v>46</v>
      </c>
      <c r="X2" t="s">
        <v>46</v>
      </c>
      <c r="Y2" t="s">
        <v>46</v>
      </c>
      <c r="Z2" t="s">
        <v>47</v>
      </c>
      <c r="AA2" t="s">
        <v>47</v>
      </c>
      <c r="AB2" t="s">
        <v>46</v>
      </c>
      <c r="AC2" t="s">
        <v>47</v>
      </c>
      <c r="AD2" t="s">
        <v>47</v>
      </c>
      <c r="AE2" t="s">
        <v>46</v>
      </c>
      <c r="AF2" t="s">
        <v>47</v>
      </c>
      <c r="AG2" t="s">
        <v>52</v>
      </c>
      <c r="AH2" t="s">
        <v>53</v>
      </c>
      <c r="AI2" t="s">
        <v>54</v>
      </c>
      <c r="AJ2">
        <v>6.4</v>
      </c>
      <c r="AK2" t="s">
        <v>46</v>
      </c>
      <c r="AL2" t="s">
        <v>55</v>
      </c>
      <c r="AM2" t="s">
        <v>56</v>
      </c>
      <c r="AN2">
        <v>4</v>
      </c>
      <c r="AO2" t="s">
        <v>47</v>
      </c>
    </row>
    <row r="3" spans="1:41">
      <c r="A3" t="s">
        <v>57</v>
      </c>
      <c r="B3">
        <v>2020</v>
      </c>
      <c r="C3" s="1">
        <v>44174</v>
      </c>
      <c r="D3" t="s">
        <v>58</v>
      </c>
      <c r="E3" t="s">
        <v>59</v>
      </c>
      <c r="F3">
        <v>71</v>
      </c>
      <c r="G3" t="s">
        <v>60</v>
      </c>
      <c r="H3" t="s">
        <v>61</v>
      </c>
      <c r="I3">
        <v>5</v>
      </c>
      <c r="J3">
        <v>34</v>
      </c>
      <c r="K3" t="s">
        <v>46</v>
      </c>
      <c r="L3" t="s">
        <v>47</v>
      </c>
      <c r="M3" t="s">
        <v>47</v>
      </c>
      <c r="N3" t="s">
        <v>62</v>
      </c>
      <c r="O3" t="s">
        <v>63</v>
      </c>
      <c r="P3">
        <v>31.3</v>
      </c>
      <c r="Q3" t="s">
        <v>48</v>
      </c>
      <c r="R3" t="s">
        <v>47</v>
      </c>
      <c r="S3" t="s">
        <v>47</v>
      </c>
      <c r="T3" t="s">
        <v>47</v>
      </c>
      <c r="U3" t="s">
        <v>46</v>
      </c>
      <c r="V3" t="s">
        <v>64</v>
      </c>
      <c r="W3" t="s">
        <v>46</v>
      </c>
      <c r="X3" t="s">
        <v>46</v>
      </c>
      <c r="Y3" t="s">
        <v>47</v>
      </c>
      <c r="Z3" t="s">
        <v>47</v>
      </c>
      <c r="AA3" t="s">
        <v>46</v>
      </c>
      <c r="AB3" t="s">
        <v>47</v>
      </c>
      <c r="AC3" t="s">
        <v>46</v>
      </c>
      <c r="AD3" t="s">
        <v>47</v>
      </c>
      <c r="AE3" t="s">
        <v>46</v>
      </c>
      <c r="AF3" t="s">
        <v>47</v>
      </c>
      <c r="AG3" t="s">
        <v>52</v>
      </c>
      <c r="AH3" t="s">
        <v>53</v>
      </c>
      <c r="AI3" t="s">
        <v>65</v>
      </c>
      <c r="AJ3">
        <v>2.6</v>
      </c>
      <c r="AK3" t="s">
        <v>47</v>
      </c>
      <c r="AL3" t="s">
        <v>66</v>
      </c>
      <c r="AM3" t="s">
        <v>67</v>
      </c>
      <c r="AN3">
        <v>76</v>
      </c>
      <c r="AO3" t="s">
        <v>46</v>
      </c>
    </row>
    <row r="4" spans="1:41">
      <c r="A4" t="s">
        <v>68</v>
      </c>
      <c r="B4">
        <v>2016</v>
      </c>
      <c r="C4" s="1">
        <v>42465</v>
      </c>
      <c r="D4" t="s">
        <v>42</v>
      </c>
      <c r="E4" t="s">
        <v>69</v>
      </c>
      <c r="F4">
        <v>53</v>
      </c>
      <c r="G4" t="s">
        <v>44</v>
      </c>
      <c r="H4" t="s">
        <v>70</v>
      </c>
      <c r="I4">
        <v>0</v>
      </c>
      <c r="J4">
        <v>0</v>
      </c>
      <c r="K4" t="s">
        <v>46</v>
      </c>
      <c r="L4" t="s">
        <v>47</v>
      </c>
      <c r="M4" t="s">
        <v>47</v>
      </c>
      <c r="N4" t="s">
        <v>62</v>
      </c>
      <c r="O4" t="s">
        <v>48</v>
      </c>
      <c r="P4">
        <v>25.8</v>
      </c>
      <c r="Q4" t="s">
        <v>50</v>
      </c>
      <c r="R4" t="s">
        <v>47</v>
      </c>
      <c r="S4" t="s">
        <v>47</v>
      </c>
      <c r="T4" t="s">
        <v>47</v>
      </c>
      <c r="U4" t="s">
        <v>47</v>
      </c>
      <c r="V4" t="s">
        <v>64</v>
      </c>
      <c r="W4" t="s">
        <v>47</v>
      </c>
      <c r="X4" t="s">
        <v>47</v>
      </c>
      <c r="Y4" t="s">
        <v>46</v>
      </c>
      <c r="Z4" t="s">
        <v>46</v>
      </c>
      <c r="AA4" t="s">
        <v>46</v>
      </c>
      <c r="AB4" t="s">
        <v>47</v>
      </c>
      <c r="AC4" t="s">
        <v>47</v>
      </c>
      <c r="AD4" t="s">
        <v>47</v>
      </c>
      <c r="AE4" t="s">
        <v>47</v>
      </c>
      <c r="AF4" t="s">
        <v>47</v>
      </c>
      <c r="AG4" t="s">
        <v>52</v>
      </c>
      <c r="AH4" t="s">
        <v>71</v>
      </c>
      <c r="AI4" t="s">
        <v>65</v>
      </c>
      <c r="AJ4">
        <v>2.9</v>
      </c>
      <c r="AK4" t="s">
        <v>47</v>
      </c>
      <c r="AL4" t="s">
        <v>72</v>
      </c>
      <c r="AM4" t="s">
        <v>73</v>
      </c>
      <c r="AN4">
        <v>69</v>
      </c>
      <c r="AO4" t="s">
        <v>47</v>
      </c>
    </row>
    <row r="5" spans="1:41">
      <c r="A5" t="s">
        <v>74</v>
      </c>
      <c r="B5">
        <v>2017</v>
      </c>
      <c r="C5" s="1">
        <v>43063</v>
      </c>
      <c r="D5" t="s">
        <v>42</v>
      </c>
      <c r="E5" t="s">
        <v>75</v>
      </c>
      <c r="F5">
        <v>55</v>
      </c>
      <c r="G5" t="s">
        <v>60</v>
      </c>
      <c r="H5" t="s">
        <v>45</v>
      </c>
      <c r="I5">
        <v>21</v>
      </c>
      <c r="J5">
        <v>34</v>
      </c>
      <c r="K5" t="s">
        <v>47</v>
      </c>
      <c r="L5" t="s">
        <v>46</v>
      </c>
      <c r="M5" t="s">
        <v>47</v>
      </c>
      <c r="N5" t="s">
        <v>48</v>
      </c>
      <c r="O5" t="s">
        <v>49</v>
      </c>
      <c r="P5">
        <v>25.3</v>
      </c>
      <c r="Q5" t="s">
        <v>50</v>
      </c>
      <c r="R5" t="s">
        <v>46</v>
      </c>
      <c r="S5" t="s">
        <v>47</v>
      </c>
      <c r="T5" t="s">
        <v>47</v>
      </c>
      <c r="U5" t="s">
        <v>47</v>
      </c>
      <c r="V5" t="s">
        <v>51</v>
      </c>
      <c r="W5" t="s">
        <v>46</v>
      </c>
      <c r="X5" t="s">
        <v>47</v>
      </c>
      <c r="Y5" t="s">
        <v>47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t="s">
        <v>47</v>
      </c>
      <c r="AF5" t="s">
        <v>47</v>
      </c>
      <c r="AG5" t="s">
        <v>52</v>
      </c>
      <c r="AH5" t="s">
        <v>53</v>
      </c>
      <c r="AI5" t="s">
        <v>54</v>
      </c>
      <c r="AJ5">
        <v>7</v>
      </c>
      <c r="AK5" t="s">
        <v>46</v>
      </c>
      <c r="AL5" t="s">
        <v>76</v>
      </c>
      <c r="AM5" t="s">
        <v>77</v>
      </c>
      <c r="AN5">
        <v>9</v>
      </c>
      <c r="AO5" t="s">
        <v>47</v>
      </c>
    </row>
    <row r="6" spans="1:41">
      <c r="A6" t="s">
        <v>78</v>
      </c>
      <c r="B6">
        <v>2023</v>
      </c>
      <c r="C6" s="1">
        <v>44976</v>
      </c>
      <c r="D6" t="s">
        <v>42</v>
      </c>
      <c r="E6" t="s">
        <v>79</v>
      </c>
      <c r="F6">
        <v>54</v>
      </c>
      <c r="G6" t="s">
        <v>60</v>
      </c>
      <c r="H6" t="s">
        <v>70</v>
      </c>
      <c r="I6">
        <v>0</v>
      </c>
      <c r="J6">
        <v>0</v>
      </c>
      <c r="K6" t="s">
        <v>47</v>
      </c>
      <c r="L6" t="s">
        <v>47</v>
      </c>
      <c r="M6" t="s">
        <v>46</v>
      </c>
      <c r="N6" t="s">
        <v>62</v>
      </c>
      <c r="O6" t="s">
        <v>49</v>
      </c>
      <c r="P6">
        <v>32</v>
      </c>
      <c r="Q6" t="s">
        <v>50</v>
      </c>
      <c r="R6" t="s">
        <v>46</v>
      </c>
      <c r="S6" t="s">
        <v>47</v>
      </c>
      <c r="T6" t="s">
        <v>47</v>
      </c>
      <c r="U6" t="s">
        <v>46</v>
      </c>
      <c r="V6" t="s">
        <v>64</v>
      </c>
      <c r="W6" t="s">
        <v>46</v>
      </c>
      <c r="X6" t="s">
        <v>47</v>
      </c>
      <c r="Y6" t="s">
        <v>46</v>
      </c>
      <c r="Z6" t="s">
        <v>47</v>
      </c>
      <c r="AA6" t="s">
        <v>46</v>
      </c>
      <c r="AB6" t="s">
        <v>47</v>
      </c>
      <c r="AC6" t="s">
        <v>46</v>
      </c>
      <c r="AD6" t="s">
        <v>47</v>
      </c>
      <c r="AE6" t="s">
        <v>46</v>
      </c>
      <c r="AF6" t="s">
        <v>47</v>
      </c>
      <c r="AG6" t="s">
        <v>52</v>
      </c>
      <c r="AH6" t="s">
        <v>53</v>
      </c>
      <c r="AI6" t="s">
        <v>80</v>
      </c>
      <c r="AJ6">
        <v>5.8</v>
      </c>
      <c r="AK6" t="s">
        <v>47</v>
      </c>
      <c r="AL6" t="s">
        <v>81</v>
      </c>
      <c r="AM6" t="s">
        <v>82</v>
      </c>
      <c r="AN6">
        <v>5</v>
      </c>
      <c r="AO6" t="s">
        <v>46</v>
      </c>
    </row>
    <row r="7" spans="1:41">
      <c r="A7" t="s">
        <v>83</v>
      </c>
      <c r="B7">
        <v>2025</v>
      </c>
      <c r="C7" s="1">
        <v>45658</v>
      </c>
      <c r="D7" t="s">
        <v>84</v>
      </c>
      <c r="E7" t="s">
        <v>85</v>
      </c>
      <c r="F7">
        <v>75</v>
      </c>
      <c r="G7" t="s">
        <v>60</v>
      </c>
      <c r="H7" t="s">
        <v>70</v>
      </c>
      <c r="I7">
        <v>0</v>
      </c>
      <c r="J7">
        <v>0</v>
      </c>
      <c r="K7" t="s">
        <v>47</v>
      </c>
      <c r="L7" t="s">
        <v>47</v>
      </c>
      <c r="M7" t="s">
        <v>47</v>
      </c>
      <c r="N7" t="s">
        <v>50</v>
      </c>
      <c r="O7" t="s">
        <v>49</v>
      </c>
      <c r="P7">
        <v>23</v>
      </c>
      <c r="Q7" t="s">
        <v>62</v>
      </c>
      <c r="R7" t="s">
        <v>47</v>
      </c>
      <c r="S7" t="s">
        <v>46</v>
      </c>
      <c r="T7" t="s">
        <v>47</v>
      </c>
      <c r="U7" t="s">
        <v>47</v>
      </c>
      <c r="V7" t="s">
        <v>86</v>
      </c>
      <c r="W7" t="s">
        <v>46</v>
      </c>
      <c r="X7" t="s">
        <v>47</v>
      </c>
      <c r="Y7" t="s">
        <v>47</v>
      </c>
      <c r="Z7" t="s">
        <v>47</v>
      </c>
      <c r="AA7" t="s">
        <v>46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52</v>
      </c>
      <c r="AH7" t="s">
        <v>53</v>
      </c>
      <c r="AI7" t="s">
        <v>87</v>
      </c>
      <c r="AJ7">
        <v>3</v>
      </c>
      <c r="AK7" t="s">
        <v>47</v>
      </c>
      <c r="AL7" t="s">
        <v>76</v>
      </c>
      <c r="AM7" t="s">
        <v>73</v>
      </c>
      <c r="AN7">
        <v>23</v>
      </c>
      <c r="AO7" t="s">
        <v>47</v>
      </c>
    </row>
    <row r="8" spans="1:41">
      <c r="A8" t="s">
        <v>88</v>
      </c>
      <c r="B8">
        <v>2025</v>
      </c>
      <c r="C8" s="1">
        <v>45755</v>
      </c>
      <c r="D8" t="s">
        <v>84</v>
      </c>
      <c r="E8" t="s">
        <v>89</v>
      </c>
      <c r="F8">
        <v>85</v>
      </c>
      <c r="G8" t="s">
        <v>44</v>
      </c>
      <c r="H8" t="s">
        <v>70</v>
      </c>
      <c r="I8">
        <v>0</v>
      </c>
      <c r="J8">
        <v>0</v>
      </c>
      <c r="K8" t="s">
        <v>46</v>
      </c>
      <c r="L8" t="s">
        <v>47</v>
      </c>
      <c r="M8" t="s">
        <v>47</v>
      </c>
      <c r="N8" t="s">
        <v>50</v>
      </c>
      <c r="O8" t="s">
        <v>48</v>
      </c>
      <c r="P8">
        <v>26.9</v>
      </c>
      <c r="Q8" t="s">
        <v>50</v>
      </c>
      <c r="R8" t="s">
        <v>47</v>
      </c>
      <c r="S8" t="s">
        <v>47</v>
      </c>
      <c r="T8" t="s">
        <v>47</v>
      </c>
      <c r="U8" t="s">
        <v>47</v>
      </c>
      <c r="V8" t="s">
        <v>86</v>
      </c>
      <c r="W8" t="s">
        <v>47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t="s">
        <v>47</v>
      </c>
      <c r="AG8" t="s">
        <v>52</v>
      </c>
      <c r="AH8" t="s">
        <v>90</v>
      </c>
      <c r="AI8" t="s">
        <v>80</v>
      </c>
      <c r="AJ8">
        <v>3.8</v>
      </c>
      <c r="AK8" t="s">
        <v>47</v>
      </c>
      <c r="AL8" t="s">
        <v>66</v>
      </c>
      <c r="AM8" t="s">
        <v>77</v>
      </c>
      <c r="AN8">
        <v>18</v>
      </c>
      <c r="AO8" t="s">
        <v>47</v>
      </c>
    </row>
    <row r="9" spans="1:41">
      <c r="A9" t="s">
        <v>91</v>
      </c>
      <c r="B9">
        <v>2023</v>
      </c>
      <c r="C9" s="1">
        <v>45200</v>
      </c>
      <c r="D9" t="s">
        <v>42</v>
      </c>
      <c r="E9" t="s">
        <v>75</v>
      </c>
      <c r="F9">
        <v>72</v>
      </c>
      <c r="G9" t="s">
        <v>60</v>
      </c>
      <c r="H9" t="s">
        <v>70</v>
      </c>
      <c r="I9">
        <v>0</v>
      </c>
      <c r="J9">
        <v>0</v>
      </c>
      <c r="K9" t="s">
        <v>47</v>
      </c>
      <c r="L9" t="s">
        <v>47</v>
      </c>
      <c r="M9" t="s">
        <v>47</v>
      </c>
      <c r="N9" t="s">
        <v>62</v>
      </c>
      <c r="O9" t="s">
        <v>48</v>
      </c>
      <c r="P9">
        <v>24.1</v>
      </c>
      <c r="Q9" t="s">
        <v>48</v>
      </c>
      <c r="R9" t="s">
        <v>47</v>
      </c>
      <c r="S9" t="s">
        <v>47</v>
      </c>
      <c r="T9" t="s">
        <v>47</v>
      </c>
      <c r="U9" t="s">
        <v>47</v>
      </c>
      <c r="V9" t="s">
        <v>92</v>
      </c>
      <c r="W9" t="s">
        <v>46</v>
      </c>
      <c r="X9" t="s">
        <v>47</v>
      </c>
      <c r="Y9" t="s">
        <v>46</v>
      </c>
      <c r="Z9" t="s">
        <v>47</v>
      </c>
      <c r="AA9" t="s">
        <v>46</v>
      </c>
      <c r="AB9" t="s">
        <v>47</v>
      </c>
      <c r="AC9" t="s">
        <v>47</v>
      </c>
      <c r="AD9" t="s">
        <v>46</v>
      </c>
      <c r="AE9" t="s">
        <v>46</v>
      </c>
      <c r="AF9" t="s">
        <v>47</v>
      </c>
      <c r="AG9" t="s">
        <v>52</v>
      </c>
      <c r="AH9" t="s">
        <v>53</v>
      </c>
      <c r="AI9" t="s">
        <v>87</v>
      </c>
      <c r="AJ9">
        <v>4.3</v>
      </c>
      <c r="AK9" t="s">
        <v>47</v>
      </c>
      <c r="AL9" t="s">
        <v>81</v>
      </c>
      <c r="AM9" t="s">
        <v>67</v>
      </c>
      <c r="AN9">
        <v>25</v>
      </c>
      <c r="AO9" t="s">
        <v>46</v>
      </c>
    </row>
    <row r="10" spans="1:41">
      <c r="A10" t="s">
        <v>93</v>
      </c>
      <c r="B10">
        <v>2022</v>
      </c>
      <c r="C10" s="1">
        <v>44674</v>
      </c>
      <c r="D10" t="s">
        <v>84</v>
      </c>
      <c r="E10" t="s">
        <v>89</v>
      </c>
      <c r="F10">
        <v>58</v>
      </c>
      <c r="G10" t="s">
        <v>44</v>
      </c>
      <c r="H10" t="s">
        <v>70</v>
      </c>
      <c r="I10">
        <v>0</v>
      </c>
      <c r="J10">
        <v>0</v>
      </c>
      <c r="K10" t="s">
        <v>47</v>
      </c>
      <c r="L10" t="s">
        <v>47</v>
      </c>
      <c r="M10" t="s">
        <v>47</v>
      </c>
      <c r="N10" t="s">
        <v>50</v>
      </c>
      <c r="O10" t="s">
        <v>49</v>
      </c>
      <c r="P10">
        <v>28.3</v>
      </c>
      <c r="Q10" t="s">
        <v>62</v>
      </c>
      <c r="R10" t="s">
        <v>47</v>
      </c>
      <c r="S10" t="s">
        <v>47</v>
      </c>
      <c r="T10" t="s">
        <v>47</v>
      </c>
      <c r="U10" t="s">
        <v>47</v>
      </c>
      <c r="V10" t="s">
        <v>86</v>
      </c>
      <c r="W10" t="s">
        <v>46</v>
      </c>
      <c r="X10" t="s">
        <v>47</v>
      </c>
      <c r="Y10" t="s">
        <v>47</v>
      </c>
      <c r="Z10" t="s">
        <v>47</v>
      </c>
      <c r="AA10" t="s">
        <v>46</v>
      </c>
      <c r="AB10" t="s">
        <v>47</v>
      </c>
      <c r="AC10" t="s">
        <v>47</v>
      </c>
      <c r="AD10" t="s">
        <v>47</v>
      </c>
      <c r="AE10" t="s">
        <v>47</v>
      </c>
      <c r="AF10" t="s">
        <v>47</v>
      </c>
      <c r="AG10" t="s">
        <v>52</v>
      </c>
      <c r="AH10" t="s">
        <v>53</v>
      </c>
      <c r="AI10" t="s">
        <v>80</v>
      </c>
      <c r="AJ10">
        <v>6.7</v>
      </c>
      <c r="AK10" t="s">
        <v>46</v>
      </c>
      <c r="AL10" t="s">
        <v>76</v>
      </c>
      <c r="AM10" t="s">
        <v>77</v>
      </c>
      <c r="AN10">
        <v>21</v>
      </c>
      <c r="AO10" t="s">
        <v>47</v>
      </c>
    </row>
    <row r="11" spans="1:41">
      <c r="A11" t="s">
        <v>94</v>
      </c>
      <c r="B11">
        <v>2021</v>
      </c>
      <c r="C11" s="1">
        <v>44385</v>
      </c>
      <c r="D11" t="s">
        <v>95</v>
      </c>
      <c r="E11" t="s">
        <v>96</v>
      </c>
      <c r="F11">
        <v>43</v>
      </c>
      <c r="G11" t="s">
        <v>60</v>
      </c>
      <c r="H11" t="s">
        <v>70</v>
      </c>
      <c r="I11">
        <v>0</v>
      </c>
      <c r="J11">
        <v>0</v>
      </c>
      <c r="K11" t="s">
        <v>47</v>
      </c>
      <c r="L11" t="s">
        <v>46</v>
      </c>
      <c r="M11" t="s">
        <v>47</v>
      </c>
      <c r="N11" t="s">
        <v>48</v>
      </c>
      <c r="O11" t="s">
        <v>48</v>
      </c>
      <c r="P11">
        <v>21.3</v>
      </c>
      <c r="Q11" t="s">
        <v>62</v>
      </c>
      <c r="R11" t="s">
        <v>47</v>
      </c>
      <c r="S11" t="s">
        <v>47</v>
      </c>
      <c r="T11" t="s">
        <v>46</v>
      </c>
      <c r="U11" t="s">
        <v>47</v>
      </c>
      <c r="V11" t="s">
        <v>86</v>
      </c>
      <c r="W11" t="s">
        <v>47</v>
      </c>
      <c r="X11" t="s">
        <v>47</v>
      </c>
      <c r="Y11" t="s">
        <v>47</v>
      </c>
      <c r="Z11" t="s">
        <v>47</v>
      </c>
      <c r="AA11" t="s">
        <v>46</v>
      </c>
      <c r="AB11" t="s">
        <v>47</v>
      </c>
      <c r="AC11" t="s">
        <v>47</v>
      </c>
      <c r="AD11" t="s">
        <v>47</v>
      </c>
      <c r="AE11" t="s">
        <v>47</v>
      </c>
      <c r="AF11" t="s">
        <v>47</v>
      </c>
      <c r="AG11" t="s">
        <v>52</v>
      </c>
      <c r="AH11" t="s">
        <v>53</v>
      </c>
      <c r="AI11" t="s">
        <v>65</v>
      </c>
      <c r="AJ11">
        <v>1.5</v>
      </c>
      <c r="AK11" t="s">
        <v>47</v>
      </c>
      <c r="AL11" t="s">
        <v>72</v>
      </c>
      <c r="AM11" t="s">
        <v>73</v>
      </c>
      <c r="AN11">
        <v>65</v>
      </c>
      <c r="AO11" t="s">
        <v>46</v>
      </c>
    </row>
    <row r="12" spans="1:41">
      <c r="A12" t="s">
        <v>97</v>
      </c>
      <c r="B12">
        <v>2024</v>
      </c>
      <c r="C12" s="1">
        <v>45574</v>
      </c>
      <c r="D12" t="s">
        <v>98</v>
      </c>
      <c r="E12" t="s">
        <v>99</v>
      </c>
      <c r="F12">
        <v>51</v>
      </c>
      <c r="G12" t="s">
        <v>44</v>
      </c>
      <c r="H12" t="s">
        <v>70</v>
      </c>
      <c r="I12">
        <v>0</v>
      </c>
      <c r="J12">
        <v>0</v>
      </c>
      <c r="K12" t="s">
        <v>47</v>
      </c>
      <c r="L12" t="s">
        <v>47</v>
      </c>
      <c r="M12" t="s">
        <v>47</v>
      </c>
      <c r="N12" t="s">
        <v>62</v>
      </c>
      <c r="O12" t="s">
        <v>49</v>
      </c>
      <c r="P12">
        <v>25.1</v>
      </c>
      <c r="Q12" t="s">
        <v>50</v>
      </c>
      <c r="R12" t="s">
        <v>47</v>
      </c>
      <c r="S12" t="s">
        <v>47</v>
      </c>
      <c r="T12" t="s">
        <v>47</v>
      </c>
      <c r="U12" t="s">
        <v>47</v>
      </c>
      <c r="V12" t="s">
        <v>92</v>
      </c>
      <c r="W12" t="s">
        <v>47</v>
      </c>
      <c r="X12" t="s">
        <v>47</v>
      </c>
      <c r="Y12" t="s">
        <v>47</v>
      </c>
      <c r="Z12" t="s">
        <v>47</v>
      </c>
      <c r="AA12" t="s">
        <v>46</v>
      </c>
      <c r="AB12" t="s">
        <v>47</v>
      </c>
      <c r="AC12" t="s">
        <v>47</v>
      </c>
      <c r="AD12" t="s">
        <v>46</v>
      </c>
      <c r="AE12" t="s">
        <v>47</v>
      </c>
      <c r="AF12" t="s">
        <v>47</v>
      </c>
      <c r="AG12" t="s">
        <v>52</v>
      </c>
      <c r="AH12" t="s">
        <v>53</v>
      </c>
      <c r="AI12" t="s">
        <v>54</v>
      </c>
      <c r="AJ12">
        <v>6.7</v>
      </c>
      <c r="AK12" t="s">
        <v>46</v>
      </c>
      <c r="AL12" t="s">
        <v>100</v>
      </c>
      <c r="AM12" t="s">
        <v>77</v>
      </c>
      <c r="AN12">
        <v>9</v>
      </c>
      <c r="AO12" t="s">
        <v>47</v>
      </c>
    </row>
    <row r="13" spans="1:41">
      <c r="A13" t="s">
        <v>101</v>
      </c>
      <c r="B13">
        <v>2022</v>
      </c>
      <c r="C13" s="1">
        <v>44643</v>
      </c>
      <c r="D13" t="s">
        <v>84</v>
      </c>
      <c r="E13" t="s">
        <v>102</v>
      </c>
      <c r="F13">
        <v>52</v>
      </c>
      <c r="G13" t="s">
        <v>60</v>
      </c>
      <c r="H13" t="s">
        <v>70</v>
      </c>
      <c r="I13">
        <v>0</v>
      </c>
      <c r="J13">
        <v>0</v>
      </c>
      <c r="K13" t="s">
        <v>47</v>
      </c>
      <c r="L13" t="s">
        <v>47</v>
      </c>
      <c r="M13" t="s">
        <v>47</v>
      </c>
      <c r="N13" t="s">
        <v>50</v>
      </c>
      <c r="O13" t="s">
        <v>48</v>
      </c>
      <c r="P13">
        <v>21.6</v>
      </c>
      <c r="Q13" t="s">
        <v>50</v>
      </c>
      <c r="R13" t="s">
        <v>47</v>
      </c>
      <c r="S13" t="s">
        <v>47</v>
      </c>
      <c r="T13" t="s">
        <v>47</v>
      </c>
      <c r="U13" t="s">
        <v>47</v>
      </c>
      <c r="V13" t="s">
        <v>86</v>
      </c>
      <c r="W13" t="s">
        <v>46</v>
      </c>
      <c r="X13" t="s">
        <v>47</v>
      </c>
      <c r="Y13" t="s">
        <v>47</v>
      </c>
      <c r="Z13" t="s">
        <v>46</v>
      </c>
      <c r="AA13" t="s">
        <v>46</v>
      </c>
      <c r="AB13" t="s">
        <v>47</v>
      </c>
      <c r="AC13" t="s">
        <v>46</v>
      </c>
      <c r="AD13" t="s">
        <v>47</v>
      </c>
      <c r="AE13" t="s">
        <v>47</v>
      </c>
      <c r="AF13" t="s">
        <v>46</v>
      </c>
      <c r="AG13" t="s">
        <v>52</v>
      </c>
      <c r="AH13" t="s">
        <v>90</v>
      </c>
      <c r="AI13" t="s">
        <v>87</v>
      </c>
      <c r="AJ13">
        <v>5.6</v>
      </c>
      <c r="AK13" t="s">
        <v>47</v>
      </c>
      <c r="AL13" t="s">
        <v>100</v>
      </c>
      <c r="AM13" t="s">
        <v>103</v>
      </c>
      <c r="AN13">
        <v>26</v>
      </c>
      <c r="AO13" t="s">
        <v>46</v>
      </c>
    </row>
    <row r="14" spans="1:41">
      <c r="A14" t="s">
        <v>104</v>
      </c>
      <c r="B14">
        <v>2022</v>
      </c>
      <c r="C14" s="1">
        <v>44721</v>
      </c>
      <c r="D14" t="s">
        <v>95</v>
      </c>
      <c r="E14" t="s">
        <v>105</v>
      </c>
      <c r="F14">
        <v>57</v>
      </c>
      <c r="G14" t="s">
        <v>44</v>
      </c>
      <c r="H14" t="s">
        <v>45</v>
      </c>
      <c r="I14">
        <v>14</v>
      </c>
      <c r="J14">
        <v>20</v>
      </c>
      <c r="K14" t="s">
        <v>46</v>
      </c>
      <c r="L14" t="s">
        <v>46</v>
      </c>
      <c r="M14" t="s">
        <v>47</v>
      </c>
      <c r="N14" t="s">
        <v>48</v>
      </c>
      <c r="O14" t="s">
        <v>48</v>
      </c>
      <c r="P14">
        <v>26.3</v>
      </c>
      <c r="Q14" t="s">
        <v>62</v>
      </c>
      <c r="R14" t="s">
        <v>47</v>
      </c>
      <c r="S14" t="s">
        <v>47</v>
      </c>
      <c r="T14" t="s">
        <v>47</v>
      </c>
      <c r="U14" t="s">
        <v>47</v>
      </c>
      <c r="V14" t="s">
        <v>51</v>
      </c>
      <c r="W14" t="s">
        <v>46</v>
      </c>
      <c r="X14" t="s">
        <v>47</v>
      </c>
      <c r="Y14" t="s">
        <v>46</v>
      </c>
      <c r="Z14" t="s">
        <v>47</v>
      </c>
      <c r="AA14" t="s">
        <v>46</v>
      </c>
      <c r="AB14" t="s">
        <v>47</v>
      </c>
      <c r="AC14" t="s">
        <v>46</v>
      </c>
      <c r="AD14" t="s">
        <v>47</v>
      </c>
      <c r="AE14" t="s">
        <v>47</v>
      </c>
      <c r="AF14" t="s">
        <v>47</v>
      </c>
      <c r="AG14" t="s">
        <v>52</v>
      </c>
      <c r="AH14" t="s">
        <v>71</v>
      </c>
      <c r="AI14" t="s">
        <v>80</v>
      </c>
      <c r="AJ14">
        <v>7</v>
      </c>
      <c r="AK14" t="s">
        <v>47</v>
      </c>
      <c r="AL14" t="s">
        <v>66</v>
      </c>
      <c r="AM14" t="s">
        <v>82</v>
      </c>
      <c r="AN14">
        <v>17</v>
      </c>
      <c r="AO14" t="s">
        <v>47</v>
      </c>
    </row>
    <row r="15" spans="1:41">
      <c r="A15" t="s">
        <v>106</v>
      </c>
      <c r="B15">
        <v>2017</v>
      </c>
      <c r="C15" s="1">
        <v>42850</v>
      </c>
      <c r="D15" t="s">
        <v>95</v>
      </c>
      <c r="E15" t="s">
        <v>107</v>
      </c>
      <c r="F15">
        <v>55</v>
      </c>
      <c r="G15" t="s">
        <v>60</v>
      </c>
      <c r="H15" t="s">
        <v>70</v>
      </c>
      <c r="I15">
        <v>0</v>
      </c>
      <c r="J15">
        <v>0</v>
      </c>
      <c r="K15" t="s">
        <v>47</v>
      </c>
      <c r="L15" t="s">
        <v>47</v>
      </c>
      <c r="M15" t="s">
        <v>47</v>
      </c>
      <c r="N15" t="s">
        <v>50</v>
      </c>
      <c r="O15" t="s">
        <v>63</v>
      </c>
      <c r="P15">
        <v>27.1</v>
      </c>
      <c r="Q15" t="s">
        <v>48</v>
      </c>
      <c r="R15" t="s">
        <v>47</v>
      </c>
      <c r="S15" t="s">
        <v>47</v>
      </c>
      <c r="T15" t="s">
        <v>47</v>
      </c>
      <c r="U15" t="s">
        <v>47</v>
      </c>
      <c r="V15" t="s">
        <v>51</v>
      </c>
      <c r="W15" t="s">
        <v>47</v>
      </c>
      <c r="X15" t="s">
        <v>47</v>
      </c>
      <c r="Y15" t="s">
        <v>47</v>
      </c>
      <c r="Z15" t="s">
        <v>47</v>
      </c>
      <c r="AA15" t="s">
        <v>46</v>
      </c>
      <c r="AB15" t="s">
        <v>46</v>
      </c>
      <c r="AC15" t="s">
        <v>47</v>
      </c>
      <c r="AD15" t="s">
        <v>47</v>
      </c>
      <c r="AE15" t="s">
        <v>47</v>
      </c>
      <c r="AF15" t="s">
        <v>47</v>
      </c>
      <c r="AG15" t="s">
        <v>52</v>
      </c>
      <c r="AH15" t="s">
        <v>53</v>
      </c>
      <c r="AI15" t="s">
        <v>54</v>
      </c>
      <c r="AJ15">
        <v>5.2</v>
      </c>
      <c r="AK15" t="s">
        <v>46</v>
      </c>
      <c r="AL15" t="s">
        <v>81</v>
      </c>
      <c r="AM15" t="s">
        <v>56</v>
      </c>
      <c r="AN15">
        <v>1</v>
      </c>
      <c r="AO15" t="s">
        <v>47</v>
      </c>
    </row>
    <row r="16" spans="1:41">
      <c r="A16" t="s">
        <v>108</v>
      </c>
      <c r="B16">
        <v>2015</v>
      </c>
      <c r="C16" s="1">
        <v>42038</v>
      </c>
      <c r="D16" t="s">
        <v>42</v>
      </c>
      <c r="E16" t="s">
        <v>79</v>
      </c>
      <c r="F16">
        <v>73</v>
      </c>
      <c r="G16" t="s">
        <v>44</v>
      </c>
      <c r="H16" t="s">
        <v>70</v>
      </c>
      <c r="I16">
        <v>0</v>
      </c>
      <c r="J16">
        <v>0</v>
      </c>
      <c r="K16" t="s">
        <v>47</v>
      </c>
      <c r="L16" t="s">
        <v>46</v>
      </c>
      <c r="M16" t="s">
        <v>47</v>
      </c>
      <c r="N16" t="s">
        <v>50</v>
      </c>
      <c r="O16" t="s">
        <v>63</v>
      </c>
      <c r="P16">
        <v>27.7</v>
      </c>
      <c r="Q16" t="s">
        <v>48</v>
      </c>
      <c r="R16" t="s">
        <v>47</v>
      </c>
      <c r="S16" t="s">
        <v>47</v>
      </c>
      <c r="T16" t="s">
        <v>47</v>
      </c>
      <c r="U16" t="s">
        <v>47</v>
      </c>
      <c r="V16" t="s">
        <v>86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47</v>
      </c>
      <c r="AE16" t="s">
        <v>47</v>
      </c>
      <c r="AF16" t="s">
        <v>47</v>
      </c>
      <c r="AG16" t="s">
        <v>52</v>
      </c>
      <c r="AH16" t="s">
        <v>71</v>
      </c>
      <c r="AI16" t="s">
        <v>80</v>
      </c>
      <c r="AJ16">
        <v>3</v>
      </c>
      <c r="AK16" t="s">
        <v>47</v>
      </c>
      <c r="AL16" t="s">
        <v>81</v>
      </c>
      <c r="AM16" t="s">
        <v>77</v>
      </c>
      <c r="AN16">
        <v>26</v>
      </c>
      <c r="AO16" t="s">
        <v>47</v>
      </c>
    </row>
    <row r="17" spans="1:41">
      <c r="A17" t="s">
        <v>109</v>
      </c>
      <c r="B17">
        <v>2025</v>
      </c>
      <c r="C17" s="1">
        <v>45700</v>
      </c>
      <c r="D17" t="s">
        <v>110</v>
      </c>
      <c r="E17" t="s">
        <v>111</v>
      </c>
      <c r="F17">
        <v>58</v>
      </c>
      <c r="G17" t="s">
        <v>60</v>
      </c>
      <c r="H17" t="s">
        <v>70</v>
      </c>
      <c r="I17">
        <v>0</v>
      </c>
      <c r="J17">
        <v>0</v>
      </c>
      <c r="K17" t="s">
        <v>47</v>
      </c>
      <c r="L17" t="s">
        <v>47</v>
      </c>
      <c r="M17" t="s">
        <v>46</v>
      </c>
      <c r="N17" t="s">
        <v>62</v>
      </c>
      <c r="O17" t="s">
        <v>48</v>
      </c>
      <c r="P17">
        <v>31.8</v>
      </c>
      <c r="Q17" t="s">
        <v>50</v>
      </c>
      <c r="R17" t="s">
        <v>47</v>
      </c>
      <c r="S17" t="s">
        <v>47</v>
      </c>
      <c r="T17" t="s">
        <v>47</v>
      </c>
      <c r="U17" t="s">
        <v>47</v>
      </c>
      <c r="V17" t="s">
        <v>112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47</v>
      </c>
      <c r="AD17" t="s">
        <v>46</v>
      </c>
      <c r="AE17" t="s">
        <v>47</v>
      </c>
      <c r="AF17" t="s">
        <v>47</v>
      </c>
      <c r="AG17" t="s">
        <v>52</v>
      </c>
      <c r="AH17" t="s">
        <v>53</v>
      </c>
      <c r="AI17" t="s">
        <v>65</v>
      </c>
      <c r="AJ17">
        <v>1.4</v>
      </c>
      <c r="AK17" t="s">
        <v>47</v>
      </c>
      <c r="AL17" t="s">
        <v>72</v>
      </c>
      <c r="AM17" t="s">
        <v>73</v>
      </c>
      <c r="AN17">
        <v>50</v>
      </c>
      <c r="AO17" t="s">
        <v>46</v>
      </c>
    </row>
    <row r="18" spans="1:41">
      <c r="A18" t="s">
        <v>113</v>
      </c>
      <c r="B18">
        <v>2016</v>
      </c>
      <c r="C18" s="1">
        <v>42652</v>
      </c>
      <c r="D18" t="s">
        <v>95</v>
      </c>
      <c r="E18" t="s">
        <v>114</v>
      </c>
      <c r="F18">
        <v>63</v>
      </c>
      <c r="G18" t="s">
        <v>60</v>
      </c>
      <c r="H18" t="s">
        <v>70</v>
      </c>
      <c r="I18">
        <v>0</v>
      </c>
      <c r="J18">
        <v>0</v>
      </c>
      <c r="K18" t="s">
        <v>46</v>
      </c>
      <c r="L18" t="s">
        <v>47</v>
      </c>
      <c r="M18" t="s">
        <v>47</v>
      </c>
      <c r="N18" t="s">
        <v>50</v>
      </c>
      <c r="O18" t="s">
        <v>63</v>
      </c>
      <c r="P18">
        <v>17.399999999999999</v>
      </c>
      <c r="Q18" t="s">
        <v>62</v>
      </c>
      <c r="R18" t="s">
        <v>46</v>
      </c>
      <c r="S18" t="s">
        <v>47</v>
      </c>
      <c r="T18" t="s">
        <v>47</v>
      </c>
      <c r="U18" t="s">
        <v>47</v>
      </c>
      <c r="V18" t="s">
        <v>86</v>
      </c>
      <c r="W18" t="s">
        <v>46</v>
      </c>
      <c r="X18" t="s">
        <v>47</v>
      </c>
      <c r="Y18" t="s">
        <v>47</v>
      </c>
      <c r="Z18" t="s">
        <v>47</v>
      </c>
      <c r="AA18" t="s">
        <v>46</v>
      </c>
      <c r="AB18" t="s">
        <v>47</v>
      </c>
      <c r="AC18" t="s">
        <v>47</v>
      </c>
      <c r="AD18" t="s">
        <v>46</v>
      </c>
      <c r="AE18" t="s">
        <v>47</v>
      </c>
      <c r="AF18" t="s">
        <v>47</v>
      </c>
      <c r="AG18" t="s">
        <v>52</v>
      </c>
      <c r="AH18" t="s">
        <v>53</v>
      </c>
      <c r="AI18" t="s">
        <v>87</v>
      </c>
      <c r="AJ18">
        <v>4.2</v>
      </c>
      <c r="AK18" t="s">
        <v>47</v>
      </c>
      <c r="AL18" t="s">
        <v>76</v>
      </c>
      <c r="AM18" t="s">
        <v>73</v>
      </c>
      <c r="AN18">
        <v>13</v>
      </c>
      <c r="AO18" t="s">
        <v>46</v>
      </c>
    </row>
    <row r="19" spans="1:41">
      <c r="A19" t="s">
        <v>115</v>
      </c>
      <c r="B19">
        <v>2015</v>
      </c>
      <c r="C19" s="1">
        <v>42353</v>
      </c>
      <c r="D19" t="s">
        <v>110</v>
      </c>
      <c r="E19" t="s">
        <v>116</v>
      </c>
      <c r="F19">
        <v>55</v>
      </c>
      <c r="G19" t="s">
        <v>60</v>
      </c>
      <c r="H19" t="s">
        <v>70</v>
      </c>
      <c r="I19">
        <v>0</v>
      </c>
      <c r="J19">
        <v>0</v>
      </c>
      <c r="K19" t="s">
        <v>47</v>
      </c>
      <c r="L19" t="s">
        <v>47</v>
      </c>
      <c r="M19" t="s">
        <v>47</v>
      </c>
      <c r="N19" t="s">
        <v>62</v>
      </c>
      <c r="O19" t="s">
        <v>49</v>
      </c>
      <c r="P19">
        <v>25.1</v>
      </c>
      <c r="Q19" t="s">
        <v>48</v>
      </c>
      <c r="R19" t="s">
        <v>47</v>
      </c>
      <c r="S19" t="s">
        <v>47</v>
      </c>
      <c r="T19" t="s">
        <v>47</v>
      </c>
      <c r="U19" t="s">
        <v>47</v>
      </c>
      <c r="V19" t="s">
        <v>117</v>
      </c>
      <c r="W19" t="s">
        <v>46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46</v>
      </c>
      <c r="AE19" t="s">
        <v>47</v>
      </c>
      <c r="AF19" t="s">
        <v>47</v>
      </c>
      <c r="AG19" t="s">
        <v>52</v>
      </c>
      <c r="AH19" t="s">
        <v>53</v>
      </c>
      <c r="AI19" t="s">
        <v>65</v>
      </c>
      <c r="AJ19">
        <v>1.3</v>
      </c>
      <c r="AK19" t="s">
        <v>47</v>
      </c>
      <c r="AL19" t="s">
        <v>72</v>
      </c>
      <c r="AM19" t="s">
        <v>118</v>
      </c>
      <c r="AN19">
        <v>60</v>
      </c>
      <c r="AO19" t="s">
        <v>46</v>
      </c>
    </row>
    <row r="20" spans="1:41">
      <c r="A20" t="s">
        <v>119</v>
      </c>
      <c r="B20">
        <v>2016</v>
      </c>
      <c r="C20" s="1">
        <v>42413</v>
      </c>
      <c r="D20" t="s">
        <v>95</v>
      </c>
      <c r="E20" t="s">
        <v>120</v>
      </c>
      <c r="F20">
        <v>60</v>
      </c>
      <c r="G20" t="s">
        <v>44</v>
      </c>
      <c r="H20" t="s">
        <v>61</v>
      </c>
      <c r="I20">
        <v>17</v>
      </c>
      <c r="J20">
        <v>18</v>
      </c>
      <c r="K20" t="s">
        <v>47</v>
      </c>
      <c r="L20" t="s">
        <v>47</v>
      </c>
      <c r="M20" t="s">
        <v>47</v>
      </c>
      <c r="N20" t="s">
        <v>50</v>
      </c>
      <c r="O20" t="s">
        <v>48</v>
      </c>
      <c r="P20">
        <v>22.6</v>
      </c>
      <c r="Q20" t="s">
        <v>50</v>
      </c>
      <c r="R20" t="s">
        <v>46</v>
      </c>
      <c r="S20" t="s">
        <v>47</v>
      </c>
      <c r="T20" t="s">
        <v>47</v>
      </c>
      <c r="U20" t="s">
        <v>47</v>
      </c>
      <c r="V20" t="s">
        <v>117</v>
      </c>
      <c r="W20" t="s">
        <v>47</v>
      </c>
      <c r="X20" t="s">
        <v>46</v>
      </c>
      <c r="Y20" t="s">
        <v>47</v>
      </c>
      <c r="Z20" t="s">
        <v>46</v>
      </c>
      <c r="AA20" t="s">
        <v>46</v>
      </c>
      <c r="AB20" t="s">
        <v>47</v>
      </c>
      <c r="AC20" t="s">
        <v>46</v>
      </c>
      <c r="AD20" t="s">
        <v>47</v>
      </c>
      <c r="AE20" t="s">
        <v>46</v>
      </c>
      <c r="AF20" t="s">
        <v>46</v>
      </c>
      <c r="AG20" t="s">
        <v>121</v>
      </c>
      <c r="AH20" t="s">
        <v>122</v>
      </c>
      <c r="AI20" t="s">
        <v>87</v>
      </c>
      <c r="AJ20">
        <v>4.9000000000000004</v>
      </c>
      <c r="AK20" t="s">
        <v>47</v>
      </c>
      <c r="AL20" t="s">
        <v>81</v>
      </c>
      <c r="AM20" t="s">
        <v>67</v>
      </c>
      <c r="AN20">
        <v>51</v>
      </c>
      <c r="AO20" t="s">
        <v>47</v>
      </c>
    </row>
    <row r="21" spans="1:41">
      <c r="A21" t="s">
        <v>123</v>
      </c>
      <c r="B21">
        <v>2020</v>
      </c>
      <c r="C21" s="1">
        <v>44084</v>
      </c>
      <c r="D21" t="s">
        <v>110</v>
      </c>
      <c r="E21" t="s">
        <v>124</v>
      </c>
      <c r="F21">
        <v>61</v>
      </c>
      <c r="G21" t="s">
        <v>44</v>
      </c>
      <c r="H21" t="s">
        <v>70</v>
      </c>
      <c r="I21">
        <v>0</v>
      </c>
      <c r="J21">
        <v>0</v>
      </c>
      <c r="K21" t="s">
        <v>46</v>
      </c>
      <c r="L21" t="s">
        <v>46</v>
      </c>
      <c r="M21" t="s">
        <v>47</v>
      </c>
      <c r="N21" t="s">
        <v>62</v>
      </c>
      <c r="O21" t="s">
        <v>63</v>
      </c>
      <c r="P21">
        <v>24.1</v>
      </c>
      <c r="Q21" t="s">
        <v>50</v>
      </c>
      <c r="R21" t="s">
        <v>47</v>
      </c>
      <c r="S21" t="s">
        <v>47</v>
      </c>
      <c r="T21" t="s">
        <v>47</v>
      </c>
      <c r="U21" t="s">
        <v>47</v>
      </c>
      <c r="V21" t="s">
        <v>51</v>
      </c>
      <c r="W21" t="s">
        <v>47</v>
      </c>
      <c r="X21" t="s">
        <v>47</v>
      </c>
      <c r="Y21" t="s">
        <v>47</v>
      </c>
      <c r="Z21" t="s">
        <v>47</v>
      </c>
      <c r="AA21" t="s">
        <v>46</v>
      </c>
      <c r="AB21" t="s">
        <v>47</v>
      </c>
      <c r="AC21" t="s">
        <v>47</v>
      </c>
      <c r="AD21" t="s">
        <v>47</v>
      </c>
      <c r="AE21" t="s">
        <v>47</v>
      </c>
      <c r="AF21" t="s">
        <v>47</v>
      </c>
      <c r="AG21" t="s">
        <v>52</v>
      </c>
      <c r="AH21" t="s">
        <v>53</v>
      </c>
      <c r="AI21" t="s">
        <v>65</v>
      </c>
      <c r="AJ21">
        <v>2.1</v>
      </c>
      <c r="AK21" t="s">
        <v>47</v>
      </c>
      <c r="AL21" t="s">
        <v>81</v>
      </c>
      <c r="AM21" t="s">
        <v>73</v>
      </c>
      <c r="AN21">
        <v>76</v>
      </c>
      <c r="AO21" t="s">
        <v>46</v>
      </c>
    </row>
    <row r="22" spans="1:41">
      <c r="A22" t="s">
        <v>125</v>
      </c>
      <c r="B22">
        <v>2025</v>
      </c>
      <c r="C22" s="1">
        <v>45827</v>
      </c>
      <c r="D22" t="s">
        <v>84</v>
      </c>
      <c r="E22" t="s">
        <v>126</v>
      </c>
      <c r="F22">
        <v>66</v>
      </c>
      <c r="G22" t="s">
        <v>60</v>
      </c>
      <c r="H22" t="s">
        <v>70</v>
      </c>
      <c r="I22">
        <v>0</v>
      </c>
      <c r="J22">
        <v>0</v>
      </c>
      <c r="K22" t="s">
        <v>46</v>
      </c>
      <c r="L22" t="s">
        <v>47</v>
      </c>
      <c r="M22" t="s">
        <v>47</v>
      </c>
      <c r="N22" t="s">
        <v>48</v>
      </c>
      <c r="O22" t="s">
        <v>49</v>
      </c>
      <c r="P22">
        <v>24.8</v>
      </c>
      <c r="Q22" t="s">
        <v>50</v>
      </c>
      <c r="R22" t="s">
        <v>47</v>
      </c>
      <c r="S22" t="s">
        <v>47</v>
      </c>
      <c r="T22" t="s">
        <v>47</v>
      </c>
      <c r="U22" t="s">
        <v>47</v>
      </c>
      <c r="V22" t="s">
        <v>51</v>
      </c>
      <c r="W22" t="s">
        <v>46</v>
      </c>
      <c r="X22" t="s">
        <v>47</v>
      </c>
      <c r="Y22" t="s">
        <v>46</v>
      </c>
      <c r="Z22" t="s">
        <v>47</v>
      </c>
      <c r="AA22" t="s">
        <v>46</v>
      </c>
      <c r="AB22" t="s">
        <v>47</v>
      </c>
      <c r="AC22" t="s">
        <v>47</v>
      </c>
      <c r="AD22" t="s">
        <v>46</v>
      </c>
      <c r="AE22" t="s">
        <v>47</v>
      </c>
      <c r="AF22" t="s">
        <v>47</v>
      </c>
      <c r="AG22" t="s">
        <v>52</v>
      </c>
      <c r="AH22" t="s">
        <v>53</v>
      </c>
      <c r="AI22" t="s">
        <v>80</v>
      </c>
      <c r="AJ22">
        <v>4.7</v>
      </c>
      <c r="AK22" t="s">
        <v>47</v>
      </c>
      <c r="AL22" t="s">
        <v>66</v>
      </c>
      <c r="AM22" t="s">
        <v>77</v>
      </c>
      <c r="AN22">
        <v>9</v>
      </c>
      <c r="AO22" t="s">
        <v>47</v>
      </c>
    </row>
    <row r="23" spans="1:41">
      <c r="A23" t="s">
        <v>127</v>
      </c>
      <c r="B23">
        <v>2020</v>
      </c>
      <c r="C23" s="1">
        <v>44168</v>
      </c>
      <c r="D23" t="s">
        <v>95</v>
      </c>
      <c r="E23" t="s">
        <v>114</v>
      </c>
      <c r="F23">
        <v>60</v>
      </c>
      <c r="G23" t="s">
        <v>44</v>
      </c>
      <c r="H23" t="s">
        <v>70</v>
      </c>
      <c r="I23">
        <v>0</v>
      </c>
      <c r="J23">
        <v>0</v>
      </c>
      <c r="K23" t="s">
        <v>47</v>
      </c>
      <c r="L23" t="s">
        <v>46</v>
      </c>
      <c r="M23" t="s">
        <v>47</v>
      </c>
      <c r="N23" t="s">
        <v>62</v>
      </c>
      <c r="O23" t="s">
        <v>48</v>
      </c>
      <c r="P23">
        <v>22</v>
      </c>
      <c r="Q23" t="s">
        <v>48</v>
      </c>
      <c r="R23" t="s">
        <v>47</v>
      </c>
      <c r="S23" t="s">
        <v>47</v>
      </c>
      <c r="T23" t="s">
        <v>47</v>
      </c>
      <c r="U23" t="s">
        <v>47</v>
      </c>
      <c r="V23" t="s">
        <v>128</v>
      </c>
      <c r="W23" t="s">
        <v>47</v>
      </c>
      <c r="X23" t="s">
        <v>47</v>
      </c>
      <c r="Y23" t="s">
        <v>47</v>
      </c>
      <c r="Z23" t="s">
        <v>47</v>
      </c>
      <c r="AA23" t="s">
        <v>46</v>
      </c>
      <c r="AB23" t="s">
        <v>46</v>
      </c>
      <c r="AC23" t="s">
        <v>47</v>
      </c>
      <c r="AD23" t="s">
        <v>47</v>
      </c>
      <c r="AE23" t="s">
        <v>46</v>
      </c>
      <c r="AF23" t="s">
        <v>47</v>
      </c>
      <c r="AG23" t="s">
        <v>52</v>
      </c>
      <c r="AH23" t="s">
        <v>53</v>
      </c>
      <c r="AI23" t="s">
        <v>87</v>
      </c>
      <c r="AJ23">
        <v>3.3</v>
      </c>
      <c r="AK23" t="s">
        <v>47</v>
      </c>
      <c r="AL23" t="s">
        <v>100</v>
      </c>
      <c r="AM23" t="s">
        <v>67</v>
      </c>
      <c r="AN23">
        <v>50</v>
      </c>
      <c r="AO23" t="s">
        <v>46</v>
      </c>
    </row>
    <row r="24" spans="1:41">
      <c r="A24" t="s">
        <v>129</v>
      </c>
      <c r="B24">
        <v>2020</v>
      </c>
      <c r="C24" s="1">
        <v>44143</v>
      </c>
      <c r="D24" t="s">
        <v>95</v>
      </c>
      <c r="E24" t="s">
        <v>130</v>
      </c>
      <c r="F24">
        <v>45</v>
      </c>
      <c r="G24" t="s">
        <v>44</v>
      </c>
      <c r="H24" t="s">
        <v>70</v>
      </c>
      <c r="I24">
        <v>0</v>
      </c>
      <c r="J24">
        <v>0</v>
      </c>
      <c r="K24" t="s">
        <v>46</v>
      </c>
      <c r="L24" t="s">
        <v>46</v>
      </c>
      <c r="M24" t="s">
        <v>47</v>
      </c>
      <c r="N24" t="s">
        <v>50</v>
      </c>
      <c r="O24" t="s">
        <v>49</v>
      </c>
      <c r="P24">
        <v>21.3</v>
      </c>
      <c r="Q24" t="s">
        <v>48</v>
      </c>
      <c r="R24" t="s">
        <v>47</v>
      </c>
      <c r="S24" t="s">
        <v>47</v>
      </c>
      <c r="T24" t="s">
        <v>47</v>
      </c>
      <c r="U24" t="s">
        <v>47</v>
      </c>
      <c r="V24" t="s">
        <v>112</v>
      </c>
      <c r="W24" t="s">
        <v>46</v>
      </c>
      <c r="X24" t="s">
        <v>47</v>
      </c>
      <c r="Y24" t="s">
        <v>46</v>
      </c>
      <c r="Z24" t="s">
        <v>47</v>
      </c>
      <c r="AA24" t="s">
        <v>46</v>
      </c>
      <c r="AB24" t="s">
        <v>47</v>
      </c>
      <c r="AC24" t="s">
        <v>46</v>
      </c>
      <c r="AD24" t="s">
        <v>47</v>
      </c>
      <c r="AE24" t="s">
        <v>47</v>
      </c>
      <c r="AF24" t="s">
        <v>47</v>
      </c>
      <c r="AG24" t="s">
        <v>52</v>
      </c>
      <c r="AH24" t="s">
        <v>71</v>
      </c>
      <c r="AI24" t="s">
        <v>65</v>
      </c>
      <c r="AJ24">
        <v>1.1000000000000001</v>
      </c>
      <c r="AK24" t="s">
        <v>47</v>
      </c>
      <c r="AL24" t="s">
        <v>81</v>
      </c>
      <c r="AM24" t="s">
        <v>73</v>
      </c>
      <c r="AN24">
        <v>106</v>
      </c>
      <c r="AO24" t="s">
        <v>46</v>
      </c>
    </row>
    <row r="25" spans="1:41">
      <c r="A25" t="s">
        <v>131</v>
      </c>
      <c r="B25">
        <v>2021</v>
      </c>
      <c r="C25" s="1">
        <v>44255</v>
      </c>
      <c r="D25" t="s">
        <v>95</v>
      </c>
      <c r="E25" t="s">
        <v>132</v>
      </c>
      <c r="F25">
        <v>75</v>
      </c>
      <c r="G25" t="s">
        <v>60</v>
      </c>
      <c r="H25" t="s">
        <v>45</v>
      </c>
      <c r="I25">
        <v>5</v>
      </c>
      <c r="J25">
        <v>36</v>
      </c>
      <c r="K25" t="s">
        <v>47</v>
      </c>
      <c r="L25" t="s">
        <v>47</v>
      </c>
      <c r="M25" t="s">
        <v>47</v>
      </c>
      <c r="N25" t="s">
        <v>48</v>
      </c>
      <c r="O25" t="s">
        <v>48</v>
      </c>
      <c r="P25">
        <v>25.5</v>
      </c>
      <c r="Q25" t="s">
        <v>50</v>
      </c>
      <c r="R25" t="s">
        <v>46</v>
      </c>
      <c r="S25" t="s">
        <v>47</v>
      </c>
      <c r="T25" t="s">
        <v>47</v>
      </c>
      <c r="U25" t="s">
        <v>46</v>
      </c>
      <c r="V25" t="s">
        <v>64</v>
      </c>
      <c r="W25" t="s">
        <v>46</v>
      </c>
      <c r="X25" t="s">
        <v>46</v>
      </c>
      <c r="Y25" t="s">
        <v>46</v>
      </c>
      <c r="Z25" t="s">
        <v>46</v>
      </c>
      <c r="AA25" t="s">
        <v>47</v>
      </c>
      <c r="AB25" t="s">
        <v>46</v>
      </c>
      <c r="AC25" t="s">
        <v>47</v>
      </c>
      <c r="AD25" t="s">
        <v>46</v>
      </c>
      <c r="AE25" t="s">
        <v>46</v>
      </c>
      <c r="AF25" t="s">
        <v>47</v>
      </c>
      <c r="AG25" t="s">
        <v>52</v>
      </c>
      <c r="AH25" t="s">
        <v>90</v>
      </c>
      <c r="AI25" t="s">
        <v>54</v>
      </c>
      <c r="AJ25">
        <v>5.0999999999999996</v>
      </c>
      <c r="AK25" t="s">
        <v>46</v>
      </c>
      <c r="AL25" t="s">
        <v>100</v>
      </c>
      <c r="AM25" t="s">
        <v>118</v>
      </c>
      <c r="AN25">
        <v>4</v>
      </c>
      <c r="AO25" t="s">
        <v>47</v>
      </c>
    </row>
    <row r="26" spans="1:41">
      <c r="A26" t="s">
        <v>133</v>
      </c>
      <c r="B26">
        <v>2015</v>
      </c>
      <c r="C26" s="1">
        <v>42048</v>
      </c>
      <c r="D26" t="s">
        <v>58</v>
      </c>
      <c r="E26" t="s">
        <v>134</v>
      </c>
      <c r="F26">
        <v>46</v>
      </c>
      <c r="G26" t="s">
        <v>60</v>
      </c>
      <c r="H26" t="s">
        <v>70</v>
      </c>
      <c r="I26">
        <v>0</v>
      </c>
      <c r="J26">
        <v>0</v>
      </c>
      <c r="K26" t="s">
        <v>47</v>
      </c>
      <c r="L26" t="s">
        <v>47</v>
      </c>
      <c r="M26" t="s">
        <v>47</v>
      </c>
      <c r="N26" t="s">
        <v>50</v>
      </c>
      <c r="O26" t="s">
        <v>48</v>
      </c>
      <c r="P26">
        <v>33.6</v>
      </c>
      <c r="Q26" t="s">
        <v>50</v>
      </c>
      <c r="R26" t="s">
        <v>47</v>
      </c>
      <c r="S26" t="s">
        <v>47</v>
      </c>
      <c r="T26" t="s">
        <v>47</v>
      </c>
      <c r="U26" t="s">
        <v>47</v>
      </c>
      <c r="V26" t="s">
        <v>117</v>
      </c>
      <c r="W26" t="s">
        <v>47</v>
      </c>
      <c r="X26" t="s">
        <v>47</v>
      </c>
      <c r="Y26" t="s">
        <v>46</v>
      </c>
      <c r="Z26" t="s">
        <v>47</v>
      </c>
      <c r="AA26" t="s">
        <v>46</v>
      </c>
      <c r="AB26" t="s">
        <v>47</v>
      </c>
      <c r="AC26" t="s">
        <v>47</v>
      </c>
      <c r="AD26" t="s">
        <v>47</v>
      </c>
      <c r="AE26" t="s">
        <v>46</v>
      </c>
      <c r="AF26" t="s">
        <v>47</v>
      </c>
      <c r="AG26" t="s">
        <v>52</v>
      </c>
      <c r="AH26" t="s">
        <v>53</v>
      </c>
      <c r="AI26" t="s">
        <v>65</v>
      </c>
      <c r="AJ26">
        <v>2.2999999999999998</v>
      </c>
      <c r="AK26" t="s">
        <v>47</v>
      </c>
      <c r="AL26" t="s">
        <v>72</v>
      </c>
      <c r="AM26" t="s">
        <v>67</v>
      </c>
      <c r="AN26">
        <v>60</v>
      </c>
      <c r="AO26" t="s">
        <v>46</v>
      </c>
    </row>
    <row r="27" spans="1:41">
      <c r="A27" t="s">
        <v>135</v>
      </c>
      <c r="B27">
        <v>2015</v>
      </c>
      <c r="C27" s="1">
        <v>42237</v>
      </c>
      <c r="D27" t="s">
        <v>42</v>
      </c>
      <c r="E27" t="s">
        <v>136</v>
      </c>
      <c r="F27">
        <v>46</v>
      </c>
      <c r="G27" t="s">
        <v>60</v>
      </c>
      <c r="H27" t="s">
        <v>70</v>
      </c>
      <c r="I27">
        <v>0</v>
      </c>
      <c r="J27">
        <v>0</v>
      </c>
      <c r="K27" t="s">
        <v>47</v>
      </c>
      <c r="L27" t="s">
        <v>47</v>
      </c>
      <c r="M27" t="s">
        <v>46</v>
      </c>
      <c r="N27" t="s">
        <v>50</v>
      </c>
      <c r="O27" t="s">
        <v>49</v>
      </c>
      <c r="P27">
        <v>28.7</v>
      </c>
      <c r="Q27" t="s">
        <v>62</v>
      </c>
      <c r="R27" t="s">
        <v>47</v>
      </c>
      <c r="S27" t="s">
        <v>47</v>
      </c>
      <c r="T27" t="s">
        <v>47</v>
      </c>
      <c r="U27" t="s">
        <v>47</v>
      </c>
      <c r="V27" t="s">
        <v>86</v>
      </c>
      <c r="W27" t="s">
        <v>47</v>
      </c>
      <c r="X27" t="s">
        <v>47</v>
      </c>
      <c r="Y27" t="s">
        <v>47</v>
      </c>
      <c r="Z27" t="s">
        <v>47</v>
      </c>
      <c r="AA27" t="s">
        <v>46</v>
      </c>
      <c r="AB27" t="s">
        <v>46</v>
      </c>
      <c r="AC27" t="s">
        <v>47</v>
      </c>
      <c r="AD27" t="s">
        <v>46</v>
      </c>
      <c r="AE27" t="s">
        <v>47</v>
      </c>
      <c r="AF27" t="s">
        <v>47</v>
      </c>
      <c r="AG27" t="s">
        <v>52</v>
      </c>
      <c r="AH27" t="s">
        <v>53</v>
      </c>
      <c r="AI27" t="s">
        <v>87</v>
      </c>
      <c r="AJ27">
        <v>7</v>
      </c>
      <c r="AK27" t="s">
        <v>47</v>
      </c>
      <c r="AL27" t="s">
        <v>81</v>
      </c>
      <c r="AM27" t="s">
        <v>67</v>
      </c>
      <c r="AN27">
        <v>22</v>
      </c>
      <c r="AO27" t="s">
        <v>47</v>
      </c>
    </row>
    <row r="28" spans="1:41">
      <c r="A28" t="s">
        <v>137</v>
      </c>
      <c r="B28">
        <v>2023</v>
      </c>
      <c r="C28" s="1">
        <v>44997</v>
      </c>
      <c r="D28" t="s">
        <v>58</v>
      </c>
      <c r="E28" t="s">
        <v>138</v>
      </c>
      <c r="F28">
        <v>69</v>
      </c>
      <c r="G28" t="s">
        <v>60</v>
      </c>
      <c r="H28" t="s">
        <v>45</v>
      </c>
      <c r="I28">
        <v>9</v>
      </c>
      <c r="J28">
        <v>51</v>
      </c>
      <c r="K28" t="s">
        <v>46</v>
      </c>
      <c r="L28" t="s">
        <v>47</v>
      </c>
      <c r="M28" t="s">
        <v>46</v>
      </c>
      <c r="N28" t="s">
        <v>50</v>
      </c>
      <c r="O28" t="s">
        <v>48</v>
      </c>
      <c r="P28">
        <v>26.1</v>
      </c>
      <c r="Q28" t="s">
        <v>48</v>
      </c>
      <c r="R28" t="s">
        <v>47</v>
      </c>
      <c r="S28" t="s">
        <v>47</v>
      </c>
      <c r="T28" t="s">
        <v>47</v>
      </c>
      <c r="U28" t="s">
        <v>47</v>
      </c>
      <c r="V28" t="s">
        <v>51</v>
      </c>
      <c r="W28" t="s">
        <v>46</v>
      </c>
      <c r="X28" t="s">
        <v>46</v>
      </c>
      <c r="Y28" t="s">
        <v>46</v>
      </c>
      <c r="Z28" t="s">
        <v>46</v>
      </c>
      <c r="AA28" t="s">
        <v>46</v>
      </c>
      <c r="AB28" t="s">
        <v>47</v>
      </c>
      <c r="AC28" t="s">
        <v>46</v>
      </c>
      <c r="AD28" t="s">
        <v>47</v>
      </c>
      <c r="AE28" t="s">
        <v>47</v>
      </c>
      <c r="AF28" t="s">
        <v>47</v>
      </c>
      <c r="AG28" t="s">
        <v>52</v>
      </c>
      <c r="AH28" t="s">
        <v>90</v>
      </c>
      <c r="AI28" t="s">
        <v>54</v>
      </c>
      <c r="AJ28">
        <v>7.9</v>
      </c>
      <c r="AK28" t="s">
        <v>46</v>
      </c>
      <c r="AL28" t="s">
        <v>81</v>
      </c>
      <c r="AM28" t="s">
        <v>118</v>
      </c>
      <c r="AN28">
        <v>12</v>
      </c>
      <c r="AO28" t="s">
        <v>47</v>
      </c>
    </row>
    <row r="29" spans="1:41">
      <c r="A29" t="s">
        <v>139</v>
      </c>
      <c r="B29">
        <v>2021</v>
      </c>
      <c r="C29" s="1">
        <v>44308</v>
      </c>
      <c r="D29" t="s">
        <v>58</v>
      </c>
      <c r="E29" t="s">
        <v>134</v>
      </c>
      <c r="F29">
        <v>62</v>
      </c>
      <c r="G29" t="s">
        <v>44</v>
      </c>
      <c r="H29" t="s">
        <v>61</v>
      </c>
      <c r="I29">
        <v>16</v>
      </c>
      <c r="J29">
        <v>20</v>
      </c>
      <c r="K29" t="s">
        <v>46</v>
      </c>
      <c r="L29" t="s">
        <v>47</v>
      </c>
      <c r="M29" t="s">
        <v>47</v>
      </c>
      <c r="N29" t="s">
        <v>62</v>
      </c>
      <c r="O29" t="s">
        <v>63</v>
      </c>
      <c r="P29">
        <v>27</v>
      </c>
      <c r="Q29" t="s">
        <v>62</v>
      </c>
      <c r="R29" t="s">
        <v>47</v>
      </c>
      <c r="S29" t="s">
        <v>47</v>
      </c>
      <c r="T29" t="s">
        <v>47</v>
      </c>
      <c r="U29" t="s">
        <v>47</v>
      </c>
      <c r="V29" t="s">
        <v>51</v>
      </c>
      <c r="W29" t="s">
        <v>46</v>
      </c>
      <c r="X29" t="s">
        <v>47</v>
      </c>
      <c r="Y29" t="s">
        <v>46</v>
      </c>
      <c r="Z29" t="s">
        <v>46</v>
      </c>
      <c r="AA29" t="s">
        <v>46</v>
      </c>
      <c r="AB29" t="s">
        <v>47</v>
      </c>
      <c r="AC29" t="s">
        <v>47</v>
      </c>
      <c r="AD29" t="s">
        <v>47</v>
      </c>
      <c r="AE29" t="s">
        <v>46</v>
      </c>
      <c r="AF29" t="s">
        <v>47</v>
      </c>
      <c r="AG29" t="s">
        <v>52</v>
      </c>
      <c r="AH29" t="s">
        <v>71</v>
      </c>
      <c r="AI29" t="s">
        <v>87</v>
      </c>
      <c r="AJ29">
        <v>4.7</v>
      </c>
      <c r="AK29" t="s">
        <v>47</v>
      </c>
      <c r="AL29" t="s">
        <v>66</v>
      </c>
      <c r="AM29" t="s">
        <v>118</v>
      </c>
      <c r="AN29">
        <v>17</v>
      </c>
      <c r="AO29" t="s">
        <v>46</v>
      </c>
    </row>
    <row r="30" spans="1:41">
      <c r="A30" t="s">
        <v>140</v>
      </c>
      <c r="B30">
        <v>2015</v>
      </c>
      <c r="C30" s="1">
        <v>42360</v>
      </c>
      <c r="D30" t="s">
        <v>42</v>
      </c>
      <c r="E30" t="s">
        <v>69</v>
      </c>
      <c r="F30">
        <v>57</v>
      </c>
      <c r="G30" t="s">
        <v>60</v>
      </c>
      <c r="H30" t="s">
        <v>61</v>
      </c>
      <c r="I30">
        <v>26</v>
      </c>
      <c r="J30">
        <v>19</v>
      </c>
      <c r="K30" t="s">
        <v>47</v>
      </c>
      <c r="L30" t="s">
        <v>47</v>
      </c>
      <c r="M30" t="s">
        <v>47</v>
      </c>
      <c r="N30" t="s">
        <v>48</v>
      </c>
      <c r="O30" t="s">
        <v>48</v>
      </c>
      <c r="P30">
        <v>27.8</v>
      </c>
      <c r="Q30" t="s">
        <v>50</v>
      </c>
      <c r="R30" t="s">
        <v>46</v>
      </c>
      <c r="S30" t="s">
        <v>47</v>
      </c>
      <c r="T30" t="s">
        <v>47</v>
      </c>
      <c r="U30" t="s">
        <v>47</v>
      </c>
      <c r="V30" t="s">
        <v>64</v>
      </c>
      <c r="W30" t="s">
        <v>46</v>
      </c>
      <c r="X30" t="s">
        <v>46</v>
      </c>
      <c r="Y30" t="s">
        <v>47</v>
      </c>
      <c r="Z30" t="s">
        <v>47</v>
      </c>
      <c r="AA30" t="s">
        <v>46</v>
      </c>
      <c r="AB30" t="s">
        <v>47</v>
      </c>
      <c r="AC30" t="s">
        <v>46</v>
      </c>
      <c r="AD30" t="s">
        <v>47</v>
      </c>
      <c r="AE30" t="s">
        <v>47</v>
      </c>
      <c r="AF30" t="s">
        <v>46</v>
      </c>
      <c r="AG30" t="s">
        <v>52</v>
      </c>
      <c r="AH30" t="s">
        <v>90</v>
      </c>
      <c r="AI30" t="s">
        <v>54</v>
      </c>
      <c r="AJ30">
        <v>10.199999999999999</v>
      </c>
      <c r="AK30" t="s">
        <v>46</v>
      </c>
      <c r="AL30" t="s">
        <v>100</v>
      </c>
      <c r="AM30" t="s">
        <v>118</v>
      </c>
      <c r="AN30">
        <v>13</v>
      </c>
      <c r="AO30" t="s">
        <v>47</v>
      </c>
    </row>
    <row r="31" spans="1:41">
      <c r="A31" t="s">
        <v>141</v>
      </c>
      <c r="B31">
        <v>2018</v>
      </c>
      <c r="C31" s="1">
        <v>43394</v>
      </c>
      <c r="D31" t="s">
        <v>58</v>
      </c>
      <c r="E31" t="s">
        <v>142</v>
      </c>
      <c r="F31">
        <v>68</v>
      </c>
      <c r="G31" t="s">
        <v>60</v>
      </c>
      <c r="H31" t="s">
        <v>61</v>
      </c>
      <c r="I31">
        <v>10</v>
      </c>
      <c r="J31">
        <v>25</v>
      </c>
      <c r="K31" t="s">
        <v>47</v>
      </c>
      <c r="L31" t="s">
        <v>46</v>
      </c>
      <c r="M31" t="s">
        <v>47</v>
      </c>
      <c r="N31" t="s">
        <v>50</v>
      </c>
      <c r="O31" t="s">
        <v>49</v>
      </c>
      <c r="P31">
        <v>24.2</v>
      </c>
      <c r="Q31" t="s">
        <v>48</v>
      </c>
      <c r="R31" t="s">
        <v>47</v>
      </c>
      <c r="S31" t="s">
        <v>47</v>
      </c>
      <c r="T31" t="s">
        <v>47</v>
      </c>
      <c r="U31" t="s">
        <v>47</v>
      </c>
      <c r="V31" t="s">
        <v>64</v>
      </c>
      <c r="W31" t="s">
        <v>46</v>
      </c>
      <c r="X31" t="s">
        <v>47</v>
      </c>
      <c r="Y31" t="s">
        <v>47</v>
      </c>
      <c r="Z31" t="s">
        <v>47</v>
      </c>
      <c r="AA31" t="s">
        <v>47</v>
      </c>
      <c r="AB31" t="s">
        <v>47</v>
      </c>
      <c r="AC31" t="s">
        <v>47</v>
      </c>
      <c r="AD31" t="s">
        <v>46</v>
      </c>
      <c r="AE31" t="s">
        <v>47</v>
      </c>
      <c r="AF31" t="s">
        <v>47</v>
      </c>
      <c r="AG31" t="s">
        <v>52</v>
      </c>
      <c r="AH31" t="s">
        <v>71</v>
      </c>
      <c r="AI31" t="s">
        <v>80</v>
      </c>
      <c r="AJ31">
        <v>5.8</v>
      </c>
      <c r="AK31" t="s">
        <v>47</v>
      </c>
      <c r="AL31" t="s">
        <v>76</v>
      </c>
      <c r="AM31" t="s">
        <v>77</v>
      </c>
      <c r="AN31">
        <v>13</v>
      </c>
      <c r="AO31" t="s">
        <v>47</v>
      </c>
    </row>
    <row r="32" spans="1:41">
      <c r="A32" t="s">
        <v>143</v>
      </c>
      <c r="B32">
        <v>2021</v>
      </c>
      <c r="C32" s="1">
        <v>44463</v>
      </c>
      <c r="D32" t="s">
        <v>84</v>
      </c>
      <c r="E32" t="s">
        <v>126</v>
      </c>
      <c r="F32">
        <v>71</v>
      </c>
      <c r="G32" t="s">
        <v>44</v>
      </c>
      <c r="H32" t="s">
        <v>70</v>
      </c>
      <c r="I32">
        <v>0</v>
      </c>
      <c r="J32">
        <v>0</v>
      </c>
      <c r="K32" t="s">
        <v>46</v>
      </c>
      <c r="L32" t="s">
        <v>47</v>
      </c>
      <c r="M32" t="s">
        <v>47</v>
      </c>
      <c r="N32" t="s">
        <v>62</v>
      </c>
      <c r="O32" t="s">
        <v>63</v>
      </c>
      <c r="P32">
        <v>22</v>
      </c>
      <c r="Q32" t="s">
        <v>62</v>
      </c>
      <c r="R32" t="s">
        <v>47</v>
      </c>
      <c r="S32" t="s">
        <v>47</v>
      </c>
      <c r="T32" t="s">
        <v>47</v>
      </c>
      <c r="U32" t="s">
        <v>47</v>
      </c>
      <c r="V32" t="s">
        <v>128</v>
      </c>
      <c r="W32" t="s">
        <v>47</v>
      </c>
      <c r="X32" t="s">
        <v>46</v>
      </c>
      <c r="Y32" t="s">
        <v>47</v>
      </c>
      <c r="Z32" t="s">
        <v>47</v>
      </c>
      <c r="AA32" t="s">
        <v>46</v>
      </c>
      <c r="AB32" t="s">
        <v>47</v>
      </c>
      <c r="AC32" t="s">
        <v>46</v>
      </c>
      <c r="AD32" t="s">
        <v>47</v>
      </c>
      <c r="AE32" t="s">
        <v>47</v>
      </c>
      <c r="AF32" t="s">
        <v>47</v>
      </c>
      <c r="AG32" t="s">
        <v>52</v>
      </c>
      <c r="AH32" t="s">
        <v>71</v>
      </c>
      <c r="AI32" t="s">
        <v>87</v>
      </c>
      <c r="AJ32">
        <v>4.0999999999999996</v>
      </c>
      <c r="AK32" t="s">
        <v>47</v>
      </c>
      <c r="AL32" t="s">
        <v>76</v>
      </c>
      <c r="AM32" t="s">
        <v>67</v>
      </c>
      <c r="AN32">
        <v>38</v>
      </c>
      <c r="AO32" t="s">
        <v>47</v>
      </c>
    </row>
    <row r="33" spans="1:41">
      <c r="A33" t="s">
        <v>144</v>
      </c>
      <c r="B33">
        <v>2022</v>
      </c>
      <c r="C33" s="1">
        <v>44635</v>
      </c>
      <c r="D33" t="s">
        <v>95</v>
      </c>
      <c r="E33" t="s">
        <v>145</v>
      </c>
      <c r="F33">
        <v>60</v>
      </c>
      <c r="G33" t="s">
        <v>44</v>
      </c>
      <c r="H33" t="s">
        <v>70</v>
      </c>
      <c r="I33">
        <v>0</v>
      </c>
      <c r="J33">
        <v>0</v>
      </c>
      <c r="K33" t="s">
        <v>47</v>
      </c>
      <c r="L33" t="s">
        <v>47</v>
      </c>
      <c r="M33" t="s">
        <v>47</v>
      </c>
      <c r="N33" t="s">
        <v>62</v>
      </c>
      <c r="O33" t="s">
        <v>49</v>
      </c>
      <c r="P33">
        <v>24.9</v>
      </c>
      <c r="Q33" t="s">
        <v>62</v>
      </c>
      <c r="R33" t="s">
        <v>47</v>
      </c>
      <c r="S33" t="s">
        <v>47</v>
      </c>
      <c r="T33" t="s">
        <v>47</v>
      </c>
      <c r="U33" t="s">
        <v>47</v>
      </c>
      <c r="V33" t="s">
        <v>86</v>
      </c>
      <c r="W33" t="s">
        <v>47</v>
      </c>
      <c r="X33" t="s">
        <v>47</v>
      </c>
      <c r="Y33" t="s">
        <v>47</v>
      </c>
      <c r="Z33" t="s">
        <v>46</v>
      </c>
      <c r="AA33" t="s">
        <v>47</v>
      </c>
      <c r="AB33" t="s">
        <v>47</v>
      </c>
      <c r="AC33" t="s">
        <v>47</v>
      </c>
      <c r="AD33" t="s">
        <v>47</v>
      </c>
      <c r="AE33" t="s">
        <v>46</v>
      </c>
      <c r="AF33" t="s">
        <v>47</v>
      </c>
      <c r="AG33" t="s">
        <v>52</v>
      </c>
      <c r="AH33" t="s">
        <v>53</v>
      </c>
      <c r="AI33" t="s">
        <v>65</v>
      </c>
      <c r="AJ33">
        <v>3.5</v>
      </c>
      <c r="AK33" t="s">
        <v>47</v>
      </c>
      <c r="AL33" t="s">
        <v>76</v>
      </c>
      <c r="AM33" t="s">
        <v>67</v>
      </c>
      <c r="AN33">
        <v>50</v>
      </c>
      <c r="AO33" t="s">
        <v>46</v>
      </c>
    </row>
    <row r="34" spans="1:41">
      <c r="A34" t="s">
        <v>146</v>
      </c>
      <c r="B34">
        <v>2020</v>
      </c>
      <c r="C34" s="1">
        <v>43972</v>
      </c>
      <c r="D34" t="s">
        <v>95</v>
      </c>
      <c r="E34" t="s">
        <v>147</v>
      </c>
      <c r="F34">
        <v>69</v>
      </c>
      <c r="G34" t="s">
        <v>60</v>
      </c>
      <c r="H34" t="s">
        <v>45</v>
      </c>
      <c r="I34">
        <v>34</v>
      </c>
      <c r="J34">
        <v>33</v>
      </c>
      <c r="K34" t="s">
        <v>47</v>
      </c>
      <c r="L34" t="s">
        <v>47</v>
      </c>
      <c r="M34" t="s">
        <v>47</v>
      </c>
      <c r="N34" t="s">
        <v>50</v>
      </c>
      <c r="O34" t="s">
        <v>48</v>
      </c>
      <c r="P34">
        <v>24.2</v>
      </c>
      <c r="Q34" t="s">
        <v>62</v>
      </c>
      <c r="R34" t="s">
        <v>47</v>
      </c>
      <c r="S34" t="s">
        <v>47</v>
      </c>
      <c r="T34" t="s">
        <v>47</v>
      </c>
      <c r="U34" t="s">
        <v>47</v>
      </c>
      <c r="V34" t="s">
        <v>51</v>
      </c>
      <c r="W34" t="s">
        <v>46</v>
      </c>
      <c r="X34" t="s">
        <v>47</v>
      </c>
      <c r="Y34" t="s">
        <v>46</v>
      </c>
      <c r="Z34" t="s">
        <v>46</v>
      </c>
      <c r="AA34" t="s">
        <v>46</v>
      </c>
      <c r="AB34" t="s">
        <v>47</v>
      </c>
      <c r="AC34" t="s">
        <v>46</v>
      </c>
      <c r="AD34" t="s">
        <v>47</v>
      </c>
      <c r="AE34" t="s">
        <v>47</v>
      </c>
      <c r="AF34" t="s">
        <v>47</v>
      </c>
      <c r="AG34" t="s">
        <v>52</v>
      </c>
      <c r="AH34" t="s">
        <v>90</v>
      </c>
      <c r="AI34" t="s">
        <v>54</v>
      </c>
      <c r="AJ34">
        <v>9.6999999999999993</v>
      </c>
      <c r="AK34" t="s">
        <v>46</v>
      </c>
      <c r="AL34" t="s">
        <v>81</v>
      </c>
      <c r="AM34" t="s">
        <v>56</v>
      </c>
      <c r="AN34">
        <v>11</v>
      </c>
      <c r="AO34" t="s">
        <v>47</v>
      </c>
    </row>
    <row r="35" spans="1:41">
      <c r="A35" t="s">
        <v>148</v>
      </c>
      <c r="B35">
        <v>2015</v>
      </c>
      <c r="C35" s="1">
        <v>42116</v>
      </c>
      <c r="D35" t="s">
        <v>42</v>
      </c>
      <c r="E35" t="s">
        <v>136</v>
      </c>
      <c r="F35">
        <v>62</v>
      </c>
      <c r="G35" t="s">
        <v>60</v>
      </c>
      <c r="H35" t="s">
        <v>45</v>
      </c>
      <c r="I35">
        <v>39</v>
      </c>
      <c r="J35">
        <v>30</v>
      </c>
      <c r="K35" t="s">
        <v>47</v>
      </c>
      <c r="L35" t="s">
        <v>46</v>
      </c>
      <c r="M35" t="s">
        <v>47</v>
      </c>
      <c r="N35" t="s">
        <v>50</v>
      </c>
      <c r="O35" t="s">
        <v>48</v>
      </c>
      <c r="P35">
        <v>23.5</v>
      </c>
      <c r="Q35" t="s">
        <v>50</v>
      </c>
      <c r="R35" t="s">
        <v>47</v>
      </c>
      <c r="S35" t="s">
        <v>47</v>
      </c>
      <c r="T35" t="s">
        <v>47</v>
      </c>
      <c r="U35" t="s">
        <v>46</v>
      </c>
      <c r="V35" t="s">
        <v>86</v>
      </c>
      <c r="W35" t="s">
        <v>46</v>
      </c>
      <c r="X35" t="s">
        <v>46</v>
      </c>
      <c r="Y35" t="s">
        <v>47</v>
      </c>
      <c r="Z35" t="s">
        <v>46</v>
      </c>
      <c r="AA35" t="s">
        <v>47</v>
      </c>
      <c r="AB35" t="s">
        <v>47</v>
      </c>
      <c r="AC35" t="s">
        <v>47</v>
      </c>
      <c r="AD35" t="s">
        <v>46</v>
      </c>
      <c r="AE35" t="s">
        <v>47</v>
      </c>
      <c r="AF35" t="s">
        <v>46</v>
      </c>
      <c r="AG35" t="s">
        <v>52</v>
      </c>
      <c r="AH35" t="s">
        <v>90</v>
      </c>
      <c r="AI35" t="s">
        <v>87</v>
      </c>
      <c r="AJ35">
        <v>6.1</v>
      </c>
      <c r="AK35" t="s">
        <v>47</v>
      </c>
      <c r="AL35" t="s">
        <v>100</v>
      </c>
      <c r="AM35" t="s">
        <v>77</v>
      </c>
      <c r="AN35">
        <v>43</v>
      </c>
      <c r="AO35" t="s">
        <v>46</v>
      </c>
    </row>
    <row r="36" spans="1:41">
      <c r="A36" t="s">
        <v>149</v>
      </c>
      <c r="B36">
        <v>2021</v>
      </c>
      <c r="C36" s="1">
        <v>44204</v>
      </c>
      <c r="D36" t="s">
        <v>58</v>
      </c>
      <c r="E36" t="s">
        <v>150</v>
      </c>
      <c r="F36">
        <v>52</v>
      </c>
      <c r="G36" t="s">
        <v>60</v>
      </c>
      <c r="H36" t="s">
        <v>70</v>
      </c>
      <c r="I36">
        <v>0</v>
      </c>
      <c r="J36">
        <v>0</v>
      </c>
      <c r="K36" t="s">
        <v>47</v>
      </c>
      <c r="L36" t="s">
        <v>47</v>
      </c>
      <c r="M36" t="s">
        <v>46</v>
      </c>
      <c r="N36" t="s">
        <v>50</v>
      </c>
      <c r="O36" t="s">
        <v>49</v>
      </c>
      <c r="P36">
        <v>25.4</v>
      </c>
      <c r="Q36" t="s">
        <v>48</v>
      </c>
      <c r="R36" t="s">
        <v>47</v>
      </c>
      <c r="S36" t="s">
        <v>46</v>
      </c>
      <c r="T36" t="s">
        <v>47</v>
      </c>
      <c r="U36" t="s">
        <v>46</v>
      </c>
      <c r="V36" t="s">
        <v>151</v>
      </c>
      <c r="W36" t="s">
        <v>47</v>
      </c>
      <c r="X36" t="s">
        <v>47</v>
      </c>
      <c r="Y36" t="s">
        <v>47</v>
      </c>
      <c r="Z36" t="s">
        <v>47</v>
      </c>
      <c r="AA36" t="s">
        <v>46</v>
      </c>
      <c r="AB36" t="s">
        <v>47</v>
      </c>
      <c r="AC36" t="s">
        <v>46</v>
      </c>
      <c r="AD36" t="s">
        <v>47</v>
      </c>
      <c r="AE36" t="s">
        <v>47</v>
      </c>
      <c r="AF36" t="s">
        <v>47</v>
      </c>
      <c r="AG36" t="s">
        <v>52</v>
      </c>
      <c r="AH36" t="s">
        <v>53</v>
      </c>
      <c r="AI36" t="s">
        <v>87</v>
      </c>
      <c r="AJ36">
        <v>3.4</v>
      </c>
      <c r="AK36" t="s">
        <v>47</v>
      </c>
      <c r="AL36" t="s">
        <v>81</v>
      </c>
      <c r="AM36" t="s">
        <v>67</v>
      </c>
      <c r="AN36">
        <v>21</v>
      </c>
      <c r="AO36" t="s">
        <v>47</v>
      </c>
    </row>
    <row r="37" spans="1:41">
      <c r="A37" t="s">
        <v>152</v>
      </c>
      <c r="B37">
        <v>2021</v>
      </c>
      <c r="C37" s="1">
        <v>44360</v>
      </c>
      <c r="D37" t="s">
        <v>95</v>
      </c>
      <c r="E37" t="s">
        <v>130</v>
      </c>
      <c r="F37">
        <v>58</v>
      </c>
      <c r="G37" t="s">
        <v>44</v>
      </c>
      <c r="H37" t="s">
        <v>61</v>
      </c>
      <c r="I37">
        <v>15</v>
      </c>
      <c r="J37">
        <v>11</v>
      </c>
      <c r="K37" t="s">
        <v>46</v>
      </c>
      <c r="L37" t="s">
        <v>47</v>
      </c>
      <c r="M37" t="s">
        <v>47</v>
      </c>
      <c r="N37" t="s">
        <v>62</v>
      </c>
      <c r="O37" t="s">
        <v>48</v>
      </c>
      <c r="P37">
        <v>27.3</v>
      </c>
      <c r="Q37" t="s">
        <v>48</v>
      </c>
      <c r="R37" t="s">
        <v>47</v>
      </c>
      <c r="S37" t="s">
        <v>47</v>
      </c>
      <c r="T37" t="s">
        <v>47</v>
      </c>
      <c r="U37" t="s">
        <v>47</v>
      </c>
      <c r="V37" t="s">
        <v>86</v>
      </c>
      <c r="W37" t="s">
        <v>47</v>
      </c>
      <c r="X37" t="s">
        <v>47</v>
      </c>
      <c r="Y37" t="s">
        <v>47</v>
      </c>
      <c r="Z37" t="s">
        <v>47</v>
      </c>
      <c r="AA37" t="s">
        <v>46</v>
      </c>
      <c r="AB37" t="s">
        <v>47</v>
      </c>
      <c r="AC37" t="s">
        <v>47</v>
      </c>
      <c r="AD37" t="s">
        <v>47</v>
      </c>
      <c r="AE37" t="s">
        <v>47</v>
      </c>
      <c r="AF37" t="s">
        <v>47</v>
      </c>
      <c r="AG37" t="s">
        <v>52</v>
      </c>
      <c r="AH37" t="s">
        <v>53</v>
      </c>
      <c r="AI37" t="s">
        <v>80</v>
      </c>
      <c r="AJ37">
        <v>4.5</v>
      </c>
      <c r="AK37" t="s">
        <v>47</v>
      </c>
      <c r="AL37" t="s">
        <v>66</v>
      </c>
      <c r="AM37" t="s">
        <v>118</v>
      </c>
      <c r="AN37">
        <v>21</v>
      </c>
      <c r="AO37" t="s">
        <v>47</v>
      </c>
    </row>
    <row r="38" spans="1:41">
      <c r="A38" t="s">
        <v>153</v>
      </c>
      <c r="B38">
        <v>2018</v>
      </c>
      <c r="C38" s="1">
        <v>43138</v>
      </c>
      <c r="D38" t="s">
        <v>42</v>
      </c>
      <c r="E38" t="s">
        <v>154</v>
      </c>
      <c r="F38">
        <v>62</v>
      </c>
      <c r="G38" t="s">
        <v>60</v>
      </c>
      <c r="H38" t="s">
        <v>45</v>
      </c>
      <c r="I38">
        <v>36</v>
      </c>
      <c r="J38">
        <v>26</v>
      </c>
      <c r="K38" t="s">
        <v>47</v>
      </c>
      <c r="L38" t="s">
        <v>47</v>
      </c>
      <c r="M38" t="s">
        <v>47</v>
      </c>
      <c r="N38" t="s">
        <v>48</v>
      </c>
      <c r="O38" t="s">
        <v>49</v>
      </c>
      <c r="P38">
        <v>30.7</v>
      </c>
      <c r="Q38" t="s">
        <v>62</v>
      </c>
      <c r="R38" t="s">
        <v>46</v>
      </c>
      <c r="S38" t="s">
        <v>47</v>
      </c>
      <c r="T38" t="s">
        <v>47</v>
      </c>
      <c r="U38" t="s">
        <v>47</v>
      </c>
      <c r="V38" t="s">
        <v>117</v>
      </c>
      <c r="W38" t="s">
        <v>47</v>
      </c>
      <c r="X38" t="s">
        <v>46</v>
      </c>
      <c r="Y38" t="s">
        <v>46</v>
      </c>
      <c r="Z38" t="s">
        <v>46</v>
      </c>
      <c r="AA38" t="s">
        <v>46</v>
      </c>
      <c r="AB38" t="s">
        <v>46</v>
      </c>
      <c r="AC38" t="s">
        <v>46</v>
      </c>
      <c r="AD38" t="s">
        <v>47</v>
      </c>
      <c r="AE38" t="s">
        <v>47</v>
      </c>
      <c r="AF38" t="s">
        <v>47</v>
      </c>
      <c r="AG38" t="s">
        <v>52</v>
      </c>
      <c r="AH38" t="s">
        <v>71</v>
      </c>
      <c r="AI38" t="s">
        <v>87</v>
      </c>
      <c r="AJ38">
        <v>5.5</v>
      </c>
      <c r="AK38" t="s">
        <v>47</v>
      </c>
      <c r="AL38" t="s">
        <v>76</v>
      </c>
      <c r="AM38" t="s">
        <v>67</v>
      </c>
      <c r="AN38">
        <v>47</v>
      </c>
      <c r="AO38" t="s">
        <v>47</v>
      </c>
    </row>
    <row r="39" spans="1:41">
      <c r="A39" t="s">
        <v>155</v>
      </c>
      <c r="B39">
        <v>2024</v>
      </c>
      <c r="C39" s="1">
        <v>45637</v>
      </c>
      <c r="D39" t="s">
        <v>95</v>
      </c>
      <c r="E39" t="s">
        <v>132</v>
      </c>
      <c r="F39">
        <v>55</v>
      </c>
      <c r="G39" t="s">
        <v>44</v>
      </c>
      <c r="H39" t="s">
        <v>70</v>
      </c>
      <c r="I39">
        <v>0</v>
      </c>
      <c r="J39">
        <v>0</v>
      </c>
      <c r="K39" t="s">
        <v>46</v>
      </c>
      <c r="L39" t="s">
        <v>47</v>
      </c>
      <c r="M39" t="s">
        <v>47</v>
      </c>
      <c r="N39" t="s">
        <v>50</v>
      </c>
      <c r="O39" t="s">
        <v>49</v>
      </c>
      <c r="P39">
        <v>25.7</v>
      </c>
      <c r="Q39" t="s">
        <v>48</v>
      </c>
      <c r="R39" t="s">
        <v>47</v>
      </c>
      <c r="S39" t="s">
        <v>47</v>
      </c>
      <c r="T39" t="s">
        <v>47</v>
      </c>
      <c r="U39" t="s">
        <v>46</v>
      </c>
      <c r="V39" t="s">
        <v>86</v>
      </c>
      <c r="W39" t="s">
        <v>47</v>
      </c>
      <c r="X39" t="s">
        <v>47</v>
      </c>
      <c r="Y39" t="s">
        <v>46</v>
      </c>
      <c r="Z39" t="s">
        <v>47</v>
      </c>
      <c r="AA39" t="s">
        <v>46</v>
      </c>
      <c r="AB39" t="s">
        <v>47</v>
      </c>
      <c r="AC39" t="s">
        <v>47</v>
      </c>
      <c r="AD39" t="s">
        <v>47</v>
      </c>
      <c r="AE39" t="s">
        <v>47</v>
      </c>
      <c r="AF39" t="s">
        <v>47</v>
      </c>
      <c r="AG39" t="s">
        <v>52</v>
      </c>
      <c r="AH39" t="s">
        <v>53</v>
      </c>
      <c r="AI39" t="s">
        <v>65</v>
      </c>
      <c r="AJ39">
        <v>1.5</v>
      </c>
      <c r="AK39" t="s">
        <v>47</v>
      </c>
      <c r="AL39" t="s">
        <v>156</v>
      </c>
      <c r="AM39" t="s">
        <v>73</v>
      </c>
      <c r="AN39">
        <v>64</v>
      </c>
      <c r="AO39" t="s">
        <v>46</v>
      </c>
    </row>
    <row r="40" spans="1:41">
      <c r="A40" t="s">
        <v>157</v>
      </c>
      <c r="B40">
        <v>2017</v>
      </c>
      <c r="C40" s="1">
        <v>43055</v>
      </c>
      <c r="D40" t="s">
        <v>42</v>
      </c>
      <c r="E40" t="s">
        <v>79</v>
      </c>
      <c r="F40">
        <v>59</v>
      </c>
      <c r="G40" t="s">
        <v>44</v>
      </c>
      <c r="H40" t="s">
        <v>70</v>
      </c>
      <c r="I40">
        <v>0</v>
      </c>
      <c r="J40">
        <v>0</v>
      </c>
      <c r="K40" t="s">
        <v>47</v>
      </c>
      <c r="L40" t="s">
        <v>47</v>
      </c>
      <c r="M40" t="s">
        <v>47</v>
      </c>
      <c r="N40" t="s">
        <v>50</v>
      </c>
      <c r="O40" t="s">
        <v>63</v>
      </c>
      <c r="P40">
        <v>28</v>
      </c>
      <c r="Q40" t="s">
        <v>48</v>
      </c>
      <c r="R40" t="s">
        <v>47</v>
      </c>
      <c r="S40" t="s">
        <v>47</v>
      </c>
      <c r="T40" t="s">
        <v>47</v>
      </c>
      <c r="U40" t="s">
        <v>47</v>
      </c>
      <c r="V40" t="s">
        <v>51</v>
      </c>
      <c r="W40" t="s">
        <v>46</v>
      </c>
      <c r="X40" t="s">
        <v>47</v>
      </c>
      <c r="Y40" t="s">
        <v>47</v>
      </c>
      <c r="Z40" t="s">
        <v>46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52</v>
      </c>
      <c r="AH40" t="s">
        <v>53</v>
      </c>
      <c r="AI40" t="s">
        <v>65</v>
      </c>
      <c r="AJ40">
        <v>2.5</v>
      </c>
      <c r="AK40" t="s">
        <v>47</v>
      </c>
      <c r="AL40" t="s">
        <v>156</v>
      </c>
      <c r="AM40" t="s">
        <v>67</v>
      </c>
      <c r="AN40">
        <v>72</v>
      </c>
      <c r="AO40" t="s">
        <v>46</v>
      </c>
    </row>
    <row r="41" spans="1:41">
      <c r="A41" t="s">
        <v>158</v>
      </c>
      <c r="B41">
        <v>2016</v>
      </c>
      <c r="C41" s="1">
        <v>42689</v>
      </c>
      <c r="D41" t="s">
        <v>95</v>
      </c>
      <c r="E41" t="s">
        <v>105</v>
      </c>
      <c r="F41">
        <v>52</v>
      </c>
      <c r="G41" t="s">
        <v>60</v>
      </c>
      <c r="H41" t="s">
        <v>61</v>
      </c>
      <c r="I41">
        <v>3</v>
      </c>
      <c r="J41">
        <v>7</v>
      </c>
      <c r="K41" t="s">
        <v>47</v>
      </c>
      <c r="L41" t="s">
        <v>46</v>
      </c>
      <c r="M41" t="s">
        <v>47</v>
      </c>
      <c r="N41" t="s">
        <v>50</v>
      </c>
      <c r="O41" t="s">
        <v>49</v>
      </c>
      <c r="P41">
        <v>32.700000000000003</v>
      </c>
      <c r="Q41" t="s">
        <v>48</v>
      </c>
      <c r="R41" t="s">
        <v>47</v>
      </c>
      <c r="S41" t="s">
        <v>47</v>
      </c>
      <c r="T41" t="s">
        <v>47</v>
      </c>
      <c r="U41" t="s">
        <v>47</v>
      </c>
      <c r="V41" t="s">
        <v>51</v>
      </c>
      <c r="W41" t="s">
        <v>46</v>
      </c>
      <c r="X41" t="s">
        <v>47</v>
      </c>
      <c r="Y41" t="s">
        <v>46</v>
      </c>
      <c r="Z41" t="s">
        <v>47</v>
      </c>
      <c r="AA41" t="s">
        <v>46</v>
      </c>
      <c r="AB41" t="s">
        <v>47</v>
      </c>
      <c r="AC41" t="s">
        <v>47</v>
      </c>
      <c r="AD41" t="s">
        <v>47</v>
      </c>
      <c r="AE41" t="s">
        <v>47</v>
      </c>
      <c r="AF41" t="s">
        <v>47</v>
      </c>
      <c r="AG41" t="s">
        <v>52</v>
      </c>
      <c r="AH41" t="s">
        <v>71</v>
      </c>
      <c r="AI41" t="s">
        <v>54</v>
      </c>
      <c r="AJ41">
        <v>7.8</v>
      </c>
      <c r="AK41" t="s">
        <v>46</v>
      </c>
      <c r="AL41" t="s">
        <v>76</v>
      </c>
      <c r="AM41" t="s">
        <v>77</v>
      </c>
      <c r="AN41">
        <v>6</v>
      </c>
      <c r="AO41" t="s">
        <v>47</v>
      </c>
    </row>
    <row r="42" spans="1:41">
      <c r="A42" t="s">
        <v>159</v>
      </c>
      <c r="B42">
        <v>2016</v>
      </c>
      <c r="C42" s="1">
        <v>42495</v>
      </c>
      <c r="D42" t="s">
        <v>42</v>
      </c>
      <c r="E42" t="s">
        <v>160</v>
      </c>
      <c r="F42">
        <v>62</v>
      </c>
      <c r="G42" t="s">
        <v>60</v>
      </c>
      <c r="H42" t="s">
        <v>45</v>
      </c>
      <c r="I42">
        <v>15</v>
      </c>
      <c r="J42">
        <v>19</v>
      </c>
      <c r="K42" t="s">
        <v>47</v>
      </c>
      <c r="L42" t="s">
        <v>47</v>
      </c>
      <c r="M42" t="s">
        <v>47</v>
      </c>
      <c r="N42" t="s">
        <v>62</v>
      </c>
      <c r="O42" t="s">
        <v>48</v>
      </c>
      <c r="P42">
        <v>22.1</v>
      </c>
      <c r="Q42" t="s">
        <v>50</v>
      </c>
      <c r="R42" t="s">
        <v>47</v>
      </c>
      <c r="S42" t="s">
        <v>47</v>
      </c>
      <c r="T42" t="s">
        <v>47</v>
      </c>
      <c r="U42" t="s">
        <v>47</v>
      </c>
      <c r="V42" t="s">
        <v>64</v>
      </c>
      <c r="W42" t="s">
        <v>46</v>
      </c>
      <c r="X42" t="s">
        <v>47</v>
      </c>
      <c r="Y42" t="s">
        <v>46</v>
      </c>
      <c r="Z42" t="s">
        <v>47</v>
      </c>
      <c r="AA42" t="s">
        <v>46</v>
      </c>
      <c r="AB42" t="s">
        <v>47</v>
      </c>
      <c r="AC42" t="s">
        <v>46</v>
      </c>
      <c r="AD42" t="s">
        <v>47</v>
      </c>
      <c r="AE42" t="s">
        <v>47</v>
      </c>
      <c r="AF42" t="s">
        <v>46</v>
      </c>
      <c r="AG42" t="s">
        <v>52</v>
      </c>
      <c r="AH42" t="s">
        <v>90</v>
      </c>
      <c r="AI42" t="s">
        <v>80</v>
      </c>
      <c r="AJ42">
        <v>4.5</v>
      </c>
      <c r="AK42" t="s">
        <v>47</v>
      </c>
      <c r="AL42" t="s">
        <v>81</v>
      </c>
      <c r="AM42" t="s">
        <v>67</v>
      </c>
      <c r="AN42">
        <v>12</v>
      </c>
      <c r="AO42" t="s">
        <v>47</v>
      </c>
    </row>
    <row r="43" spans="1:41">
      <c r="A43" t="s">
        <v>161</v>
      </c>
      <c r="B43">
        <v>2024</v>
      </c>
      <c r="C43" s="1">
        <v>45644</v>
      </c>
      <c r="D43" t="s">
        <v>42</v>
      </c>
      <c r="E43" t="s">
        <v>75</v>
      </c>
      <c r="F43">
        <v>70</v>
      </c>
      <c r="G43" t="s">
        <v>60</v>
      </c>
      <c r="H43" t="s">
        <v>45</v>
      </c>
      <c r="I43">
        <v>17</v>
      </c>
      <c r="J43">
        <v>29</v>
      </c>
      <c r="K43" t="s">
        <v>47</v>
      </c>
      <c r="L43" t="s">
        <v>46</v>
      </c>
      <c r="M43" t="s">
        <v>47</v>
      </c>
      <c r="N43" t="s">
        <v>48</v>
      </c>
      <c r="O43" t="s">
        <v>48</v>
      </c>
      <c r="P43">
        <v>31.5</v>
      </c>
      <c r="Q43" t="s">
        <v>50</v>
      </c>
      <c r="R43" t="s">
        <v>47</v>
      </c>
      <c r="S43" t="s">
        <v>47</v>
      </c>
      <c r="T43" t="s">
        <v>47</v>
      </c>
      <c r="U43" t="s">
        <v>47</v>
      </c>
      <c r="V43" t="s">
        <v>86</v>
      </c>
      <c r="W43" t="s">
        <v>46</v>
      </c>
      <c r="X43" t="s">
        <v>46</v>
      </c>
      <c r="Y43" t="s">
        <v>46</v>
      </c>
      <c r="Z43" t="s">
        <v>46</v>
      </c>
      <c r="AA43" t="s">
        <v>46</v>
      </c>
      <c r="AB43" t="s">
        <v>47</v>
      </c>
      <c r="AC43" t="s">
        <v>46</v>
      </c>
      <c r="AD43" t="s">
        <v>47</v>
      </c>
      <c r="AE43" t="s">
        <v>46</v>
      </c>
      <c r="AF43" t="s">
        <v>47</v>
      </c>
      <c r="AG43" t="s">
        <v>52</v>
      </c>
      <c r="AH43" t="s">
        <v>53</v>
      </c>
      <c r="AI43" t="s">
        <v>54</v>
      </c>
      <c r="AJ43">
        <v>10.3</v>
      </c>
      <c r="AK43" t="s">
        <v>46</v>
      </c>
      <c r="AL43" t="s">
        <v>66</v>
      </c>
      <c r="AM43" t="s">
        <v>103</v>
      </c>
      <c r="AN43">
        <v>10</v>
      </c>
      <c r="AO43" t="s">
        <v>47</v>
      </c>
    </row>
    <row r="44" spans="1:41">
      <c r="A44" t="s">
        <v>162</v>
      </c>
      <c r="B44">
        <v>2016</v>
      </c>
      <c r="C44" s="1">
        <v>42514</v>
      </c>
      <c r="D44" t="s">
        <v>58</v>
      </c>
      <c r="E44" t="s">
        <v>163</v>
      </c>
      <c r="F44">
        <v>52</v>
      </c>
      <c r="G44" t="s">
        <v>44</v>
      </c>
      <c r="H44" t="s">
        <v>70</v>
      </c>
      <c r="I44">
        <v>0</v>
      </c>
      <c r="J44">
        <v>0</v>
      </c>
      <c r="K44" t="s">
        <v>46</v>
      </c>
      <c r="L44" t="s">
        <v>46</v>
      </c>
      <c r="M44" t="s">
        <v>47</v>
      </c>
      <c r="N44" t="s">
        <v>50</v>
      </c>
      <c r="O44" t="s">
        <v>63</v>
      </c>
      <c r="P44">
        <v>22.4</v>
      </c>
      <c r="Q44" t="s">
        <v>50</v>
      </c>
      <c r="R44" t="s">
        <v>47</v>
      </c>
      <c r="S44" t="s">
        <v>47</v>
      </c>
      <c r="T44" t="s">
        <v>47</v>
      </c>
      <c r="U44" t="s">
        <v>47</v>
      </c>
      <c r="V44" t="s">
        <v>117</v>
      </c>
      <c r="W44" t="s">
        <v>46</v>
      </c>
      <c r="X44" t="s">
        <v>47</v>
      </c>
      <c r="Y44" t="s">
        <v>47</v>
      </c>
      <c r="Z44" t="s">
        <v>47</v>
      </c>
      <c r="AA44" t="s">
        <v>46</v>
      </c>
      <c r="AB44" t="s">
        <v>47</v>
      </c>
      <c r="AC44" t="s">
        <v>47</v>
      </c>
      <c r="AD44" t="s">
        <v>46</v>
      </c>
      <c r="AE44" t="s">
        <v>47</v>
      </c>
      <c r="AF44" t="s">
        <v>47</v>
      </c>
      <c r="AG44" t="s">
        <v>52</v>
      </c>
      <c r="AH44" t="s">
        <v>53</v>
      </c>
      <c r="AI44" t="s">
        <v>65</v>
      </c>
      <c r="AJ44">
        <v>1.8</v>
      </c>
      <c r="AK44" t="s">
        <v>47</v>
      </c>
      <c r="AL44" t="s">
        <v>76</v>
      </c>
      <c r="AM44" t="s">
        <v>73</v>
      </c>
      <c r="AN44">
        <v>88</v>
      </c>
      <c r="AO44" t="s">
        <v>46</v>
      </c>
    </row>
    <row r="45" spans="1:41">
      <c r="A45" t="s">
        <v>164</v>
      </c>
      <c r="B45">
        <v>2024</v>
      </c>
      <c r="C45" s="1">
        <v>45492</v>
      </c>
      <c r="D45" t="s">
        <v>42</v>
      </c>
      <c r="E45" t="s">
        <v>79</v>
      </c>
      <c r="F45">
        <v>52</v>
      </c>
      <c r="G45" t="s">
        <v>60</v>
      </c>
      <c r="H45" t="s">
        <v>70</v>
      </c>
      <c r="I45">
        <v>0</v>
      </c>
      <c r="J45">
        <v>0</v>
      </c>
      <c r="K45" t="s">
        <v>47</v>
      </c>
      <c r="L45" t="s">
        <v>47</v>
      </c>
      <c r="M45" t="s">
        <v>47</v>
      </c>
      <c r="N45" t="s">
        <v>62</v>
      </c>
      <c r="O45" t="s">
        <v>48</v>
      </c>
      <c r="P45">
        <v>25.2</v>
      </c>
      <c r="Q45" t="s">
        <v>50</v>
      </c>
      <c r="R45" t="s">
        <v>47</v>
      </c>
      <c r="S45" t="s">
        <v>47</v>
      </c>
      <c r="T45" t="s">
        <v>47</v>
      </c>
      <c r="U45" t="s">
        <v>47</v>
      </c>
      <c r="V45" t="s">
        <v>51</v>
      </c>
      <c r="W45" t="s">
        <v>46</v>
      </c>
      <c r="X45" t="s">
        <v>46</v>
      </c>
      <c r="Y45" t="s">
        <v>47</v>
      </c>
      <c r="Z45" t="s">
        <v>47</v>
      </c>
      <c r="AA45" t="s">
        <v>46</v>
      </c>
      <c r="AB45" t="s">
        <v>47</v>
      </c>
      <c r="AC45" t="s">
        <v>47</v>
      </c>
      <c r="AD45" t="s">
        <v>47</v>
      </c>
      <c r="AE45" t="s">
        <v>47</v>
      </c>
      <c r="AF45" t="s">
        <v>47</v>
      </c>
      <c r="AG45" t="s">
        <v>52</v>
      </c>
      <c r="AH45" t="s">
        <v>53</v>
      </c>
      <c r="AI45" t="s">
        <v>54</v>
      </c>
      <c r="AJ45">
        <v>7.9</v>
      </c>
      <c r="AK45" t="s">
        <v>46</v>
      </c>
      <c r="AL45" t="s">
        <v>100</v>
      </c>
      <c r="AM45" t="s">
        <v>103</v>
      </c>
      <c r="AN45">
        <v>6</v>
      </c>
      <c r="AO45" t="s">
        <v>47</v>
      </c>
    </row>
    <row r="46" spans="1:41">
      <c r="A46" t="s">
        <v>165</v>
      </c>
      <c r="B46">
        <v>2016</v>
      </c>
      <c r="C46" s="1">
        <v>42529</v>
      </c>
      <c r="D46" t="s">
        <v>42</v>
      </c>
      <c r="E46" t="s">
        <v>166</v>
      </c>
      <c r="F46">
        <v>68</v>
      </c>
      <c r="G46" t="s">
        <v>60</v>
      </c>
      <c r="H46" t="s">
        <v>45</v>
      </c>
      <c r="I46">
        <v>30</v>
      </c>
      <c r="J46">
        <v>29</v>
      </c>
      <c r="K46" t="s">
        <v>46</v>
      </c>
      <c r="L46" t="s">
        <v>47</v>
      </c>
      <c r="M46" t="s">
        <v>47</v>
      </c>
      <c r="N46" t="s">
        <v>62</v>
      </c>
      <c r="O46" t="s">
        <v>48</v>
      </c>
      <c r="P46">
        <v>23.5</v>
      </c>
      <c r="Q46" t="s">
        <v>62</v>
      </c>
      <c r="R46" t="s">
        <v>46</v>
      </c>
      <c r="S46" t="s">
        <v>47</v>
      </c>
      <c r="T46" t="s">
        <v>47</v>
      </c>
      <c r="U46" t="s">
        <v>47</v>
      </c>
      <c r="V46" t="s">
        <v>51</v>
      </c>
      <c r="W46" t="s">
        <v>46</v>
      </c>
      <c r="X46" t="s">
        <v>46</v>
      </c>
      <c r="Y46" t="s">
        <v>46</v>
      </c>
      <c r="Z46" t="s">
        <v>46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47</v>
      </c>
      <c r="AG46" t="s">
        <v>52</v>
      </c>
      <c r="AH46" t="s">
        <v>90</v>
      </c>
      <c r="AI46" t="s">
        <v>80</v>
      </c>
      <c r="AJ46">
        <v>5.3</v>
      </c>
      <c r="AK46" t="s">
        <v>47</v>
      </c>
      <c r="AL46" t="s">
        <v>100</v>
      </c>
      <c r="AM46" t="s">
        <v>56</v>
      </c>
      <c r="AN46">
        <v>10</v>
      </c>
      <c r="AO46" t="s">
        <v>47</v>
      </c>
    </row>
    <row r="47" spans="1:41">
      <c r="A47" t="s">
        <v>167</v>
      </c>
      <c r="B47">
        <v>2022</v>
      </c>
      <c r="C47" s="1">
        <v>44820</v>
      </c>
      <c r="D47" t="s">
        <v>84</v>
      </c>
      <c r="E47" t="s">
        <v>85</v>
      </c>
      <c r="F47">
        <v>56</v>
      </c>
      <c r="G47" t="s">
        <v>60</v>
      </c>
      <c r="H47" t="s">
        <v>70</v>
      </c>
      <c r="I47">
        <v>0</v>
      </c>
      <c r="J47">
        <v>0</v>
      </c>
      <c r="K47" t="s">
        <v>46</v>
      </c>
      <c r="L47" t="s">
        <v>47</v>
      </c>
      <c r="M47" t="s">
        <v>47</v>
      </c>
      <c r="N47" t="s">
        <v>48</v>
      </c>
      <c r="O47" t="s">
        <v>49</v>
      </c>
      <c r="P47">
        <v>26.2</v>
      </c>
      <c r="Q47" t="s">
        <v>50</v>
      </c>
      <c r="R47" t="s">
        <v>47</v>
      </c>
      <c r="S47" t="s">
        <v>47</v>
      </c>
      <c r="T47" t="s">
        <v>47</v>
      </c>
      <c r="U47" t="s">
        <v>46</v>
      </c>
      <c r="V47" t="s">
        <v>64</v>
      </c>
      <c r="W47" t="s">
        <v>47</v>
      </c>
      <c r="X47" t="s">
        <v>47</v>
      </c>
      <c r="Y47" t="s">
        <v>47</v>
      </c>
      <c r="Z47" t="s">
        <v>47</v>
      </c>
      <c r="AA47" t="s">
        <v>46</v>
      </c>
      <c r="AB47" t="s">
        <v>47</v>
      </c>
      <c r="AC47" t="s">
        <v>47</v>
      </c>
      <c r="AD47" t="s">
        <v>46</v>
      </c>
      <c r="AE47" t="s">
        <v>47</v>
      </c>
      <c r="AF47" t="s">
        <v>47</v>
      </c>
      <c r="AG47" t="s">
        <v>52</v>
      </c>
      <c r="AH47" t="s">
        <v>53</v>
      </c>
      <c r="AI47" t="s">
        <v>87</v>
      </c>
      <c r="AJ47">
        <v>2</v>
      </c>
      <c r="AK47" t="s">
        <v>47</v>
      </c>
      <c r="AL47" t="s">
        <v>81</v>
      </c>
      <c r="AM47" t="s">
        <v>103</v>
      </c>
      <c r="AN47">
        <v>27</v>
      </c>
      <c r="AO47" t="s">
        <v>46</v>
      </c>
    </row>
    <row r="48" spans="1:41">
      <c r="A48" t="s">
        <v>168</v>
      </c>
      <c r="B48">
        <v>2024</v>
      </c>
      <c r="C48" s="1">
        <v>45319</v>
      </c>
      <c r="D48" t="s">
        <v>58</v>
      </c>
      <c r="E48" t="s">
        <v>169</v>
      </c>
      <c r="F48">
        <v>53</v>
      </c>
      <c r="G48" t="s">
        <v>60</v>
      </c>
      <c r="H48" t="s">
        <v>70</v>
      </c>
      <c r="I48">
        <v>0</v>
      </c>
      <c r="J48">
        <v>0</v>
      </c>
      <c r="K48" t="s">
        <v>46</v>
      </c>
      <c r="L48" t="s">
        <v>47</v>
      </c>
      <c r="M48" t="s">
        <v>46</v>
      </c>
      <c r="N48" t="s">
        <v>48</v>
      </c>
      <c r="O48" t="s">
        <v>49</v>
      </c>
      <c r="P48">
        <v>26.4</v>
      </c>
      <c r="Q48" t="s">
        <v>50</v>
      </c>
      <c r="R48" t="s">
        <v>47</v>
      </c>
      <c r="S48" t="s">
        <v>47</v>
      </c>
      <c r="T48" t="s">
        <v>47</v>
      </c>
      <c r="U48" t="s">
        <v>47</v>
      </c>
      <c r="V48" t="s">
        <v>64</v>
      </c>
      <c r="W48" t="s">
        <v>47</v>
      </c>
      <c r="X48" t="s">
        <v>47</v>
      </c>
      <c r="Y48" t="s">
        <v>47</v>
      </c>
      <c r="Z48" t="s">
        <v>47</v>
      </c>
      <c r="AA48" t="s">
        <v>46</v>
      </c>
      <c r="AB48" t="s">
        <v>47</v>
      </c>
      <c r="AC48" t="s">
        <v>47</v>
      </c>
      <c r="AD48" t="s">
        <v>46</v>
      </c>
      <c r="AE48" t="s">
        <v>47</v>
      </c>
      <c r="AF48" t="s">
        <v>46</v>
      </c>
      <c r="AG48" t="s">
        <v>52</v>
      </c>
      <c r="AH48" t="s">
        <v>53</v>
      </c>
      <c r="AI48" t="s">
        <v>80</v>
      </c>
      <c r="AJ48">
        <v>7.8</v>
      </c>
      <c r="AK48" t="s">
        <v>47</v>
      </c>
      <c r="AL48" t="s">
        <v>66</v>
      </c>
      <c r="AM48" t="s">
        <v>67</v>
      </c>
      <c r="AN48">
        <v>28</v>
      </c>
      <c r="AO48" t="s">
        <v>46</v>
      </c>
    </row>
    <row r="49" spans="1:41">
      <c r="A49" t="s">
        <v>170</v>
      </c>
      <c r="B49">
        <v>2017</v>
      </c>
      <c r="C49" s="1">
        <v>42815</v>
      </c>
      <c r="D49" t="s">
        <v>42</v>
      </c>
      <c r="E49" t="s">
        <v>166</v>
      </c>
      <c r="F49">
        <v>60</v>
      </c>
      <c r="G49" t="s">
        <v>60</v>
      </c>
      <c r="H49" t="s">
        <v>45</v>
      </c>
      <c r="I49">
        <v>25</v>
      </c>
      <c r="J49">
        <v>24</v>
      </c>
      <c r="K49" t="s">
        <v>46</v>
      </c>
      <c r="L49" t="s">
        <v>46</v>
      </c>
      <c r="M49" t="s">
        <v>47</v>
      </c>
      <c r="N49" t="s">
        <v>62</v>
      </c>
      <c r="O49" t="s">
        <v>49</v>
      </c>
      <c r="P49">
        <v>27.2</v>
      </c>
      <c r="Q49" t="s">
        <v>50</v>
      </c>
      <c r="R49" t="s">
        <v>46</v>
      </c>
      <c r="S49" t="s">
        <v>47</v>
      </c>
      <c r="T49" t="s">
        <v>47</v>
      </c>
      <c r="U49" t="s">
        <v>47</v>
      </c>
      <c r="V49" t="s">
        <v>171</v>
      </c>
      <c r="W49" t="s">
        <v>46</v>
      </c>
      <c r="X49" t="s">
        <v>46</v>
      </c>
      <c r="Y49" t="s">
        <v>47</v>
      </c>
      <c r="Z49" t="s">
        <v>46</v>
      </c>
      <c r="AA49" t="s">
        <v>46</v>
      </c>
      <c r="AB49" t="s">
        <v>46</v>
      </c>
      <c r="AC49" t="s">
        <v>47</v>
      </c>
      <c r="AD49" t="s">
        <v>46</v>
      </c>
      <c r="AE49" t="s">
        <v>47</v>
      </c>
      <c r="AF49" t="s">
        <v>47</v>
      </c>
      <c r="AG49" t="s">
        <v>52</v>
      </c>
      <c r="AH49" t="s">
        <v>53</v>
      </c>
      <c r="AI49" t="s">
        <v>87</v>
      </c>
      <c r="AJ49">
        <v>6.6</v>
      </c>
      <c r="AK49" t="s">
        <v>47</v>
      </c>
      <c r="AL49" t="s">
        <v>66</v>
      </c>
      <c r="AM49" t="s">
        <v>103</v>
      </c>
      <c r="AN49">
        <v>42</v>
      </c>
      <c r="AO49" t="s">
        <v>46</v>
      </c>
    </row>
    <row r="50" spans="1:41">
      <c r="A50" t="s">
        <v>172</v>
      </c>
      <c r="B50">
        <v>2024</v>
      </c>
      <c r="C50" s="1">
        <v>45610</v>
      </c>
      <c r="D50" t="s">
        <v>110</v>
      </c>
      <c r="E50" t="s">
        <v>124</v>
      </c>
      <c r="F50">
        <v>72</v>
      </c>
      <c r="G50" t="s">
        <v>44</v>
      </c>
      <c r="H50" t="s">
        <v>70</v>
      </c>
      <c r="I50">
        <v>0</v>
      </c>
      <c r="J50">
        <v>0</v>
      </c>
      <c r="K50" t="s">
        <v>47</v>
      </c>
      <c r="L50" t="s">
        <v>47</v>
      </c>
      <c r="M50" t="s">
        <v>46</v>
      </c>
      <c r="N50" t="s">
        <v>48</v>
      </c>
      <c r="O50" t="s">
        <v>63</v>
      </c>
      <c r="P50">
        <v>33.700000000000003</v>
      </c>
      <c r="Q50" t="s">
        <v>50</v>
      </c>
      <c r="R50" t="s">
        <v>47</v>
      </c>
      <c r="S50" t="s">
        <v>47</v>
      </c>
      <c r="T50" t="s">
        <v>47</v>
      </c>
      <c r="U50" t="s">
        <v>47</v>
      </c>
      <c r="V50" t="s">
        <v>51</v>
      </c>
      <c r="W50" t="s">
        <v>46</v>
      </c>
      <c r="X50" t="s">
        <v>46</v>
      </c>
      <c r="Y50" t="s">
        <v>46</v>
      </c>
      <c r="Z50" t="s">
        <v>47</v>
      </c>
      <c r="AA50" t="s">
        <v>46</v>
      </c>
      <c r="AB50" t="s">
        <v>47</v>
      </c>
      <c r="AC50" t="s">
        <v>47</v>
      </c>
      <c r="AD50" t="s">
        <v>47</v>
      </c>
      <c r="AE50" t="s">
        <v>47</v>
      </c>
      <c r="AF50" t="s">
        <v>47</v>
      </c>
      <c r="AG50" t="s">
        <v>52</v>
      </c>
      <c r="AH50" t="s">
        <v>71</v>
      </c>
      <c r="AI50" t="s">
        <v>87</v>
      </c>
      <c r="AJ50">
        <v>5.4</v>
      </c>
      <c r="AK50" t="s">
        <v>47</v>
      </c>
      <c r="AL50" t="s">
        <v>81</v>
      </c>
      <c r="AM50" t="s">
        <v>77</v>
      </c>
      <c r="AN50">
        <v>45</v>
      </c>
      <c r="AO50" t="s">
        <v>46</v>
      </c>
    </row>
    <row r="51" spans="1:41">
      <c r="A51" t="s">
        <v>173</v>
      </c>
      <c r="B51">
        <v>2025</v>
      </c>
      <c r="C51" s="1">
        <v>45701</v>
      </c>
      <c r="D51" t="s">
        <v>42</v>
      </c>
      <c r="E51" t="s">
        <v>79</v>
      </c>
      <c r="F51">
        <v>62</v>
      </c>
      <c r="G51" t="s">
        <v>60</v>
      </c>
      <c r="H51" t="s">
        <v>70</v>
      </c>
      <c r="I51">
        <v>0</v>
      </c>
      <c r="J51">
        <v>0</v>
      </c>
      <c r="K51" t="s">
        <v>47</v>
      </c>
      <c r="L51" t="s">
        <v>46</v>
      </c>
      <c r="M51" t="s">
        <v>47</v>
      </c>
      <c r="N51" t="s">
        <v>62</v>
      </c>
      <c r="O51" t="s">
        <v>48</v>
      </c>
      <c r="P51">
        <v>26.2</v>
      </c>
      <c r="Q51" t="s">
        <v>48</v>
      </c>
      <c r="R51" t="s">
        <v>47</v>
      </c>
      <c r="S51" t="s">
        <v>47</v>
      </c>
      <c r="T51" t="s">
        <v>47</v>
      </c>
      <c r="U51" t="s">
        <v>47</v>
      </c>
      <c r="V51" t="s">
        <v>51</v>
      </c>
      <c r="W51" t="s">
        <v>47</v>
      </c>
      <c r="X51" t="s">
        <v>47</v>
      </c>
      <c r="Y51" t="s">
        <v>47</v>
      </c>
      <c r="Z51" t="s">
        <v>47</v>
      </c>
      <c r="AA51" t="s">
        <v>46</v>
      </c>
      <c r="AB51" t="s">
        <v>46</v>
      </c>
      <c r="AC51" t="s">
        <v>47</v>
      </c>
      <c r="AD51" t="s">
        <v>47</v>
      </c>
      <c r="AE51" t="s">
        <v>47</v>
      </c>
      <c r="AF51" t="s">
        <v>46</v>
      </c>
      <c r="AG51" t="s">
        <v>52</v>
      </c>
      <c r="AH51" t="s">
        <v>71</v>
      </c>
      <c r="AI51" t="s">
        <v>65</v>
      </c>
      <c r="AJ51">
        <v>2.4</v>
      </c>
      <c r="AK51" t="s">
        <v>47</v>
      </c>
      <c r="AL51" t="s">
        <v>76</v>
      </c>
      <c r="AM51" t="s">
        <v>67</v>
      </c>
      <c r="AN51">
        <v>38</v>
      </c>
      <c r="AO51" t="s">
        <v>46</v>
      </c>
    </row>
    <row r="52" spans="1:41">
      <c r="A52" t="s">
        <v>174</v>
      </c>
      <c r="B52">
        <v>2022</v>
      </c>
      <c r="C52" s="1">
        <v>44849</v>
      </c>
      <c r="D52" t="s">
        <v>98</v>
      </c>
      <c r="E52" t="s">
        <v>175</v>
      </c>
      <c r="F52">
        <v>43</v>
      </c>
      <c r="G52" t="s">
        <v>44</v>
      </c>
      <c r="H52" t="s">
        <v>70</v>
      </c>
      <c r="I52">
        <v>0</v>
      </c>
      <c r="J52">
        <v>0</v>
      </c>
      <c r="K52" t="s">
        <v>46</v>
      </c>
      <c r="L52" t="s">
        <v>47</v>
      </c>
      <c r="M52" t="s">
        <v>47</v>
      </c>
      <c r="N52" t="s">
        <v>48</v>
      </c>
      <c r="O52" t="s">
        <v>48</v>
      </c>
      <c r="P52">
        <v>22.1</v>
      </c>
      <c r="Q52" t="s">
        <v>48</v>
      </c>
      <c r="R52" t="s">
        <v>47</v>
      </c>
      <c r="S52" t="s">
        <v>47</v>
      </c>
      <c r="T52" t="s">
        <v>47</v>
      </c>
      <c r="U52" t="s">
        <v>47</v>
      </c>
      <c r="V52" t="s">
        <v>51</v>
      </c>
      <c r="W52" t="s">
        <v>46</v>
      </c>
      <c r="X52" t="s">
        <v>47</v>
      </c>
      <c r="Y52" t="s">
        <v>47</v>
      </c>
      <c r="Z52" t="s">
        <v>47</v>
      </c>
      <c r="AA52" t="s">
        <v>46</v>
      </c>
      <c r="AB52" t="s">
        <v>47</v>
      </c>
      <c r="AC52" t="s">
        <v>47</v>
      </c>
      <c r="AD52" t="s">
        <v>47</v>
      </c>
      <c r="AE52" t="s">
        <v>46</v>
      </c>
      <c r="AF52" t="s">
        <v>47</v>
      </c>
      <c r="AG52" t="s">
        <v>52</v>
      </c>
      <c r="AH52" t="s">
        <v>53</v>
      </c>
      <c r="AI52" t="s">
        <v>80</v>
      </c>
      <c r="AJ52">
        <v>4.7</v>
      </c>
      <c r="AK52" t="s">
        <v>46</v>
      </c>
      <c r="AL52" t="s">
        <v>66</v>
      </c>
      <c r="AM52" t="s">
        <v>118</v>
      </c>
      <c r="AN52">
        <v>24</v>
      </c>
      <c r="AO52" t="s">
        <v>47</v>
      </c>
    </row>
    <row r="53" spans="1:41">
      <c r="A53" t="s">
        <v>176</v>
      </c>
      <c r="B53">
        <v>2015</v>
      </c>
      <c r="C53" s="1">
        <v>42142</v>
      </c>
      <c r="D53" t="s">
        <v>110</v>
      </c>
      <c r="E53" t="s">
        <v>177</v>
      </c>
      <c r="F53">
        <v>67</v>
      </c>
      <c r="G53" t="s">
        <v>44</v>
      </c>
      <c r="H53" t="s">
        <v>70</v>
      </c>
      <c r="I53">
        <v>0</v>
      </c>
      <c r="J53">
        <v>0</v>
      </c>
      <c r="K53" t="s">
        <v>46</v>
      </c>
      <c r="L53" t="s">
        <v>46</v>
      </c>
      <c r="M53" t="s">
        <v>47</v>
      </c>
      <c r="N53" t="s">
        <v>62</v>
      </c>
      <c r="O53" t="s">
        <v>49</v>
      </c>
      <c r="P53">
        <v>29.2</v>
      </c>
      <c r="Q53" t="s">
        <v>50</v>
      </c>
      <c r="R53" t="s">
        <v>47</v>
      </c>
      <c r="S53" t="s">
        <v>47</v>
      </c>
      <c r="T53" t="s">
        <v>47</v>
      </c>
      <c r="U53" t="s">
        <v>47</v>
      </c>
      <c r="V53" t="s">
        <v>51</v>
      </c>
      <c r="W53" t="s">
        <v>47</v>
      </c>
      <c r="X53" t="s">
        <v>47</v>
      </c>
      <c r="Y53" t="s">
        <v>47</v>
      </c>
      <c r="Z53" t="s">
        <v>46</v>
      </c>
      <c r="AA53" t="s">
        <v>46</v>
      </c>
      <c r="AB53" t="s">
        <v>47</v>
      </c>
      <c r="AC53" t="s">
        <v>47</v>
      </c>
      <c r="AD53" t="s">
        <v>47</v>
      </c>
      <c r="AE53" t="s">
        <v>47</v>
      </c>
      <c r="AF53" t="s">
        <v>47</v>
      </c>
      <c r="AG53" t="s">
        <v>52</v>
      </c>
      <c r="AH53" t="s">
        <v>53</v>
      </c>
      <c r="AI53" t="s">
        <v>65</v>
      </c>
      <c r="AJ53">
        <v>0.6</v>
      </c>
      <c r="AK53" t="s">
        <v>47</v>
      </c>
      <c r="AL53" t="s">
        <v>72</v>
      </c>
      <c r="AM53" t="s">
        <v>67</v>
      </c>
      <c r="AN53">
        <v>62</v>
      </c>
      <c r="AO53" t="s">
        <v>46</v>
      </c>
    </row>
    <row r="54" spans="1:41">
      <c r="A54" t="s">
        <v>178</v>
      </c>
      <c r="B54">
        <v>2018</v>
      </c>
      <c r="C54" s="1">
        <v>43428</v>
      </c>
      <c r="D54" t="s">
        <v>95</v>
      </c>
      <c r="E54" t="s">
        <v>120</v>
      </c>
      <c r="F54">
        <v>54</v>
      </c>
      <c r="G54" t="s">
        <v>44</v>
      </c>
      <c r="H54" t="s">
        <v>70</v>
      </c>
      <c r="I54">
        <v>0</v>
      </c>
      <c r="J54">
        <v>0</v>
      </c>
      <c r="K54" t="s">
        <v>46</v>
      </c>
      <c r="L54" t="s">
        <v>47</v>
      </c>
      <c r="M54" t="s">
        <v>46</v>
      </c>
      <c r="N54" t="s">
        <v>50</v>
      </c>
      <c r="O54" t="s">
        <v>48</v>
      </c>
      <c r="P54">
        <v>28.1</v>
      </c>
      <c r="Q54" t="s">
        <v>48</v>
      </c>
      <c r="R54" t="s">
        <v>47</v>
      </c>
      <c r="S54" t="s">
        <v>47</v>
      </c>
      <c r="T54" t="s">
        <v>47</v>
      </c>
      <c r="U54" t="s">
        <v>47</v>
      </c>
      <c r="V54" t="s">
        <v>128</v>
      </c>
      <c r="W54" t="s">
        <v>46</v>
      </c>
      <c r="X54" t="s">
        <v>47</v>
      </c>
      <c r="Y54" t="s">
        <v>47</v>
      </c>
      <c r="Z54" t="s">
        <v>47</v>
      </c>
      <c r="AA54" t="s">
        <v>46</v>
      </c>
      <c r="AB54" t="s">
        <v>46</v>
      </c>
      <c r="AC54" t="s">
        <v>47</v>
      </c>
      <c r="AD54" t="s">
        <v>46</v>
      </c>
      <c r="AE54" t="s">
        <v>47</v>
      </c>
      <c r="AF54" t="s">
        <v>47</v>
      </c>
      <c r="AG54" t="s">
        <v>52</v>
      </c>
      <c r="AH54" t="s">
        <v>53</v>
      </c>
      <c r="AI54" t="s">
        <v>80</v>
      </c>
      <c r="AJ54">
        <v>4.4000000000000004</v>
      </c>
      <c r="AK54" t="s">
        <v>46</v>
      </c>
      <c r="AL54" t="s">
        <v>100</v>
      </c>
      <c r="AM54" t="s">
        <v>118</v>
      </c>
      <c r="AN54">
        <v>17</v>
      </c>
      <c r="AO54" t="s">
        <v>46</v>
      </c>
    </row>
    <row r="55" spans="1:41">
      <c r="A55" t="s">
        <v>179</v>
      </c>
      <c r="B55">
        <v>2025</v>
      </c>
      <c r="C55" s="1">
        <v>45979</v>
      </c>
      <c r="D55" t="s">
        <v>58</v>
      </c>
      <c r="E55" t="s">
        <v>134</v>
      </c>
      <c r="F55">
        <v>45</v>
      </c>
      <c r="G55" t="s">
        <v>60</v>
      </c>
      <c r="H55" t="s">
        <v>70</v>
      </c>
      <c r="I55">
        <v>0</v>
      </c>
      <c r="J55">
        <v>0</v>
      </c>
      <c r="K55" t="s">
        <v>46</v>
      </c>
      <c r="L55" t="s">
        <v>47</v>
      </c>
      <c r="M55" t="s">
        <v>47</v>
      </c>
      <c r="N55" t="s">
        <v>48</v>
      </c>
      <c r="O55" t="s">
        <v>63</v>
      </c>
      <c r="P55">
        <v>22.4</v>
      </c>
      <c r="Q55" t="s">
        <v>50</v>
      </c>
      <c r="R55" t="s">
        <v>47</v>
      </c>
      <c r="S55" t="s">
        <v>47</v>
      </c>
      <c r="T55" t="s">
        <v>47</v>
      </c>
      <c r="U55" t="s">
        <v>47</v>
      </c>
      <c r="V55" t="s">
        <v>117</v>
      </c>
      <c r="W55" t="s">
        <v>47</v>
      </c>
      <c r="X55" t="s">
        <v>46</v>
      </c>
      <c r="Y55" t="s">
        <v>47</v>
      </c>
      <c r="Z55" t="s">
        <v>47</v>
      </c>
      <c r="AA55" t="s">
        <v>47</v>
      </c>
      <c r="AB55" t="s">
        <v>47</v>
      </c>
      <c r="AC55" t="s">
        <v>47</v>
      </c>
      <c r="AD55" t="s">
        <v>46</v>
      </c>
      <c r="AE55" t="s">
        <v>47</v>
      </c>
      <c r="AF55" t="s">
        <v>47</v>
      </c>
      <c r="AG55" t="s">
        <v>52</v>
      </c>
      <c r="AH55" t="s">
        <v>90</v>
      </c>
      <c r="AI55" t="s">
        <v>87</v>
      </c>
      <c r="AJ55">
        <v>4.8</v>
      </c>
      <c r="AK55" t="s">
        <v>47</v>
      </c>
      <c r="AL55" t="s">
        <v>66</v>
      </c>
      <c r="AM55" t="s">
        <v>67</v>
      </c>
      <c r="AN55">
        <v>42</v>
      </c>
      <c r="AO55" t="s">
        <v>46</v>
      </c>
    </row>
    <row r="56" spans="1:41">
      <c r="A56" t="s">
        <v>180</v>
      </c>
      <c r="B56">
        <v>2022</v>
      </c>
      <c r="C56" s="1">
        <v>44876</v>
      </c>
      <c r="D56" t="s">
        <v>58</v>
      </c>
      <c r="E56" t="s">
        <v>169</v>
      </c>
      <c r="F56">
        <v>50</v>
      </c>
      <c r="G56" t="s">
        <v>60</v>
      </c>
      <c r="H56" t="s">
        <v>70</v>
      </c>
      <c r="I56">
        <v>0</v>
      </c>
      <c r="J56">
        <v>0</v>
      </c>
      <c r="K56" t="s">
        <v>47</v>
      </c>
      <c r="L56" t="s">
        <v>47</v>
      </c>
      <c r="M56" t="s">
        <v>47</v>
      </c>
      <c r="N56" t="s">
        <v>48</v>
      </c>
      <c r="O56" t="s">
        <v>48</v>
      </c>
      <c r="P56">
        <v>26.3</v>
      </c>
      <c r="Q56" t="s">
        <v>48</v>
      </c>
      <c r="R56" t="s">
        <v>46</v>
      </c>
      <c r="S56" t="s">
        <v>47</v>
      </c>
      <c r="T56" t="s">
        <v>47</v>
      </c>
      <c r="U56" t="s">
        <v>47</v>
      </c>
      <c r="V56" t="s">
        <v>86</v>
      </c>
      <c r="W56" t="s">
        <v>47</v>
      </c>
      <c r="X56" t="s">
        <v>46</v>
      </c>
      <c r="Y56" t="s">
        <v>46</v>
      </c>
      <c r="Z56" t="s">
        <v>47</v>
      </c>
      <c r="AA56" t="s">
        <v>46</v>
      </c>
      <c r="AB56" t="s">
        <v>47</v>
      </c>
      <c r="AC56" t="s">
        <v>47</v>
      </c>
      <c r="AD56" t="s">
        <v>46</v>
      </c>
      <c r="AE56" t="s">
        <v>47</v>
      </c>
      <c r="AF56" t="s">
        <v>47</v>
      </c>
      <c r="AG56" t="s">
        <v>52</v>
      </c>
      <c r="AH56" t="s">
        <v>53</v>
      </c>
      <c r="AI56" t="s">
        <v>87</v>
      </c>
      <c r="AJ56">
        <v>3.9</v>
      </c>
      <c r="AK56" t="s">
        <v>47</v>
      </c>
      <c r="AL56" t="s">
        <v>55</v>
      </c>
      <c r="AM56" t="s">
        <v>103</v>
      </c>
      <c r="AN56">
        <v>48</v>
      </c>
      <c r="AO56" t="s">
        <v>47</v>
      </c>
    </row>
    <row r="57" spans="1:41">
      <c r="A57" t="s">
        <v>181</v>
      </c>
      <c r="B57">
        <v>2016</v>
      </c>
      <c r="C57" s="1">
        <v>42504</v>
      </c>
      <c r="D57" t="s">
        <v>84</v>
      </c>
      <c r="E57" t="s">
        <v>182</v>
      </c>
      <c r="F57">
        <v>71</v>
      </c>
      <c r="G57" t="s">
        <v>44</v>
      </c>
      <c r="H57" t="s">
        <v>70</v>
      </c>
      <c r="I57">
        <v>0</v>
      </c>
      <c r="J57">
        <v>0</v>
      </c>
      <c r="K57" t="s">
        <v>46</v>
      </c>
      <c r="L57" t="s">
        <v>47</v>
      </c>
      <c r="M57" t="s">
        <v>47</v>
      </c>
      <c r="N57" t="s">
        <v>62</v>
      </c>
      <c r="O57" t="s">
        <v>48</v>
      </c>
      <c r="P57">
        <v>24.2</v>
      </c>
      <c r="Q57" t="s">
        <v>48</v>
      </c>
      <c r="R57" t="s">
        <v>47</v>
      </c>
      <c r="S57" t="s">
        <v>47</v>
      </c>
      <c r="T57" t="s">
        <v>47</v>
      </c>
      <c r="U57" t="s">
        <v>47</v>
      </c>
      <c r="V57" t="s">
        <v>86</v>
      </c>
      <c r="W57" t="s">
        <v>47</v>
      </c>
      <c r="X57" t="s">
        <v>47</v>
      </c>
      <c r="Y57" t="s">
        <v>47</v>
      </c>
      <c r="Z57" t="s">
        <v>47</v>
      </c>
      <c r="AA57" t="s">
        <v>47</v>
      </c>
      <c r="AB57" t="s">
        <v>47</v>
      </c>
      <c r="AC57" t="s">
        <v>47</v>
      </c>
      <c r="AD57" t="s">
        <v>46</v>
      </c>
      <c r="AE57" t="s">
        <v>47</v>
      </c>
      <c r="AF57" t="s">
        <v>47</v>
      </c>
      <c r="AG57" t="s">
        <v>52</v>
      </c>
      <c r="AH57" t="s">
        <v>53</v>
      </c>
      <c r="AI57" t="s">
        <v>65</v>
      </c>
      <c r="AJ57">
        <v>3.1</v>
      </c>
      <c r="AK57" t="s">
        <v>47</v>
      </c>
      <c r="AL57" t="s">
        <v>76</v>
      </c>
      <c r="AM57" t="s">
        <v>103</v>
      </c>
      <c r="AN57">
        <v>60</v>
      </c>
      <c r="AO57" t="s">
        <v>47</v>
      </c>
    </row>
    <row r="58" spans="1:41">
      <c r="A58" t="s">
        <v>183</v>
      </c>
      <c r="B58">
        <v>2025</v>
      </c>
      <c r="C58" s="1">
        <v>45870</v>
      </c>
      <c r="D58" t="s">
        <v>84</v>
      </c>
      <c r="E58" t="s">
        <v>184</v>
      </c>
      <c r="F58">
        <v>46</v>
      </c>
      <c r="G58" t="s">
        <v>44</v>
      </c>
      <c r="H58" t="s">
        <v>45</v>
      </c>
      <c r="I58">
        <v>22</v>
      </c>
      <c r="J58">
        <v>28</v>
      </c>
      <c r="K58" t="s">
        <v>47</v>
      </c>
      <c r="L58" t="s">
        <v>47</v>
      </c>
      <c r="M58" t="s">
        <v>46</v>
      </c>
      <c r="N58" t="s">
        <v>62</v>
      </c>
      <c r="O58" t="s">
        <v>49</v>
      </c>
      <c r="P58">
        <v>36.9</v>
      </c>
      <c r="Q58" t="s">
        <v>62</v>
      </c>
      <c r="R58" t="s">
        <v>47</v>
      </c>
      <c r="S58" t="s">
        <v>47</v>
      </c>
      <c r="T58" t="s">
        <v>47</v>
      </c>
      <c r="U58" t="s">
        <v>47</v>
      </c>
      <c r="V58" t="s">
        <v>151</v>
      </c>
      <c r="W58" t="s">
        <v>47</v>
      </c>
      <c r="X58" t="s">
        <v>46</v>
      </c>
      <c r="Y58" t="s">
        <v>46</v>
      </c>
      <c r="Z58" t="s">
        <v>47</v>
      </c>
      <c r="AA58" t="s">
        <v>47</v>
      </c>
      <c r="AB58" t="s">
        <v>46</v>
      </c>
      <c r="AC58" t="s">
        <v>46</v>
      </c>
      <c r="AD58" t="s">
        <v>47</v>
      </c>
      <c r="AE58" t="s">
        <v>47</v>
      </c>
      <c r="AF58" t="s">
        <v>46</v>
      </c>
      <c r="AG58" t="s">
        <v>52</v>
      </c>
      <c r="AH58" t="s">
        <v>53</v>
      </c>
      <c r="AI58" t="s">
        <v>80</v>
      </c>
      <c r="AJ58">
        <v>7.8</v>
      </c>
      <c r="AK58" t="s">
        <v>47</v>
      </c>
      <c r="AL58" t="s">
        <v>100</v>
      </c>
      <c r="AM58" t="s">
        <v>118</v>
      </c>
      <c r="AN58">
        <v>27</v>
      </c>
      <c r="AO58" t="s">
        <v>47</v>
      </c>
    </row>
    <row r="59" spans="1:41">
      <c r="A59" t="s">
        <v>185</v>
      </c>
      <c r="B59">
        <v>2021</v>
      </c>
      <c r="C59" s="1">
        <v>44464</v>
      </c>
      <c r="D59" t="s">
        <v>42</v>
      </c>
      <c r="E59" t="s">
        <v>166</v>
      </c>
      <c r="F59">
        <v>61</v>
      </c>
      <c r="G59" t="s">
        <v>44</v>
      </c>
      <c r="H59" t="s">
        <v>70</v>
      </c>
      <c r="I59">
        <v>0</v>
      </c>
      <c r="J59">
        <v>0</v>
      </c>
      <c r="K59" t="s">
        <v>47</v>
      </c>
      <c r="L59" t="s">
        <v>46</v>
      </c>
      <c r="M59" t="s">
        <v>46</v>
      </c>
      <c r="N59" t="s">
        <v>62</v>
      </c>
      <c r="O59" t="s">
        <v>49</v>
      </c>
      <c r="P59">
        <v>23.3</v>
      </c>
      <c r="Q59" t="s">
        <v>62</v>
      </c>
      <c r="R59" t="s">
        <v>47</v>
      </c>
      <c r="S59" t="s">
        <v>47</v>
      </c>
      <c r="T59" t="s">
        <v>47</v>
      </c>
      <c r="U59" t="s">
        <v>47</v>
      </c>
      <c r="V59" t="s">
        <v>117</v>
      </c>
      <c r="W59" t="s">
        <v>46</v>
      </c>
      <c r="X59" t="s">
        <v>46</v>
      </c>
      <c r="Y59" t="s">
        <v>47</v>
      </c>
      <c r="Z59" t="s">
        <v>47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t="s">
        <v>47</v>
      </c>
      <c r="AG59" t="s">
        <v>52</v>
      </c>
      <c r="AH59" t="s">
        <v>53</v>
      </c>
      <c r="AI59" t="s">
        <v>87</v>
      </c>
      <c r="AJ59">
        <v>3.9</v>
      </c>
      <c r="AK59" t="s">
        <v>47</v>
      </c>
      <c r="AL59" t="s">
        <v>76</v>
      </c>
      <c r="AM59" t="s">
        <v>73</v>
      </c>
      <c r="AN59">
        <v>51</v>
      </c>
      <c r="AO59" t="s">
        <v>47</v>
      </c>
    </row>
    <row r="60" spans="1:41">
      <c r="A60" t="s">
        <v>186</v>
      </c>
      <c r="B60">
        <v>2025</v>
      </c>
      <c r="C60" s="1">
        <v>45904</v>
      </c>
      <c r="D60" t="s">
        <v>58</v>
      </c>
      <c r="E60" t="s">
        <v>134</v>
      </c>
      <c r="F60">
        <v>60</v>
      </c>
      <c r="G60" t="s">
        <v>60</v>
      </c>
      <c r="H60" t="s">
        <v>70</v>
      </c>
      <c r="I60">
        <v>0</v>
      </c>
      <c r="J60">
        <v>0</v>
      </c>
      <c r="K60" t="s">
        <v>46</v>
      </c>
      <c r="L60" t="s">
        <v>47</v>
      </c>
      <c r="M60" t="s">
        <v>47</v>
      </c>
      <c r="N60" t="s">
        <v>62</v>
      </c>
      <c r="O60" t="s">
        <v>49</v>
      </c>
      <c r="P60">
        <v>28.2</v>
      </c>
      <c r="Q60" t="s">
        <v>62</v>
      </c>
      <c r="R60" t="s">
        <v>47</v>
      </c>
      <c r="S60" t="s">
        <v>47</v>
      </c>
      <c r="T60" t="s">
        <v>47</v>
      </c>
      <c r="U60" t="s">
        <v>47</v>
      </c>
      <c r="V60" t="s">
        <v>51</v>
      </c>
      <c r="W60" t="s">
        <v>46</v>
      </c>
      <c r="X60" t="s">
        <v>47</v>
      </c>
      <c r="Y60" t="s">
        <v>47</v>
      </c>
      <c r="Z60" t="s">
        <v>46</v>
      </c>
      <c r="AA60" t="s">
        <v>46</v>
      </c>
      <c r="AB60" t="s">
        <v>46</v>
      </c>
      <c r="AC60" t="s">
        <v>47</v>
      </c>
      <c r="AD60" t="s">
        <v>47</v>
      </c>
      <c r="AE60" t="s">
        <v>47</v>
      </c>
      <c r="AF60" t="s">
        <v>47</v>
      </c>
      <c r="AG60" t="s">
        <v>52</v>
      </c>
      <c r="AH60" t="s">
        <v>71</v>
      </c>
      <c r="AI60" t="s">
        <v>65</v>
      </c>
      <c r="AJ60">
        <v>3.4</v>
      </c>
      <c r="AK60" t="s">
        <v>47</v>
      </c>
      <c r="AL60" t="s">
        <v>81</v>
      </c>
      <c r="AM60" t="s">
        <v>118</v>
      </c>
      <c r="AN60">
        <v>77</v>
      </c>
      <c r="AO60" t="s">
        <v>47</v>
      </c>
    </row>
    <row r="61" spans="1:41">
      <c r="A61" t="s">
        <v>187</v>
      </c>
      <c r="B61">
        <v>2016</v>
      </c>
      <c r="C61" s="1">
        <v>42691</v>
      </c>
      <c r="D61" t="s">
        <v>110</v>
      </c>
      <c r="E61" t="s">
        <v>124</v>
      </c>
      <c r="F61">
        <v>58</v>
      </c>
      <c r="G61" t="s">
        <v>44</v>
      </c>
      <c r="H61" t="s">
        <v>70</v>
      </c>
      <c r="I61">
        <v>0</v>
      </c>
      <c r="J61">
        <v>0</v>
      </c>
      <c r="K61" t="s">
        <v>47</v>
      </c>
      <c r="L61" t="s">
        <v>47</v>
      </c>
      <c r="M61" t="s">
        <v>46</v>
      </c>
      <c r="N61" t="s">
        <v>62</v>
      </c>
      <c r="O61" t="s">
        <v>48</v>
      </c>
      <c r="P61">
        <v>24.6</v>
      </c>
      <c r="Q61" t="s">
        <v>50</v>
      </c>
      <c r="R61" t="s">
        <v>46</v>
      </c>
      <c r="S61" t="s">
        <v>47</v>
      </c>
      <c r="T61" t="s">
        <v>47</v>
      </c>
      <c r="U61" t="s">
        <v>47</v>
      </c>
      <c r="V61" t="s">
        <v>51</v>
      </c>
      <c r="W61" t="s">
        <v>47</v>
      </c>
      <c r="X61" t="s">
        <v>47</v>
      </c>
      <c r="Y61" t="s">
        <v>47</v>
      </c>
      <c r="Z61" t="s">
        <v>47</v>
      </c>
      <c r="AA61" t="s">
        <v>46</v>
      </c>
      <c r="AB61" t="s">
        <v>47</v>
      </c>
      <c r="AC61" t="s">
        <v>47</v>
      </c>
      <c r="AD61" t="s">
        <v>47</v>
      </c>
      <c r="AE61" t="s">
        <v>47</v>
      </c>
      <c r="AF61" t="s">
        <v>47</v>
      </c>
      <c r="AG61" t="s">
        <v>52</v>
      </c>
      <c r="AH61" t="s">
        <v>53</v>
      </c>
      <c r="AI61" t="s">
        <v>80</v>
      </c>
      <c r="AJ61">
        <v>4.2</v>
      </c>
      <c r="AK61" t="s">
        <v>47</v>
      </c>
      <c r="AL61" t="s">
        <v>76</v>
      </c>
      <c r="AM61" t="s">
        <v>56</v>
      </c>
      <c r="AN61">
        <v>16</v>
      </c>
      <c r="AO61" t="s">
        <v>47</v>
      </c>
    </row>
    <row r="62" spans="1:41">
      <c r="A62" t="s">
        <v>188</v>
      </c>
      <c r="B62">
        <v>2025</v>
      </c>
      <c r="C62" s="1">
        <v>45752</v>
      </c>
      <c r="D62" t="s">
        <v>84</v>
      </c>
      <c r="E62" t="s">
        <v>189</v>
      </c>
      <c r="F62">
        <v>80</v>
      </c>
      <c r="G62" t="s">
        <v>44</v>
      </c>
      <c r="H62" t="s">
        <v>45</v>
      </c>
      <c r="I62">
        <v>26</v>
      </c>
      <c r="J62">
        <v>30</v>
      </c>
      <c r="K62" t="s">
        <v>47</v>
      </c>
      <c r="L62" t="s">
        <v>46</v>
      </c>
      <c r="M62" t="s">
        <v>46</v>
      </c>
      <c r="N62" t="s">
        <v>48</v>
      </c>
      <c r="O62" t="s">
        <v>63</v>
      </c>
      <c r="P62">
        <v>21.2</v>
      </c>
      <c r="Q62" t="s">
        <v>50</v>
      </c>
      <c r="R62" t="s">
        <v>47</v>
      </c>
      <c r="S62" t="s">
        <v>47</v>
      </c>
      <c r="T62" t="s">
        <v>47</v>
      </c>
      <c r="U62" t="s">
        <v>47</v>
      </c>
      <c r="V62" t="s">
        <v>64</v>
      </c>
      <c r="W62" t="s">
        <v>46</v>
      </c>
      <c r="X62" t="s">
        <v>46</v>
      </c>
      <c r="Y62" t="s">
        <v>46</v>
      </c>
      <c r="Z62" t="s">
        <v>46</v>
      </c>
      <c r="AA62" t="s">
        <v>46</v>
      </c>
      <c r="AB62" t="s">
        <v>46</v>
      </c>
      <c r="AC62" t="s">
        <v>46</v>
      </c>
      <c r="AD62" t="s">
        <v>47</v>
      </c>
      <c r="AE62" t="s">
        <v>47</v>
      </c>
      <c r="AF62" t="s">
        <v>47</v>
      </c>
      <c r="AG62" t="s">
        <v>52</v>
      </c>
      <c r="AH62" t="s">
        <v>90</v>
      </c>
      <c r="AI62" t="s">
        <v>80</v>
      </c>
      <c r="AJ62">
        <v>4.3</v>
      </c>
      <c r="AK62" t="s">
        <v>47</v>
      </c>
      <c r="AL62" t="s">
        <v>76</v>
      </c>
      <c r="AM62" t="s">
        <v>82</v>
      </c>
      <c r="AN62">
        <v>15</v>
      </c>
      <c r="AO62" t="s">
        <v>47</v>
      </c>
    </row>
    <row r="63" spans="1:41">
      <c r="A63" t="s">
        <v>190</v>
      </c>
      <c r="B63">
        <v>2021</v>
      </c>
      <c r="C63" s="1">
        <v>44273</v>
      </c>
      <c r="D63" t="s">
        <v>42</v>
      </c>
      <c r="E63" t="s">
        <v>75</v>
      </c>
      <c r="F63">
        <v>54</v>
      </c>
      <c r="G63" t="s">
        <v>44</v>
      </c>
      <c r="H63" t="s">
        <v>70</v>
      </c>
      <c r="I63">
        <v>0</v>
      </c>
      <c r="J63">
        <v>0</v>
      </c>
      <c r="K63" t="s">
        <v>46</v>
      </c>
      <c r="L63" t="s">
        <v>47</v>
      </c>
      <c r="M63" t="s">
        <v>47</v>
      </c>
      <c r="N63" t="s">
        <v>62</v>
      </c>
      <c r="O63" t="s">
        <v>48</v>
      </c>
      <c r="P63">
        <v>23.9</v>
      </c>
      <c r="Q63" t="s">
        <v>50</v>
      </c>
      <c r="R63" t="s">
        <v>47</v>
      </c>
      <c r="S63" t="s">
        <v>47</v>
      </c>
      <c r="T63" t="s">
        <v>47</v>
      </c>
      <c r="U63" t="s">
        <v>46</v>
      </c>
      <c r="V63" t="s">
        <v>112</v>
      </c>
      <c r="W63" t="s">
        <v>46</v>
      </c>
      <c r="X63" t="s">
        <v>46</v>
      </c>
      <c r="Y63" t="s">
        <v>46</v>
      </c>
      <c r="Z63" t="s">
        <v>47</v>
      </c>
      <c r="AA63" t="s">
        <v>47</v>
      </c>
      <c r="AB63" t="s">
        <v>46</v>
      </c>
      <c r="AC63" t="s">
        <v>47</v>
      </c>
      <c r="AD63" t="s">
        <v>47</v>
      </c>
      <c r="AE63" t="s">
        <v>47</v>
      </c>
      <c r="AF63" t="s">
        <v>47</v>
      </c>
      <c r="AG63" t="s">
        <v>52</v>
      </c>
      <c r="AH63" t="s">
        <v>71</v>
      </c>
      <c r="AI63" t="s">
        <v>65</v>
      </c>
      <c r="AJ63">
        <v>2.4</v>
      </c>
      <c r="AK63" t="s">
        <v>47</v>
      </c>
      <c r="AL63" t="s">
        <v>72</v>
      </c>
      <c r="AM63" t="s">
        <v>73</v>
      </c>
      <c r="AN63">
        <v>63</v>
      </c>
      <c r="AO63" t="s">
        <v>46</v>
      </c>
    </row>
    <row r="64" spans="1:41">
      <c r="A64" t="s">
        <v>191</v>
      </c>
      <c r="B64">
        <v>2022</v>
      </c>
      <c r="C64" s="1">
        <v>44581</v>
      </c>
      <c r="D64" t="s">
        <v>98</v>
      </c>
      <c r="E64" t="s">
        <v>192</v>
      </c>
      <c r="F64">
        <v>60</v>
      </c>
      <c r="G64" t="s">
        <v>44</v>
      </c>
      <c r="H64" t="s">
        <v>70</v>
      </c>
      <c r="I64">
        <v>0</v>
      </c>
      <c r="J64">
        <v>0</v>
      </c>
      <c r="K64" t="s">
        <v>47</v>
      </c>
      <c r="L64" t="s">
        <v>46</v>
      </c>
      <c r="M64" t="s">
        <v>47</v>
      </c>
      <c r="N64" t="s">
        <v>50</v>
      </c>
      <c r="O64" t="s">
        <v>48</v>
      </c>
      <c r="P64">
        <v>29.5</v>
      </c>
      <c r="Q64" t="s">
        <v>50</v>
      </c>
      <c r="R64" t="s">
        <v>46</v>
      </c>
      <c r="S64" t="s">
        <v>47</v>
      </c>
      <c r="T64" t="s">
        <v>47</v>
      </c>
      <c r="U64" t="s">
        <v>47</v>
      </c>
      <c r="V64" t="s">
        <v>193</v>
      </c>
      <c r="W64" t="s">
        <v>46</v>
      </c>
      <c r="X64" t="s">
        <v>46</v>
      </c>
      <c r="Y64" t="s">
        <v>47</v>
      </c>
      <c r="Z64" t="s">
        <v>47</v>
      </c>
      <c r="AA64" t="s">
        <v>47</v>
      </c>
      <c r="AB64" t="s">
        <v>47</v>
      </c>
      <c r="AC64" t="s">
        <v>47</v>
      </c>
      <c r="AD64" t="s">
        <v>47</v>
      </c>
      <c r="AE64" t="s">
        <v>47</v>
      </c>
      <c r="AF64" t="s">
        <v>47</v>
      </c>
      <c r="AG64" t="s">
        <v>52</v>
      </c>
      <c r="AH64" t="s">
        <v>53</v>
      </c>
      <c r="AI64" t="s">
        <v>80</v>
      </c>
      <c r="AJ64">
        <v>5.9</v>
      </c>
      <c r="AK64" t="s">
        <v>47</v>
      </c>
      <c r="AL64" t="s">
        <v>100</v>
      </c>
      <c r="AM64" t="s">
        <v>118</v>
      </c>
      <c r="AN64">
        <v>20</v>
      </c>
      <c r="AO64" t="s">
        <v>47</v>
      </c>
    </row>
    <row r="65" spans="1:41">
      <c r="A65" t="s">
        <v>194</v>
      </c>
      <c r="B65">
        <v>2019</v>
      </c>
      <c r="C65" s="1">
        <v>43678</v>
      </c>
      <c r="D65" t="s">
        <v>95</v>
      </c>
      <c r="E65" t="s">
        <v>120</v>
      </c>
      <c r="F65">
        <v>78</v>
      </c>
      <c r="G65" t="s">
        <v>60</v>
      </c>
      <c r="H65" t="s">
        <v>70</v>
      </c>
      <c r="I65">
        <v>0</v>
      </c>
      <c r="J65">
        <v>0</v>
      </c>
      <c r="K65" t="s">
        <v>46</v>
      </c>
      <c r="L65" t="s">
        <v>46</v>
      </c>
      <c r="M65" t="s">
        <v>47</v>
      </c>
      <c r="N65" t="s">
        <v>50</v>
      </c>
      <c r="O65" t="s">
        <v>63</v>
      </c>
      <c r="P65">
        <v>29.6</v>
      </c>
      <c r="Q65" t="s">
        <v>50</v>
      </c>
      <c r="R65" t="s">
        <v>47</v>
      </c>
      <c r="S65" t="s">
        <v>46</v>
      </c>
      <c r="T65" t="s">
        <v>47</v>
      </c>
      <c r="U65" t="s">
        <v>47</v>
      </c>
      <c r="V65" t="s">
        <v>117</v>
      </c>
      <c r="W65" t="s">
        <v>46</v>
      </c>
      <c r="X65" t="s">
        <v>47</v>
      </c>
      <c r="Y65" t="s">
        <v>47</v>
      </c>
      <c r="Z65" t="s">
        <v>47</v>
      </c>
      <c r="AA65" t="s">
        <v>46</v>
      </c>
      <c r="AB65" t="s">
        <v>47</v>
      </c>
      <c r="AC65" t="s">
        <v>47</v>
      </c>
      <c r="AD65" t="s">
        <v>47</v>
      </c>
      <c r="AE65" t="s">
        <v>47</v>
      </c>
      <c r="AF65" t="s">
        <v>47</v>
      </c>
      <c r="AG65" t="s">
        <v>52</v>
      </c>
      <c r="AH65" t="s">
        <v>53</v>
      </c>
      <c r="AI65" t="s">
        <v>65</v>
      </c>
      <c r="AJ65">
        <v>1.9</v>
      </c>
      <c r="AK65" t="s">
        <v>47</v>
      </c>
      <c r="AL65" t="s">
        <v>76</v>
      </c>
      <c r="AM65" t="s">
        <v>82</v>
      </c>
      <c r="AN65">
        <v>52</v>
      </c>
      <c r="AO65" t="s">
        <v>46</v>
      </c>
    </row>
    <row r="66" spans="1:41">
      <c r="A66" t="s">
        <v>195</v>
      </c>
      <c r="B66">
        <v>2017</v>
      </c>
      <c r="C66" s="1">
        <v>42913</v>
      </c>
      <c r="D66" t="s">
        <v>98</v>
      </c>
      <c r="E66" t="s">
        <v>196</v>
      </c>
      <c r="F66">
        <v>39</v>
      </c>
      <c r="G66" t="s">
        <v>44</v>
      </c>
      <c r="H66" t="s">
        <v>70</v>
      </c>
      <c r="I66">
        <v>0</v>
      </c>
      <c r="J66">
        <v>0</v>
      </c>
      <c r="K66" t="s">
        <v>46</v>
      </c>
      <c r="L66" t="s">
        <v>47</v>
      </c>
      <c r="M66" t="s">
        <v>47</v>
      </c>
      <c r="N66" t="s">
        <v>62</v>
      </c>
      <c r="O66" t="s">
        <v>48</v>
      </c>
      <c r="P66">
        <v>25.1</v>
      </c>
      <c r="Q66" t="s">
        <v>62</v>
      </c>
      <c r="R66" t="s">
        <v>47</v>
      </c>
      <c r="S66" t="s">
        <v>47</v>
      </c>
      <c r="T66" t="s">
        <v>47</v>
      </c>
      <c r="U66" t="s">
        <v>47</v>
      </c>
      <c r="V66" t="s">
        <v>92</v>
      </c>
      <c r="W66" t="s">
        <v>46</v>
      </c>
      <c r="X66" t="s">
        <v>47</v>
      </c>
      <c r="Y66" t="s">
        <v>46</v>
      </c>
      <c r="Z66" t="s">
        <v>47</v>
      </c>
      <c r="AA66" t="s">
        <v>46</v>
      </c>
      <c r="AB66" t="s">
        <v>47</v>
      </c>
      <c r="AC66" t="s">
        <v>47</v>
      </c>
      <c r="AD66" t="s">
        <v>47</v>
      </c>
      <c r="AE66" t="s">
        <v>47</v>
      </c>
      <c r="AF66" t="s">
        <v>47</v>
      </c>
      <c r="AG66" t="s">
        <v>52</v>
      </c>
      <c r="AH66" t="s">
        <v>53</v>
      </c>
      <c r="AI66" t="s">
        <v>65</v>
      </c>
      <c r="AJ66">
        <v>2.6</v>
      </c>
      <c r="AK66" t="s">
        <v>47</v>
      </c>
      <c r="AL66" t="s">
        <v>72</v>
      </c>
      <c r="AM66" t="s">
        <v>82</v>
      </c>
      <c r="AN66">
        <v>24</v>
      </c>
      <c r="AO66" t="s">
        <v>46</v>
      </c>
    </row>
    <row r="67" spans="1:41">
      <c r="A67" t="s">
        <v>197</v>
      </c>
      <c r="B67">
        <v>2020</v>
      </c>
      <c r="C67" s="1">
        <v>43923</v>
      </c>
      <c r="D67" t="s">
        <v>84</v>
      </c>
      <c r="E67" t="s">
        <v>126</v>
      </c>
      <c r="F67">
        <v>65</v>
      </c>
      <c r="G67" t="s">
        <v>60</v>
      </c>
      <c r="H67" t="s">
        <v>70</v>
      </c>
      <c r="I67">
        <v>0</v>
      </c>
      <c r="J67">
        <v>0</v>
      </c>
      <c r="K67" t="s">
        <v>47</v>
      </c>
      <c r="L67" t="s">
        <v>46</v>
      </c>
      <c r="M67" t="s">
        <v>47</v>
      </c>
      <c r="N67" t="s">
        <v>50</v>
      </c>
      <c r="O67" t="s">
        <v>48</v>
      </c>
      <c r="P67">
        <v>30.1</v>
      </c>
      <c r="Q67" t="s">
        <v>48</v>
      </c>
      <c r="R67" t="s">
        <v>47</v>
      </c>
      <c r="S67" t="s">
        <v>47</v>
      </c>
      <c r="T67" t="s">
        <v>47</v>
      </c>
      <c r="U67" t="s">
        <v>47</v>
      </c>
      <c r="V67" t="s">
        <v>151</v>
      </c>
      <c r="W67" t="s">
        <v>47</v>
      </c>
      <c r="X67" t="s">
        <v>46</v>
      </c>
      <c r="Y67" t="s">
        <v>47</v>
      </c>
      <c r="Z67" t="s">
        <v>46</v>
      </c>
      <c r="AA67" t="s">
        <v>47</v>
      </c>
      <c r="AB67" t="s">
        <v>47</v>
      </c>
      <c r="AC67" t="s">
        <v>47</v>
      </c>
      <c r="AD67" t="s">
        <v>47</v>
      </c>
      <c r="AE67" t="s">
        <v>46</v>
      </c>
      <c r="AF67" t="s">
        <v>47</v>
      </c>
      <c r="AG67" t="s">
        <v>121</v>
      </c>
      <c r="AH67" t="s">
        <v>122</v>
      </c>
      <c r="AI67" t="s">
        <v>87</v>
      </c>
      <c r="AJ67">
        <v>3</v>
      </c>
      <c r="AK67" t="s">
        <v>47</v>
      </c>
      <c r="AL67" t="s">
        <v>156</v>
      </c>
      <c r="AM67" t="s">
        <v>77</v>
      </c>
      <c r="AN67">
        <v>15</v>
      </c>
      <c r="AO67" t="s">
        <v>46</v>
      </c>
    </row>
    <row r="68" spans="1:41">
      <c r="A68" t="s">
        <v>198</v>
      </c>
      <c r="B68">
        <v>2020</v>
      </c>
      <c r="C68" s="1">
        <v>44107</v>
      </c>
      <c r="D68" t="s">
        <v>95</v>
      </c>
      <c r="E68" t="s">
        <v>120</v>
      </c>
      <c r="F68">
        <v>73</v>
      </c>
      <c r="G68" t="s">
        <v>60</v>
      </c>
      <c r="H68" t="s">
        <v>70</v>
      </c>
      <c r="I68">
        <v>0</v>
      </c>
      <c r="J68">
        <v>0</v>
      </c>
      <c r="K68" t="s">
        <v>46</v>
      </c>
      <c r="L68" t="s">
        <v>47</v>
      </c>
      <c r="M68" t="s">
        <v>47</v>
      </c>
      <c r="N68" t="s">
        <v>48</v>
      </c>
      <c r="O68" t="s">
        <v>63</v>
      </c>
      <c r="P68">
        <v>27.4</v>
      </c>
      <c r="Q68" t="s">
        <v>50</v>
      </c>
      <c r="R68" t="s">
        <v>47</v>
      </c>
      <c r="S68" t="s">
        <v>47</v>
      </c>
      <c r="T68" t="s">
        <v>47</v>
      </c>
      <c r="U68" t="s">
        <v>47</v>
      </c>
      <c r="V68" t="s">
        <v>51</v>
      </c>
      <c r="W68" t="s">
        <v>46</v>
      </c>
      <c r="X68" t="s">
        <v>47</v>
      </c>
      <c r="Y68" t="s">
        <v>47</v>
      </c>
      <c r="Z68" t="s">
        <v>47</v>
      </c>
      <c r="AA68" t="s">
        <v>46</v>
      </c>
      <c r="AB68" t="s">
        <v>47</v>
      </c>
      <c r="AC68" t="s">
        <v>46</v>
      </c>
      <c r="AD68" t="s">
        <v>47</v>
      </c>
      <c r="AE68" t="s">
        <v>47</v>
      </c>
      <c r="AF68" t="s">
        <v>47</v>
      </c>
      <c r="AG68" t="s">
        <v>52</v>
      </c>
      <c r="AH68" t="s">
        <v>53</v>
      </c>
      <c r="AI68" t="s">
        <v>65</v>
      </c>
      <c r="AJ68">
        <v>1.5</v>
      </c>
      <c r="AK68" t="s">
        <v>46</v>
      </c>
      <c r="AL68" t="s">
        <v>76</v>
      </c>
      <c r="AM68" t="s">
        <v>67</v>
      </c>
      <c r="AN68">
        <v>43</v>
      </c>
      <c r="AO68" t="s">
        <v>47</v>
      </c>
    </row>
    <row r="69" spans="1:41">
      <c r="A69" t="s">
        <v>199</v>
      </c>
      <c r="B69">
        <v>2025</v>
      </c>
      <c r="C69" s="1">
        <v>46007</v>
      </c>
      <c r="D69" t="s">
        <v>84</v>
      </c>
      <c r="E69" t="s">
        <v>85</v>
      </c>
      <c r="F69">
        <v>65</v>
      </c>
      <c r="G69" t="s">
        <v>44</v>
      </c>
      <c r="H69" t="s">
        <v>70</v>
      </c>
      <c r="I69">
        <v>0</v>
      </c>
      <c r="J69">
        <v>0</v>
      </c>
      <c r="K69" t="s">
        <v>46</v>
      </c>
      <c r="L69" t="s">
        <v>47</v>
      </c>
      <c r="M69" t="s">
        <v>47</v>
      </c>
      <c r="N69" t="s">
        <v>62</v>
      </c>
      <c r="O69" t="s">
        <v>48</v>
      </c>
      <c r="P69">
        <v>28.6</v>
      </c>
      <c r="Q69" t="s">
        <v>62</v>
      </c>
      <c r="R69" t="s">
        <v>47</v>
      </c>
      <c r="S69" t="s">
        <v>47</v>
      </c>
      <c r="T69" t="s">
        <v>47</v>
      </c>
      <c r="U69" t="s">
        <v>47</v>
      </c>
      <c r="V69" t="s">
        <v>92</v>
      </c>
      <c r="W69" t="s">
        <v>47</v>
      </c>
      <c r="X69" t="s">
        <v>46</v>
      </c>
      <c r="Y69" t="s">
        <v>47</v>
      </c>
      <c r="Z69" t="s">
        <v>46</v>
      </c>
      <c r="AA69" t="s">
        <v>47</v>
      </c>
      <c r="AB69" t="s">
        <v>47</v>
      </c>
      <c r="AC69" t="s">
        <v>46</v>
      </c>
      <c r="AD69" t="s">
        <v>47</v>
      </c>
      <c r="AE69" t="s">
        <v>47</v>
      </c>
      <c r="AF69" t="s">
        <v>47</v>
      </c>
      <c r="AG69" t="s">
        <v>52</v>
      </c>
      <c r="AH69" t="s">
        <v>53</v>
      </c>
      <c r="AI69" t="s">
        <v>80</v>
      </c>
      <c r="AJ69">
        <v>4.4000000000000004</v>
      </c>
      <c r="AK69" t="s">
        <v>47</v>
      </c>
      <c r="AL69" t="s">
        <v>81</v>
      </c>
      <c r="AM69" t="s">
        <v>77</v>
      </c>
      <c r="AN69">
        <v>16</v>
      </c>
      <c r="AO69" t="s">
        <v>47</v>
      </c>
    </row>
    <row r="70" spans="1:41">
      <c r="A70" t="s">
        <v>200</v>
      </c>
      <c r="B70">
        <v>2019</v>
      </c>
      <c r="C70" s="1">
        <v>43733</v>
      </c>
      <c r="D70" t="s">
        <v>42</v>
      </c>
      <c r="E70" t="s">
        <v>166</v>
      </c>
      <c r="F70">
        <v>66</v>
      </c>
      <c r="G70" t="s">
        <v>44</v>
      </c>
      <c r="H70" t="s">
        <v>70</v>
      </c>
      <c r="I70">
        <v>0</v>
      </c>
      <c r="J70">
        <v>0</v>
      </c>
      <c r="K70" t="s">
        <v>46</v>
      </c>
      <c r="L70" t="s">
        <v>46</v>
      </c>
      <c r="M70" t="s">
        <v>47</v>
      </c>
      <c r="N70" t="s">
        <v>62</v>
      </c>
      <c r="O70" t="s">
        <v>48</v>
      </c>
      <c r="P70">
        <v>25.7</v>
      </c>
      <c r="Q70" t="s">
        <v>50</v>
      </c>
      <c r="R70" t="s">
        <v>47</v>
      </c>
      <c r="S70" t="s">
        <v>47</v>
      </c>
      <c r="T70" t="s">
        <v>47</v>
      </c>
      <c r="U70" t="s">
        <v>47</v>
      </c>
      <c r="V70" t="s">
        <v>64</v>
      </c>
      <c r="W70" t="s">
        <v>47</v>
      </c>
      <c r="X70" t="s">
        <v>47</v>
      </c>
      <c r="Y70" t="s">
        <v>46</v>
      </c>
      <c r="Z70" t="s">
        <v>47</v>
      </c>
      <c r="AA70" t="s">
        <v>46</v>
      </c>
      <c r="AB70" t="s">
        <v>47</v>
      </c>
      <c r="AC70" t="s">
        <v>47</v>
      </c>
      <c r="AD70" t="s">
        <v>47</v>
      </c>
      <c r="AE70" t="s">
        <v>47</v>
      </c>
      <c r="AF70" t="s">
        <v>47</v>
      </c>
      <c r="AG70" t="s">
        <v>52</v>
      </c>
      <c r="AH70" t="s">
        <v>71</v>
      </c>
      <c r="AI70" t="s">
        <v>65</v>
      </c>
      <c r="AJ70">
        <v>1.2</v>
      </c>
      <c r="AK70" t="s">
        <v>47</v>
      </c>
      <c r="AL70" t="s">
        <v>76</v>
      </c>
      <c r="AM70" t="s">
        <v>73</v>
      </c>
      <c r="AN70">
        <v>66</v>
      </c>
      <c r="AO70" t="s">
        <v>46</v>
      </c>
    </row>
    <row r="71" spans="1:41">
      <c r="A71" t="s">
        <v>201</v>
      </c>
      <c r="B71">
        <v>2019</v>
      </c>
      <c r="C71" s="1">
        <v>43546</v>
      </c>
      <c r="D71" t="s">
        <v>98</v>
      </c>
      <c r="E71" t="s">
        <v>202</v>
      </c>
      <c r="F71">
        <v>59</v>
      </c>
      <c r="G71" t="s">
        <v>60</v>
      </c>
      <c r="H71" t="s">
        <v>70</v>
      </c>
      <c r="I71">
        <v>0</v>
      </c>
      <c r="J71">
        <v>0</v>
      </c>
      <c r="K71" t="s">
        <v>46</v>
      </c>
      <c r="L71" t="s">
        <v>46</v>
      </c>
      <c r="M71" t="s">
        <v>47</v>
      </c>
      <c r="N71" t="s">
        <v>48</v>
      </c>
      <c r="O71" t="s">
        <v>49</v>
      </c>
      <c r="P71">
        <v>27.1</v>
      </c>
      <c r="Q71" t="s">
        <v>50</v>
      </c>
      <c r="R71" t="s">
        <v>47</v>
      </c>
      <c r="S71" t="s">
        <v>47</v>
      </c>
      <c r="T71" t="s">
        <v>47</v>
      </c>
      <c r="U71" t="s">
        <v>47</v>
      </c>
      <c r="V71" t="s">
        <v>51</v>
      </c>
      <c r="W71" t="s">
        <v>47</v>
      </c>
      <c r="X71" t="s">
        <v>47</v>
      </c>
      <c r="Y71" t="s">
        <v>47</v>
      </c>
      <c r="Z71" t="s">
        <v>47</v>
      </c>
      <c r="AA71" t="s">
        <v>46</v>
      </c>
      <c r="AB71" t="s">
        <v>47</v>
      </c>
      <c r="AC71" t="s">
        <v>47</v>
      </c>
      <c r="AD71" t="s">
        <v>47</v>
      </c>
      <c r="AE71" t="s">
        <v>47</v>
      </c>
      <c r="AF71" t="s">
        <v>47</v>
      </c>
      <c r="AG71" t="s">
        <v>52</v>
      </c>
      <c r="AH71" t="s">
        <v>53</v>
      </c>
      <c r="AI71" t="s">
        <v>80</v>
      </c>
      <c r="AJ71">
        <v>7.1</v>
      </c>
      <c r="AK71" t="s">
        <v>47</v>
      </c>
      <c r="AL71" t="s">
        <v>66</v>
      </c>
      <c r="AM71" t="s">
        <v>103</v>
      </c>
      <c r="AN71">
        <v>9</v>
      </c>
      <c r="AO71" t="s">
        <v>46</v>
      </c>
    </row>
    <row r="72" spans="1:41">
      <c r="A72" t="s">
        <v>203</v>
      </c>
      <c r="B72">
        <v>2023</v>
      </c>
      <c r="C72" s="1">
        <v>45175</v>
      </c>
      <c r="D72" t="s">
        <v>98</v>
      </c>
      <c r="E72" t="s">
        <v>196</v>
      </c>
      <c r="F72">
        <v>63</v>
      </c>
      <c r="G72" t="s">
        <v>60</v>
      </c>
      <c r="H72" t="s">
        <v>70</v>
      </c>
      <c r="I72">
        <v>0</v>
      </c>
      <c r="J72">
        <v>0</v>
      </c>
      <c r="K72" t="s">
        <v>46</v>
      </c>
      <c r="L72" t="s">
        <v>46</v>
      </c>
      <c r="M72" t="s">
        <v>47</v>
      </c>
      <c r="N72" t="s">
        <v>48</v>
      </c>
      <c r="O72" t="s">
        <v>49</v>
      </c>
      <c r="P72">
        <v>28.9</v>
      </c>
      <c r="Q72" t="s">
        <v>62</v>
      </c>
      <c r="R72" t="s">
        <v>47</v>
      </c>
      <c r="S72" t="s">
        <v>47</v>
      </c>
      <c r="T72" t="s">
        <v>47</v>
      </c>
      <c r="U72" t="s">
        <v>47</v>
      </c>
      <c r="V72" t="s">
        <v>51</v>
      </c>
      <c r="W72" t="s">
        <v>47</v>
      </c>
      <c r="X72" t="s">
        <v>47</v>
      </c>
      <c r="Y72" t="s">
        <v>46</v>
      </c>
      <c r="Z72" t="s">
        <v>47</v>
      </c>
      <c r="AA72" t="s">
        <v>46</v>
      </c>
      <c r="AB72" t="s">
        <v>47</v>
      </c>
      <c r="AC72" t="s">
        <v>46</v>
      </c>
      <c r="AD72" t="s">
        <v>47</v>
      </c>
      <c r="AE72" t="s">
        <v>47</v>
      </c>
      <c r="AF72" t="s">
        <v>47</v>
      </c>
      <c r="AG72" t="s">
        <v>52</v>
      </c>
      <c r="AH72" t="s">
        <v>53</v>
      </c>
      <c r="AI72" t="s">
        <v>80</v>
      </c>
      <c r="AJ72">
        <v>3.4</v>
      </c>
      <c r="AK72" t="s">
        <v>46</v>
      </c>
      <c r="AL72" t="s">
        <v>76</v>
      </c>
      <c r="AM72" t="s">
        <v>67</v>
      </c>
      <c r="AN72">
        <v>10</v>
      </c>
      <c r="AO72" t="s">
        <v>46</v>
      </c>
    </row>
    <row r="73" spans="1:41">
      <c r="A73" t="s">
        <v>204</v>
      </c>
      <c r="B73">
        <v>2021</v>
      </c>
      <c r="C73" s="1">
        <v>44467</v>
      </c>
      <c r="D73" t="s">
        <v>110</v>
      </c>
      <c r="E73" t="s">
        <v>124</v>
      </c>
      <c r="F73">
        <v>55</v>
      </c>
      <c r="G73" t="s">
        <v>44</v>
      </c>
      <c r="H73" t="s">
        <v>70</v>
      </c>
      <c r="I73">
        <v>0</v>
      </c>
      <c r="J73">
        <v>0</v>
      </c>
      <c r="K73" t="s">
        <v>46</v>
      </c>
      <c r="L73" t="s">
        <v>47</v>
      </c>
      <c r="M73" t="s">
        <v>47</v>
      </c>
      <c r="N73" t="s">
        <v>50</v>
      </c>
      <c r="O73" t="s">
        <v>48</v>
      </c>
      <c r="P73">
        <v>22.5</v>
      </c>
      <c r="Q73" t="s">
        <v>62</v>
      </c>
      <c r="R73" t="s">
        <v>47</v>
      </c>
      <c r="S73" t="s">
        <v>47</v>
      </c>
      <c r="T73" t="s">
        <v>47</v>
      </c>
      <c r="U73" t="s">
        <v>47</v>
      </c>
      <c r="V73" t="s">
        <v>51</v>
      </c>
      <c r="W73" t="s">
        <v>47</v>
      </c>
      <c r="X73" t="s">
        <v>47</v>
      </c>
      <c r="Y73" t="s">
        <v>46</v>
      </c>
      <c r="Z73" t="s">
        <v>46</v>
      </c>
      <c r="AA73" t="s">
        <v>47</v>
      </c>
      <c r="AB73" t="s">
        <v>47</v>
      </c>
      <c r="AC73" t="s">
        <v>46</v>
      </c>
      <c r="AD73" t="s">
        <v>46</v>
      </c>
      <c r="AE73" t="s">
        <v>46</v>
      </c>
      <c r="AF73" t="s">
        <v>47</v>
      </c>
      <c r="AG73" t="s">
        <v>52</v>
      </c>
      <c r="AH73" t="s">
        <v>53</v>
      </c>
      <c r="AI73" t="s">
        <v>65</v>
      </c>
      <c r="AJ73">
        <v>0.9</v>
      </c>
      <c r="AK73" t="s">
        <v>47</v>
      </c>
      <c r="AL73" t="s">
        <v>76</v>
      </c>
      <c r="AM73" t="s">
        <v>73</v>
      </c>
      <c r="AN73">
        <v>77</v>
      </c>
      <c r="AO73" t="s">
        <v>47</v>
      </c>
    </row>
    <row r="74" spans="1:41">
      <c r="A74" t="s">
        <v>205</v>
      </c>
      <c r="B74">
        <v>2015</v>
      </c>
      <c r="C74" s="1">
        <v>42192</v>
      </c>
      <c r="D74" t="s">
        <v>42</v>
      </c>
      <c r="E74" t="s">
        <v>75</v>
      </c>
      <c r="F74">
        <v>55</v>
      </c>
      <c r="G74" t="s">
        <v>44</v>
      </c>
      <c r="H74" t="s">
        <v>70</v>
      </c>
      <c r="I74">
        <v>0</v>
      </c>
      <c r="J74">
        <v>0</v>
      </c>
      <c r="K74" t="s">
        <v>46</v>
      </c>
      <c r="L74" t="s">
        <v>46</v>
      </c>
      <c r="M74" t="s">
        <v>47</v>
      </c>
      <c r="N74" t="s">
        <v>48</v>
      </c>
      <c r="O74" t="s">
        <v>48</v>
      </c>
      <c r="P74">
        <v>32.5</v>
      </c>
      <c r="Q74" t="s">
        <v>48</v>
      </c>
      <c r="R74" t="s">
        <v>47</v>
      </c>
      <c r="S74" t="s">
        <v>47</v>
      </c>
      <c r="T74" t="s">
        <v>47</v>
      </c>
      <c r="U74" t="s">
        <v>47</v>
      </c>
      <c r="V74" t="s">
        <v>51</v>
      </c>
      <c r="W74" t="s">
        <v>47</v>
      </c>
      <c r="X74" t="s">
        <v>47</v>
      </c>
      <c r="Y74" t="s">
        <v>47</v>
      </c>
      <c r="Z74" t="s">
        <v>46</v>
      </c>
      <c r="AA74" t="s">
        <v>46</v>
      </c>
      <c r="AB74" t="s">
        <v>46</v>
      </c>
      <c r="AC74" t="s">
        <v>46</v>
      </c>
      <c r="AD74" t="s">
        <v>46</v>
      </c>
      <c r="AE74" t="s">
        <v>47</v>
      </c>
      <c r="AF74" t="s">
        <v>47</v>
      </c>
      <c r="AG74" t="s">
        <v>52</v>
      </c>
      <c r="AH74" t="s">
        <v>53</v>
      </c>
      <c r="AI74" t="s">
        <v>80</v>
      </c>
      <c r="AJ74">
        <v>6.8</v>
      </c>
      <c r="AK74" t="s">
        <v>47</v>
      </c>
      <c r="AL74" t="s">
        <v>66</v>
      </c>
      <c r="AM74" t="s">
        <v>56</v>
      </c>
      <c r="AN74">
        <v>8</v>
      </c>
      <c r="AO74" t="s">
        <v>47</v>
      </c>
    </row>
    <row r="75" spans="1:41">
      <c r="A75" t="s">
        <v>206</v>
      </c>
      <c r="B75">
        <v>2019</v>
      </c>
      <c r="C75" s="1">
        <v>43822</v>
      </c>
      <c r="D75" t="s">
        <v>95</v>
      </c>
      <c r="E75" t="s">
        <v>132</v>
      </c>
      <c r="F75">
        <v>54</v>
      </c>
      <c r="G75" t="s">
        <v>44</v>
      </c>
      <c r="H75" t="s">
        <v>45</v>
      </c>
      <c r="I75">
        <v>26</v>
      </c>
      <c r="J75">
        <v>15</v>
      </c>
      <c r="K75" t="s">
        <v>47</v>
      </c>
      <c r="L75" t="s">
        <v>47</v>
      </c>
      <c r="M75" t="s">
        <v>47</v>
      </c>
      <c r="N75" t="s">
        <v>48</v>
      </c>
      <c r="O75" t="s">
        <v>48</v>
      </c>
      <c r="P75">
        <v>25.9</v>
      </c>
      <c r="Q75" t="s">
        <v>50</v>
      </c>
      <c r="R75" t="s">
        <v>46</v>
      </c>
      <c r="S75" t="s">
        <v>47</v>
      </c>
      <c r="T75" t="s">
        <v>47</v>
      </c>
      <c r="U75" t="s">
        <v>47</v>
      </c>
      <c r="V75" t="s">
        <v>151</v>
      </c>
      <c r="W75" t="s">
        <v>46</v>
      </c>
      <c r="X75" t="s">
        <v>46</v>
      </c>
      <c r="Y75" t="s">
        <v>46</v>
      </c>
      <c r="Z75" t="s">
        <v>46</v>
      </c>
      <c r="AA75" t="s">
        <v>46</v>
      </c>
      <c r="AB75" t="s">
        <v>47</v>
      </c>
      <c r="AC75" t="s">
        <v>47</v>
      </c>
      <c r="AD75" t="s">
        <v>47</v>
      </c>
      <c r="AE75" t="s">
        <v>47</v>
      </c>
      <c r="AF75" t="s">
        <v>47</v>
      </c>
      <c r="AG75" t="s">
        <v>121</v>
      </c>
      <c r="AH75" t="s">
        <v>122</v>
      </c>
      <c r="AI75" t="s">
        <v>87</v>
      </c>
      <c r="AJ75">
        <v>4.5999999999999996</v>
      </c>
      <c r="AK75" t="s">
        <v>47</v>
      </c>
      <c r="AL75" t="s">
        <v>72</v>
      </c>
      <c r="AM75" t="s">
        <v>82</v>
      </c>
      <c r="AN75">
        <v>13</v>
      </c>
      <c r="AO75" t="s">
        <v>46</v>
      </c>
    </row>
    <row r="76" spans="1:41">
      <c r="A76" t="s">
        <v>207</v>
      </c>
      <c r="B76">
        <v>2016</v>
      </c>
      <c r="C76" s="1">
        <v>42714</v>
      </c>
      <c r="D76" t="s">
        <v>84</v>
      </c>
      <c r="E76" t="s">
        <v>102</v>
      </c>
      <c r="F76">
        <v>63</v>
      </c>
      <c r="G76" t="s">
        <v>44</v>
      </c>
      <c r="H76" t="s">
        <v>70</v>
      </c>
      <c r="I76">
        <v>0</v>
      </c>
      <c r="J76">
        <v>0</v>
      </c>
      <c r="K76" t="s">
        <v>47</v>
      </c>
      <c r="L76" t="s">
        <v>47</v>
      </c>
      <c r="M76" t="s">
        <v>47</v>
      </c>
      <c r="N76" t="s">
        <v>62</v>
      </c>
      <c r="O76" t="s">
        <v>48</v>
      </c>
      <c r="P76">
        <v>24.2</v>
      </c>
      <c r="Q76" t="s">
        <v>50</v>
      </c>
      <c r="R76" t="s">
        <v>47</v>
      </c>
      <c r="S76" t="s">
        <v>47</v>
      </c>
      <c r="T76" t="s">
        <v>47</v>
      </c>
      <c r="U76" t="s">
        <v>47</v>
      </c>
      <c r="V76" t="s">
        <v>51</v>
      </c>
      <c r="W76" t="s">
        <v>46</v>
      </c>
      <c r="X76" t="s">
        <v>47</v>
      </c>
      <c r="Y76" t="s">
        <v>47</v>
      </c>
      <c r="Z76" t="s">
        <v>47</v>
      </c>
      <c r="AA76" t="s">
        <v>46</v>
      </c>
      <c r="AB76" t="s">
        <v>46</v>
      </c>
      <c r="AC76" t="s">
        <v>47</v>
      </c>
      <c r="AD76" t="s">
        <v>47</v>
      </c>
      <c r="AE76" t="s">
        <v>47</v>
      </c>
      <c r="AF76" t="s">
        <v>47</v>
      </c>
      <c r="AG76" t="s">
        <v>52</v>
      </c>
      <c r="AH76" t="s">
        <v>53</v>
      </c>
      <c r="AI76" t="s">
        <v>54</v>
      </c>
      <c r="AJ76">
        <v>6.9</v>
      </c>
      <c r="AK76" t="s">
        <v>46</v>
      </c>
      <c r="AL76" t="s">
        <v>81</v>
      </c>
      <c r="AM76" t="s">
        <v>77</v>
      </c>
      <c r="AN76">
        <v>5</v>
      </c>
      <c r="AO76" t="s">
        <v>47</v>
      </c>
    </row>
    <row r="77" spans="1:41">
      <c r="A77" t="s">
        <v>208</v>
      </c>
      <c r="B77">
        <v>2023</v>
      </c>
      <c r="C77" s="1">
        <v>45251</v>
      </c>
      <c r="D77" t="s">
        <v>58</v>
      </c>
      <c r="E77" t="s">
        <v>138</v>
      </c>
      <c r="F77">
        <v>70</v>
      </c>
      <c r="G77" t="s">
        <v>60</v>
      </c>
      <c r="H77" t="s">
        <v>70</v>
      </c>
      <c r="I77">
        <v>0</v>
      </c>
      <c r="J77">
        <v>0</v>
      </c>
      <c r="K77" t="s">
        <v>46</v>
      </c>
      <c r="L77" t="s">
        <v>47</v>
      </c>
      <c r="M77" t="s">
        <v>47</v>
      </c>
      <c r="N77" t="s">
        <v>50</v>
      </c>
      <c r="O77" t="s">
        <v>48</v>
      </c>
      <c r="P77">
        <v>25.8</v>
      </c>
      <c r="Q77" t="s">
        <v>62</v>
      </c>
      <c r="R77" t="s">
        <v>47</v>
      </c>
      <c r="S77" t="s">
        <v>47</v>
      </c>
      <c r="T77" t="s">
        <v>47</v>
      </c>
      <c r="U77" t="s">
        <v>47</v>
      </c>
      <c r="V77" t="s">
        <v>117</v>
      </c>
      <c r="W77" t="s">
        <v>47</v>
      </c>
      <c r="X77" t="s">
        <v>47</v>
      </c>
      <c r="Y77" t="s">
        <v>47</v>
      </c>
      <c r="Z77" t="s">
        <v>47</v>
      </c>
      <c r="AA77" t="s">
        <v>46</v>
      </c>
      <c r="AB77" t="s">
        <v>47</v>
      </c>
      <c r="AC77" t="s">
        <v>46</v>
      </c>
      <c r="AD77" t="s">
        <v>47</v>
      </c>
      <c r="AE77" t="s">
        <v>47</v>
      </c>
      <c r="AF77" t="s">
        <v>46</v>
      </c>
      <c r="AG77" t="s">
        <v>52</v>
      </c>
      <c r="AH77" t="s">
        <v>53</v>
      </c>
      <c r="AI77" t="s">
        <v>54</v>
      </c>
      <c r="AJ77">
        <v>11</v>
      </c>
      <c r="AK77" t="s">
        <v>46</v>
      </c>
      <c r="AL77" t="s">
        <v>100</v>
      </c>
      <c r="AM77" t="s">
        <v>103</v>
      </c>
      <c r="AN77">
        <v>1</v>
      </c>
      <c r="AO77" t="s">
        <v>47</v>
      </c>
    </row>
    <row r="78" spans="1:41">
      <c r="A78" t="s">
        <v>209</v>
      </c>
      <c r="B78">
        <v>2021</v>
      </c>
      <c r="C78" s="1">
        <v>44425</v>
      </c>
      <c r="D78" t="s">
        <v>42</v>
      </c>
      <c r="E78" t="s">
        <v>210</v>
      </c>
      <c r="F78">
        <v>70</v>
      </c>
      <c r="G78" t="s">
        <v>60</v>
      </c>
      <c r="H78" t="s">
        <v>70</v>
      </c>
      <c r="I78">
        <v>0</v>
      </c>
      <c r="J78">
        <v>0</v>
      </c>
      <c r="K78" t="s">
        <v>47</v>
      </c>
      <c r="L78" t="s">
        <v>47</v>
      </c>
      <c r="M78" t="s">
        <v>47</v>
      </c>
      <c r="N78" t="s">
        <v>48</v>
      </c>
      <c r="O78" t="s">
        <v>48</v>
      </c>
      <c r="P78">
        <v>25.3</v>
      </c>
      <c r="Q78" t="s">
        <v>50</v>
      </c>
      <c r="R78" t="s">
        <v>47</v>
      </c>
      <c r="S78" t="s">
        <v>47</v>
      </c>
      <c r="T78" t="s">
        <v>47</v>
      </c>
      <c r="U78" t="s">
        <v>47</v>
      </c>
      <c r="V78" t="s">
        <v>86</v>
      </c>
      <c r="W78" t="s">
        <v>46</v>
      </c>
      <c r="X78" t="s">
        <v>46</v>
      </c>
      <c r="Y78" t="s">
        <v>47</v>
      </c>
      <c r="Z78" t="s">
        <v>47</v>
      </c>
      <c r="AA78" t="s">
        <v>46</v>
      </c>
      <c r="AB78" t="s">
        <v>47</v>
      </c>
      <c r="AC78" t="s">
        <v>47</v>
      </c>
      <c r="AD78" t="s">
        <v>47</v>
      </c>
      <c r="AE78" t="s">
        <v>47</v>
      </c>
      <c r="AF78" t="s">
        <v>47</v>
      </c>
      <c r="AG78" t="s">
        <v>52</v>
      </c>
      <c r="AH78" t="s">
        <v>53</v>
      </c>
      <c r="AI78" t="s">
        <v>54</v>
      </c>
      <c r="AJ78">
        <v>6.8</v>
      </c>
      <c r="AK78" t="s">
        <v>46</v>
      </c>
      <c r="AL78" t="s">
        <v>66</v>
      </c>
      <c r="AM78" t="s">
        <v>77</v>
      </c>
      <c r="AN78">
        <v>5</v>
      </c>
      <c r="AO78" t="s">
        <v>47</v>
      </c>
    </row>
    <row r="79" spans="1:41">
      <c r="A79" t="s">
        <v>211</v>
      </c>
      <c r="B79">
        <v>2024</v>
      </c>
      <c r="C79" s="1">
        <v>45330</v>
      </c>
      <c r="D79" t="s">
        <v>98</v>
      </c>
      <c r="E79" t="s">
        <v>212</v>
      </c>
      <c r="F79">
        <v>56</v>
      </c>
      <c r="G79" t="s">
        <v>60</v>
      </c>
      <c r="H79" t="s">
        <v>70</v>
      </c>
      <c r="I79">
        <v>0</v>
      </c>
      <c r="J79">
        <v>0</v>
      </c>
      <c r="K79" t="s">
        <v>46</v>
      </c>
      <c r="L79" t="s">
        <v>47</v>
      </c>
      <c r="M79" t="s">
        <v>47</v>
      </c>
      <c r="N79" t="s">
        <v>48</v>
      </c>
      <c r="O79" t="s">
        <v>49</v>
      </c>
      <c r="P79">
        <v>26.6</v>
      </c>
      <c r="Q79" t="s">
        <v>48</v>
      </c>
      <c r="R79" t="s">
        <v>47</v>
      </c>
      <c r="S79" t="s">
        <v>47</v>
      </c>
      <c r="T79" t="s">
        <v>47</v>
      </c>
      <c r="U79" t="s">
        <v>47</v>
      </c>
      <c r="V79" t="s">
        <v>51</v>
      </c>
      <c r="W79" t="s">
        <v>47</v>
      </c>
      <c r="X79" t="s">
        <v>46</v>
      </c>
      <c r="Y79" t="s">
        <v>47</v>
      </c>
      <c r="Z79" t="s">
        <v>47</v>
      </c>
      <c r="AA79" t="s">
        <v>47</v>
      </c>
      <c r="AB79" t="s">
        <v>46</v>
      </c>
      <c r="AC79" t="s">
        <v>47</v>
      </c>
      <c r="AD79" t="s">
        <v>47</v>
      </c>
      <c r="AE79" t="s">
        <v>47</v>
      </c>
      <c r="AF79" t="s">
        <v>47</v>
      </c>
      <c r="AG79" t="s">
        <v>52</v>
      </c>
      <c r="AH79" t="s">
        <v>53</v>
      </c>
      <c r="AI79" t="s">
        <v>87</v>
      </c>
      <c r="AJ79">
        <v>4.5</v>
      </c>
      <c r="AK79" t="s">
        <v>47</v>
      </c>
      <c r="AL79" t="s">
        <v>66</v>
      </c>
      <c r="AM79" t="s">
        <v>67</v>
      </c>
      <c r="AN79">
        <v>61</v>
      </c>
      <c r="AO79" t="s">
        <v>46</v>
      </c>
    </row>
    <row r="80" spans="1:41">
      <c r="A80" t="s">
        <v>213</v>
      </c>
      <c r="B80">
        <v>2022</v>
      </c>
      <c r="C80" s="1">
        <v>44603</v>
      </c>
      <c r="D80" t="s">
        <v>42</v>
      </c>
      <c r="E80" t="s">
        <v>43</v>
      </c>
      <c r="F80">
        <v>69</v>
      </c>
      <c r="G80" t="s">
        <v>60</v>
      </c>
      <c r="H80" t="s">
        <v>45</v>
      </c>
      <c r="I80">
        <v>9</v>
      </c>
      <c r="J80">
        <v>38</v>
      </c>
      <c r="K80" t="s">
        <v>46</v>
      </c>
      <c r="L80" t="s">
        <v>47</v>
      </c>
      <c r="M80" t="s">
        <v>47</v>
      </c>
      <c r="N80" t="s">
        <v>48</v>
      </c>
      <c r="O80" t="s">
        <v>63</v>
      </c>
      <c r="P80">
        <v>29.7</v>
      </c>
      <c r="Q80" t="s">
        <v>62</v>
      </c>
      <c r="R80" t="s">
        <v>47</v>
      </c>
      <c r="S80" t="s">
        <v>47</v>
      </c>
      <c r="T80" t="s">
        <v>47</v>
      </c>
      <c r="U80" t="s">
        <v>47</v>
      </c>
      <c r="V80" t="s">
        <v>51</v>
      </c>
      <c r="W80" t="s">
        <v>46</v>
      </c>
      <c r="X80" t="s">
        <v>47</v>
      </c>
      <c r="Y80" t="s">
        <v>46</v>
      </c>
      <c r="Z80" t="s">
        <v>47</v>
      </c>
      <c r="AA80" t="s">
        <v>46</v>
      </c>
      <c r="AB80" t="s">
        <v>46</v>
      </c>
      <c r="AC80" t="s">
        <v>46</v>
      </c>
      <c r="AD80" t="s">
        <v>47</v>
      </c>
      <c r="AE80" t="s">
        <v>47</v>
      </c>
      <c r="AF80" t="s">
        <v>47</v>
      </c>
      <c r="AG80" t="s">
        <v>52</v>
      </c>
      <c r="AH80" t="s">
        <v>71</v>
      </c>
      <c r="AI80" t="s">
        <v>54</v>
      </c>
      <c r="AJ80">
        <v>5.9</v>
      </c>
      <c r="AK80" t="s">
        <v>46</v>
      </c>
      <c r="AL80" t="s">
        <v>100</v>
      </c>
      <c r="AM80" t="s">
        <v>82</v>
      </c>
      <c r="AN80">
        <v>10</v>
      </c>
      <c r="AO80" t="s">
        <v>47</v>
      </c>
    </row>
    <row r="81" spans="1:41">
      <c r="A81" t="s">
        <v>214</v>
      </c>
      <c r="B81">
        <v>2020</v>
      </c>
      <c r="C81" s="1">
        <v>44122</v>
      </c>
      <c r="D81" t="s">
        <v>98</v>
      </c>
      <c r="E81" t="s">
        <v>212</v>
      </c>
      <c r="F81">
        <v>57</v>
      </c>
      <c r="G81" t="s">
        <v>44</v>
      </c>
      <c r="H81" t="s">
        <v>70</v>
      </c>
      <c r="I81">
        <v>0</v>
      </c>
      <c r="J81">
        <v>0</v>
      </c>
      <c r="K81" t="s">
        <v>47</v>
      </c>
      <c r="L81" t="s">
        <v>47</v>
      </c>
      <c r="M81" t="s">
        <v>47</v>
      </c>
      <c r="N81" t="s">
        <v>62</v>
      </c>
      <c r="O81" t="s">
        <v>49</v>
      </c>
      <c r="P81">
        <v>28.3</v>
      </c>
      <c r="Q81" t="s">
        <v>48</v>
      </c>
      <c r="R81" t="s">
        <v>47</v>
      </c>
      <c r="S81" t="s">
        <v>47</v>
      </c>
      <c r="T81" t="s">
        <v>47</v>
      </c>
      <c r="U81" t="s">
        <v>47</v>
      </c>
      <c r="V81" t="s">
        <v>151</v>
      </c>
      <c r="W81" t="s">
        <v>47</v>
      </c>
      <c r="X81" t="s">
        <v>46</v>
      </c>
      <c r="Y81" t="s">
        <v>47</v>
      </c>
      <c r="Z81" t="s">
        <v>47</v>
      </c>
      <c r="AA81" t="s">
        <v>46</v>
      </c>
      <c r="AB81" t="s">
        <v>47</v>
      </c>
      <c r="AC81" t="s">
        <v>47</v>
      </c>
      <c r="AD81" t="s">
        <v>47</v>
      </c>
      <c r="AE81" t="s">
        <v>47</v>
      </c>
      <c r="AF81" t="s">
        <v>47</v>
      </c>
      <c r="AG81" t="s">
        <v>52</v>
      </c>
      <c r="AH81" t="s">
        <v>53</v>
      </c>
      <c r="AI81" t="s">
        <v>54</v>
      </c>
      <c r="AJ81">
        <v>7.3</v>
      </c>
      <c r="AK81" t="s">
        <v>46</v>
      </c>
      <c r="AL81" t="s">
        <v>156</v>
      </c>
      <c r="AM81" t="s">
        <v>77</v>
      </c>
      <c r="AN81">
        <v>6</v>
      </c>
      <c r="AO81" t="s">
        <v>47</v>
      </c>
    </row>
    <row r="82" spans="1:41">
      <c r="A82" t="s">
        <v>215</v>
      </c>
      <c r="B82">
        <v>2019</v>
      </c>
      <c r="C82" s="1">
        <v>43746</v>
      </c>
      <c r="D82" t="s">
        <v>110</v>
      </c>
      <c r="E82" t="s">
        <v>177</v>
      </c>
      <c r="F82">
        <v>47</v>
      </c>
      <c r="G82" t="s">
        <v>60</v>
      </c>
      <c r="H82" t="s">
        <v>70</v>
      </c>
      <c r="I82">
        <v>0</v>
      </c>
      <c r="J82">
        <v>0</v>
      </c>
      <c r="K82" t="s">
        <v>46</v>
      </c>
      <c r="L82" t="s">
        <v>46</v>
      </c>
      <c r="M82" t="s">
        <v>47</v>
      </c>
      <c r="N82" t="s">
        <v>48</v>
      </c>
      <c r="O82" t="s">
        <v>48</v>
      </c>
      <c r="P82">
        <v>31</v>
      </c>
      <c r="Q82" t="s">
        <v>48</v>
      </c>
      <c r="R82" t="s">
        <v>47</v>
      </c>
      <c r="S82" t="s">
        <v>47</v>
      </c>
      <c r="T82" t="s">
        <v>47</v>
      </c>
      <c r="U82" t="s">
        <v>47</v>
      </c>
      <c r="V82" t="s">
        <v>51</v>
      </c>
      <c r="W82" t="s">
        <v>47</v>
      </c>
      <c r="X82" t="s">
        <v>47</v>
      </c>
      <c r="Y82" t="s">
        <v>46</v>
      </c>
      <c r="Z82" t="s">
        <v>47</v>
      </c>
      <c r="AA82" t="s">
        <v>47</v>
      </c>
      <c r="AB82" t="s">
        <v>46</v>
      </c>
      <c r="AC82" t="s">
        <v>47</v>
      </c>
      <c r="AD82" t="s">
        <v>46</v>
      </c>
      <c r="AE82" t="s">
        <v>47</v>
      </c>
      <c r="AF82" t="s">
        <v>47</v>
      </c>
      <c r="AG82" t="s">
        <v>52</v>
      </c>
      <c r="AH82" t="s">
        <v>53</v>
      </c>
      <c r="AI82" t="s">
        <v>65</v>
      </c>
      <c r="AJ82">
        <v>1.5</v>
      </c>
      <c r="AK82" t="s">
        <v>47</v>
      </c>
      <c r="AL82" t="s">
        <v>100</v>
      </c>
      <c r="AM82" t="s">
        <v>73</v>
      </c>
      <c r="AN82">
        <v>87</v>
      </c>
      <c r="AO82" t="s">
        <v>47</v>
      </c>
    </row>
    <row r="83" spans="1:41">
      <c r="A83" t="s">
        <v>216</v>
      </c>
      <c r="B83">
        <v>2019</v>
      </c>
      <c r="C83" s="1">
        <v>43519</v>
      </c>
      <c r="D83" t="s">
        <v>95</v>
      </c>
      <c r="E83" t="s">
        <v>114</v>
      </c>
      <c r="F83">
        <v>62</v>
      </c>
      <c r="G83" t="s">
        <v>60</v>
      </c>
      <c r="H83" t="s">
        <v>45</v>
      </c>
      <c r="I83">
        <v>10</v>
      </c>
      <c r="J83">
        <v>35</v>
      </c>
      <c r="K83" t="s">
        <v>47</v>
      </c>
      <c r="L83" t="s">
        <v>47</v>
      </c>
      <c r="M83" t="s">
        <v>46</v>
      </c>
      <c r="N83" t="s">
        <v>50</v>
      </c>
      <c r="O83" t="s">
        <v>63</v>
      </c>
      <c r="P83">
        <v>21.4</v>
      </c>
      <c r="Q83" t="s">
        <v>50</v>
      </c>
      <c r="R83" t="s">
        <v>46</v>
      </c>
      <c r="S83" t="s">
        <v>47</v>
      </c>
      <c r="T83" t="s">
        <v>47</v>
      </c>
      <c r="U83" t="s">
        <v>47</v>
      </c>
      <c r="V83" t="s">
        <v>64</v>
      </c>
      <c r="W83" t="s">
        <v>46</v>
      </c>
      <c r="X83" t="s">
        <v>47</v>
      </c>
      <c r="Y83" t="s">
        <v>46</v>
      </c>
      <c r="Z83" t="s">
        <v>47</v>
      </c>
      <c r="AA83" t="s">
        <v>47</v>
      </c>
      <c r="AB83" t="s">
        <v>47</v>
      </c>
      <c r="AC83" t="s">
        <v>46</v>
      </c>
      <c r="AD83" t="s">
        <v>46</v>
      </c>
      <c r="AE83" t="s">
        <v>47</v>
      </c>
      <c r="AF83" t="s">
        <v>47</v>
      </c>
      <c r="AG83" t="s">
        <v>121</v>
      </c>
      <c r="AH83" t="s">
        <v>122</v>
      </c>
      <c r="AI83" t="s">
        <v>65</v>
      </c>
      <c r="AJ83">
        <v>2.2999999999999998</v>
      </c>
      <c r="AK83" t="s">
        <v>47</v>
      </c>
      <c r="AL83" t="s">
        <v>72</v>
      </c>
      <c r="AM83" t="s">
        <v>82</v>
      </c>
      <c r="AN83">
        <v>69</v>
      </c>
      <c r="AO83" t="s">
        <v>46</v>
      </c>
    </row>
    <row r="84" spans="1:41">
      <c r="A84" t="s">
        <v>217</v>
      </c>
      <c r="B84">
        <v>2023</v>
      </c>
      <c r="C84" s="1">
        <v>45019</v>
      </c>
      <c r="D84" t="s">
        <v>84</v>
      </c>
      <c r="E84" t="s">
        <v>218</v>
      </c>
      <c r="F84">
        <v>63</v>
      </c>
      <c r="G84" t="s">
        <v>60</v>
      </c>
      <c r="H84" t="s">
        <v>61</v>
      </c>
      <c r="I84">
        <v>12</v>
      </c>
      <c r="J84">
        <v>19</v>
      </c>
      <c r="K84" t="s">
        <v>46</v>
      </c>
      <c r="L84" t="s">
        <v>47</v>
      </c>
      <c r="M84" t="s">
        <v>46</v>
      </c>
      <c r="N84" t="s">
        <v>62</v>
      </c>
      <c r="O84" t="s">
        <v>63</v>
      </c>
      <c r="P84">
        <v>26.3</v>
      </c>
      <c r="Q84" t="s">
        <v>50</v>
      </c>
      <c r="R84" t="s">
        <v>46</v>
      </c>
      <c r="S84" t="s">
        <v>47</v>
      </c>
      <c r="T84" t="s">
        <v>47</v>
      </c>
      <c r="U84" t="s">
        <v>47</v>
      </c>
      <c r="V84" t="s">
        <v>51</v>
      </c>
      <c r="W84" t="s">
        <v>46</v>
      </c>
      <c r="X84" t="s">
        <v>46</v>
      </c>
      <c r="Y84" t="s">
        <v>47</v>
      </c>
      <c r="Z84" t="s">
        <v>47</v>
      </c>
      <c r="AA84" t="s">
        <v>46</v>
      </c>
      <c r="AB84" t="s">
        <v>47</v>
      </c>
      <c r="AC84" t="s">
        <v>47</v>
      </c>
      <c r="AD84" t="s">
        <v>47</v>
      </c>
      <c r="AE84" t="s">
        <v>47</v>
      </c>
      <c r="AF84" t="s">
        <v>47</v>
      </c>
      <c r="AG84" t="s">
        <v>52</v>
      </c>
      <c r="AH84" t="s">
        <v>53</v>
      </c>
      <c r="AI84" t="s">
        <v>54</v>
      </c>
      <c r="AJ84">
        <v>5.6</v>
      </c>
      <c r="AK84" t="s">
        <v>46</v>
      </c>
      <c r="AL84" t="s">
        <v>81</v>
      </c>
      <c r="AM84" t="s">
        <v>77</v>
      </c>
      <c r="AN84">
        <v>4</v>
      </c>
      <c r="AO84" t="s">
        <v>47</v>
      </c>
    </row>
    <row r="85" spans="1:41">
      <c r="A85" t="s">
        <v>219</v>
      </c>
      <c r="B85">
        <v>2018</v>
      </c>
      <c r="C85" s="1">
        <v>43254</v>
      </c>
      <c r="D85" t="s">
        <v>58</v>
      </c>
      <c r="E85" t="s">
        <v>220</v>
      </c>
      <c r="F85">
        <v>69</v>
      </c>
      <c r="G85" t="s">
        <v>60</v>
      </c>
      <c r="H85" t="s">
        <v>70</v>
      </c>
      <c r="I85">
        <v>0</v>
      </c>
      <c r="J85">
        <v>0</v>
      </c>
      <c r="K85" t="s">
        <v>46</v>
      </c>
      <c r="L85" t="s">
        <v>47</v>
      </c>
      <c r="M85" t="s">
        <v>47</v>
      </c>
      <c r="N85" t="s">
        <v>62</v>
      </c>
      <c r="O85" t="s">
        <v>63</v>
      </c>
      <c r="P85">
        <v>32.4</v>
      </c>
      <c r="Q85" t="s">
        <v>62</v>
      </c>
      <c r="R85" t="s">
        <v>47</v>
      </c>
      <c r="S85" t="s">
        <v>47</v>
      </c>
      <c r="T85" t="s">
        <v>47</v>
      </c>
      <c r="U85" t="s">
        <v>47</v>
      </c>
      <c r="V85" t="s">
        <v>51</v>
      </c>
      <c r="W85" t="s">
        <v>47</v>
      </c>
      <c r="X85" t="s">
        <v>46</v>
      </c>
      <c r="Y85" t="s">
        <v>47</v>
      </c>
      <c r="Z85" t="s">
        <v>47</v>
      </c>
      <c r="AA85" t="s">
        <v>46</v>
      </c>
      <c r="AB85" t="s">
        <v>47</v>
      </c>
      <c r="AC85" t="s">
        <v>47</v>
      </c>
      <c r="AD85" t="s">
        <v>47</v>
      </c>
      <c r="AE85" t="s">
        <v>47</v>
      </c>
      <c r="AF85" t="s">
        <v>47</v>
      </c>
      <c r="AG85" t="s">
        <v>52</v>
      </c>
      <c r="AH85" t="s">
        <v>53</v>
      </c>
      <c r="AI85" t="s">
        <v>80</v>
      </c>
      <c r="AJ85">
        <v>3</v>
      </c>
      <c r="AK85" t="s">
        <v>47</v>
      </c>
      <c r="AL85" t="s">
        <v>76</v>
      </c>
      <c r="AM85" t="s">
        <v>82</v>
      </c>
      <c r="AN85">
        <v>5</v>
      </c>
      <c r="AO85" t="s">
        <v>47</v>
      </c>
    </row>
    <row r="86" spans="1:41">
      <c r="A86" t="s">
        <v>221</v>
      </c>
      <c r="B86">
        <v>2016</v>
      </c>
      <c r="C86" s="1">
        <v>42469</v>
      </c>
      <c r="D86" t="s">
        <v>42</v>
      </c>
      <c r="E86" t="s">
        <v>210</v>
      </c>
      <c r="F86">
        <v>59</v>
      </c>
      <c r="G86" t="s">
        <v>60</v>
      </c>
      <c r="H86" t="s">
        <v>45</v>
      </c>
      <c r="I86">
        <v>24</v>
      </c>
      <c r="J86">
        <v>21</v>
      </c>
      <c r="K86" t="s">
        <v>47</v>
      </c>
      <c r="L86" t="s">
        <v>47</v>
      </c>
      <c r="M86" t="s">
        <v>46</v>
      </c>
      <c r="N86" t="s">
        <v>62</v>
      </c>
      <c r="O86" t="s">
        <v>48</v>
      </c>
      <c r="P86">
        <v>26.5</v>
      </c>
      <c r="Q86" t="s">
        <v>48</v>
      </c>
      <c r="R86" t="s">
        <v>46</v>
      </c>
      <c r="S86" t="s">
        <v>47</v>
      </c>
      <c r="T86" t="s">
        <v>47</v>
      </c>
      <c r="U86" t="s">
        <v>47</v>
      </c>
      <c r="V86" t="s">
        <v>64</v>
      </c>
      <c r="W86" t="s">
        <v>46</v>
      </c>
      <c r="X86" t="s">
        <v>47</v>
      </c>
      <c r="Y86" t="s">
        <v>47</v>
      </c>
      <c r="Z86" t="s">
        <v>47</v>
      </c>
      <c r="AA86" t="s">
        <v>46</v>
      </c>
      <c r="AB86" t="s">
        <v>46</v>
      </c>
      <c r="AC86" t="s">
        <v>46</v>
      </c>
      <c r="AD86" t="s">
        <v>46</v>
      </c>
      <c r="AE86" t="s">
        <v>47</v>
      </c>
      <c r="AF86" t="s">
        <v>47</v>
      </c>
      <c r="AG86" t="s">
        <v>52</v>
      </c>
      <c r="AH86" t="s">
        <v>53</v>
      </c>
      <c r="AI86" t="s">
        <v>54</v>
      </c>
      <c r="AJ86">
        <v>4.3</v>
      </c>
      <c r="AK86" t="s">
        <v>46</v>
      </c>
      <c r="AL86" t="s">
        <v>81</v>
      </c>
      <c r="AM86" t="s">
        <v>82</v>
      </c>
      <c r="AN86">
        <v>2</v>
      </c>
      <c r="AO86" t="s">
        <v>47</v>
      </c>
    </row>
    <row r="87" spans="1:41">
      <c r="A87" t="s">
        <v>222</v>
      </c>
      <c r="B87">
        <v>2025</v>
      </c>
      <c r="C87" s="1">
        <v>45765</v>
      </c>
      <c r="D87" t="s">
        <v>42</v>
      </c>
      <c r="E87" t="s">
        <v>166</v>
      </c>
      <c r="F87">
        <v>73</v>
      </c>
      <c r="G87" t="s">
        <v>60</v>
      </c>
      <c r="H87" t="s">
        <v>70</v>
      </c>
      <c r="I87">
        <v>0</v>
      </c>
      <c r="J87">
        <v>0</v>
      </c>
      <c r="K87" t="s">
        <v>46</v>
      </c>
      <c r="L87" t="s">
        <v>47</v>
      </c>
      <c r="M87" t="s">
        <v>47</v>
      </c>
      <c r="N87" t="s">
        <v>62</v>
      </c>
      <c r="O87" t="s">
        <v>63</v>
      </c>
      <c r="P87">
        <v>17.899999999999999</v>
      </c>
      <c r="Q87" t="s">
        <v>48</v>
      </c>
      <c r="R87" t="s">
        <v>47</v>
      </c>
      <c r="S87" t="s">
        <v>47</v>
      </c>
      <c r="T87" t="s">
        <v>47</v>
      </c>
      <c r="U87" t="s">
        <v>47</v>
      </c>
      <c r="V87" t="s">
        <v>86</v>
      </c>
      <c r="W87" t="s">
        <v>47</v>
      </c>
      <c r="X87" t="s">
        <v>46</v>
      </c>
      <c r="Y87" t="s">
        <v>46</v>
      </c>
      <c r="Z87" t="s">
        <v>47</v>
      </c>
      <c r="AA87" t="s">
        <v>46</v>
      </c>
      <c r="AB87" t="s">
        <v>47</v>
      </c>
      <c r="AC87" t="s">
        <v>47</v>
      </c>
      <c r="AD87" t="s">
        <v>47</v>
      </c>
      <c r="AE87" t="s">
        <v>47</v>
      </c>
      <c r="AF87" t="s">
        <v>46</v>
      </c>
      <c r="AG87" t="s">
        <v>52</v>
      </c>
      <c r="AH87" t="s">
        <v>53</v>
      </c>
      <c r="AI87" t="s">
        <v>54</v>
      </c>
      <c r="AJ87">
        <v>6.4</v>
      </c>
      <c r="AK87" t="s">
        <v>46</v>
      </c>
      <c r="AL87" t="s">
        <v>76</v>
      </c>
      <c r="AM87" t="s">
        <v>82</v>
      </c>
      <c r="AN87">
        <v>6</v>
      </c>
      <c r="AO87" t="s">
        <v>47</v>
      </c>
    </row>
    <row r="88" spans="1:41">
      <c r="A88" t="s">
        <v>223</v>
      </c>
      <c r="B88">
        <v>2022</v>
      </c>
      <c r="C88" s="1">
        <v>44914</v>
      </c>
      <c r="D88" t="s">
        <v>110</v>
      </c>
      <c r="E88" t="s">
        <v>124</v>
      </c>
      <c r="F88">
        <v>49</v>
      </c>
      <c r="G88" t="s">
        <v>60</v>
      </c>
      <c r="H88" t="s">
        <v>45</v>
      </c>
      <c r="I88">
        <v>19</v>
      </c>
      <c r="J88">
        <v>22</v>
      </c>
      <c r="K88" t="s">
        <v>47</v>
      </c>
      <c r="L88" t="s">
        <v>47</v>
      </c>
      <c r="M88" t="s">
        <v>47</v>
      </c>
      <c r="N88" t="s">
        <v>62</v>
      </c>
      <c r="O88" t="s">
        <v>48</v>
      </c>
      <c r="P88">
        <v>28.3</v>
      </c>
      <c r="Q88" t="s">
        <v>48</v>
      </c>
      <c r="R88" t="s">
        <v>46</v>
      </c>
      <c r="S88" t="s">
        <v>47</v>
      </c>
      <c r="T88" t="s">
        <v>47</v>
      </c>
      <c r="U88" t="s">
        <v>47</v>
      </c>
      <c r="V88" t="s">
        <v>51</v>
      </c>
      <c r="W88" t="s">
        <v>46</v>
      </c>
      <c r="X88" t="s">
        <v>46</v>
      </c>
      <c r="Y88" t="s">
        <v>47</v>
      </c>
      <c r="Z88" t="s">
        <v>46</v>
      </c>
      <c r="AA88" t="s">
        <v>46</v>
      </c>
      <c r="AB88" t="s">
        <v>46</v>
      </c>
      <c r="AC88" t="s">
        <v>47</v>
      </c>
      <c r="AD88" t="s">
        <v>46</v>
      </c>
      <c r="AE88" t="s">
        <v>47</v>
      </c>
      <c r="AF88" t="s">
        <v>47</v>
      </c>
      <c r="AG88" t="s">
        <v>52</v>
      </c>
      <c r="AH88" t="s">
        <v>71</v>
      </c>
      <c r="AI88" t="s">
        <v>80</v>
      </c>
      <c r="AJ88">
        <v>4.4000000000000004</v>
      </c>
      <c r="AK88" t="s">
        <v>47</v>
      </c>
      <c r="AL88" t="s">
        <v>76</v>
      </c>
      <c r="AM88" t="s">
        <v>118</v>
      </c>
      <c r="AN88">
        <v>17</v>
      </c>
      <c r="AO88" t="s">
        <v>47</v>
      </c>
    </row>
    <row r="89" spans="1:41">
      <c r="A89" t="s">
        <v>224</v>
      </c>
      <c r="B89">
        <v>2023</v>
      </c>
      <c r="C89" s="1">
        <v>45146</v>
      </c>
      <c r="D89" t="s">
        <v>110</v>
      </c>
      <c r="E89" t="s">
        <v>225</v>
      </c>
      <c r="F89">
        <v>65</v>
      </c>
      <c r="G89" t="s">
        <v>60</v>
      </c>
      <c r="H89" t="s">
        <v>70</v>
      </c>
      <c r="I89">
        <v>0</v>
      </c>
      <c r="J89">
        <v>0</v>
      </c>
      <c r="K89" t="s">
        <v>47</v>
      </c>
      <c r="L89" t="s">
        <v>47</v>
      </c>
      <c r="M89" t="s">
        <v>47</v>
      </c>
      <c r="N89" t="s">
        <v>48</v>
      </c>
      <c r="O89" t="s">
        <v>48</v>
      </c>
      <c r="P89">
        <v>33.5</v>
      </c>
      <c r="Q89" t="s">
        <v>48</v>
      </c>
      <c r="R89" t="s">
        <v>47</v>
      </c>
      <c r="S89" t="s">
        <v>47</v>
      </c>
      <c r="T89" t="s">
        <v>47</v>
      </c>
      <c r="U89" t="s">
        <v>47</v>
      </c>
      <c r="V89" t="s">
        <v>86</v>
      </c>
      <c r="W89" t="s">
        <v>47</v>
      </c>
      <c r="X89" t="s">
        <v>47</v>
      </c>
      <c r="Y89" t="s">
        <v>47</v>
      </c>
      <c r="Z89" t="s">
        <v>47</v>
      </c>
      <c r="AA89" t="s">
        <v>46</v>
      </c>
      <c r="AB89" t="s">
        <v>47</v>
      </c>
      <c r="AC89" t="s">
        <v>47</v>
      </c>
      <c r="AD89" t="s">
        <v>47</v>
      </c>
      <c r="AE89" t="s">
        <v>47</v>
      </c>
      <c r="AF89" t="s">
        <v>46</v>
      </c>
      <c r="AG89" t="s">
        <v>52</v>
      </c>
      <c r="AH89" t="s">
        <v>53</v>
      </c>
      <c r="AI89" t="s">
        <v>87</v>
      </c>
      <c r="AJ89">
        <v>3.2</v>
      </c>
      <c r="AK89" t="s">
        <v>47</v>
      </c>
      <c r="AL89" t="s">
        <v>81</v>
      </c>
      <c r="AM89" t="s">
        <v>73</v>
      </c>
      <c r="AN89">
        <v>20</v>
      </c>
      <c r="AO89" t="s">
        <v>46</v>
      </c>
    </row>
    <row r="90" spans="1:41">
      <c r="A90" t="s">
        <v>226</v>
      </c>
      <c r="B90">
        <v>2016</v>
      </c>
      <c r="C90" s="1">
        <v>42558</v>
      </c>
      <c r="D90" t="s">
        <v>110</v>
      </c>
      <c r="E90" t="s">
        <v>227</v>
      </c>
      <c r="F90">
        <v>71</v>
      </c>
      <c r="G90" t="s">
        <v>60</v>
      </c>
      <c r="H90" t="s">
        <v>70</v>
      </c>
      <c r="I90">
        <v>0</v>
      </c>
      <c r="J90">
        <v>0</v>
      </c>
      <c r="K90" t="s">
        <v>46</v>
      </c>
      <c r="L90" t="s">
        <v>46</v>
      </c>
      <c r="M90" t="s">
        <v>47</v>
      </c>
      <c r="N90" t="s">
        <v>62</v>
      </c>
      <c r="O90" t="s">
        <v>49</v>
      </c>
      <c r="P90">
        <v>31.6</v>
      </c>
      <c r="Q90" t="s">
        <v>62</v>
      </c>
      <c r="R90" t="s">
        <v>47</v>
      </c>
      <c r="S90" t="s">
        <v>47</v>
      </c>
      <c r="T90" t="s">
        <v>46</v>
      </c>
      <c r="U90" t="s">
        <v>47</v>
      </c>
      <c r="V90" t="s">
        <v>193</v>
      </c>
      <c r="W90" t="s">
        <v>47</v>
      </c>
      <c r="X90" t="s">
        <v>47</v>
      </c>
      <c r="Y90" t="s">
        <v>47</v>
      </c>
      <c r="Z90" t="s">
        <v>47</v>
      </c>
      <c r="AA90" t="s">
        <v>46</v>
      </c>
      <c r="AB90" t="s">
        <v>47</v>
      </c>
      <c r="AC90" t="s">
        <v>47</v>
      </c>
      <c r="AD90" t="s">
        <v>47</v>
      </c>
      <c r="AE90" t="s">
        <v>47</v>
      </c>
      <c r="AF90" t="s">
        <v>47</v>
      </c>
      <c r="AG90" t="s">
        <v>52</v>
      </c>
      <c r="AH90" t="s">
        <v>71</v>
      </c>
      <c r="AI90" t="s">
        <v>54</v>
      </c>
      <c r="AJ90">
        <v>7.6</v>
      </c>
      <c r="AK90" t="s">
        <v>46</v>
      </c>
      <c r="AL90" t="s">
        <v>81</v>
      </c>
      <c r="AM90" t="s">
        <v>118</v>
      </c>
      <c r="AN90">
        <v>11</v>
      </c>
      <c r="AO90" t="s">
        <v>47</v>
      </c>
    </row>
    <row r="91" spans="1:41">
      <c r="A91" t="s">
        <v>228</v>
      </c>
      <c r="B91">
        <v>2022</v>
      </c>
      <c r="C91" s="1">
        <v>44614</v>
      </c>
      <c r="D91" t="s">
        <v>58</v>
      </c>
      <c r="E91" t="s">
        <v>229</v>
      </c>
      <c r="F91">
        <v>53</v>
      </c>
      <c r="G91" t="s">
        <v>60</v>
      </c>
      <c r="H91" t="s">
        <v>45</v>
      </c>
      <c r="I91">
        <v>34</v>
      </c>
      <c r="J91">
        <v>15</v>
      </c>
      <c r="K91" t="s">
        <v>46</v>
      </c>
      <c r="L91" t="s">
        <v>47</v>
      </c>
      <c r="M91" t="s">
        <v>47</v>
      </c>
      <c r="N91" t="s">
        <v>48</v>
      </c>
      <c r="O91" t="s">
        <v>49</v>
      </c>
      <c r="P91">
        <v>23.4</v>
      </c>
      <c r="Q91" t="s">
        <v>50</v>
      </c>
      <c r="R91" t="s">
        <v>47</v>
      </c>
      <c r="S91" t="s">
        <v>47</v>
      </c>
      <c r="T91" t="s">
        <v>47</v>
      </c>
      <c r="U91" t="s">
        <v>47</v>
      </c>
      <c r="V91" t="s">
        <v>51</v>
      </c>
      <c r="W91" t="s">
        <v>46</v>
      </c>
      <c r="X91" t="s">
        <v>46</v>
      </c>
      <c r="Y91" t="s">
        <v>46</v>
      </c>
      <c r="Z91" t="s">
        <v>47</v>
      </c>
      <c r="AA91" t="s">
        <v>46</v>
      </c>
      <c r="AB91" t="s">
        <v>46</v>
      </c>
      <c r="AC91" t="s">
        <v>46</v>
      </c>
      <c r="AD91" t="s">
        <v>46</v>
      </c>
      <c r="AE91" t="s">
        <v>47</v>
      </c>
      <c r="AF91" t="s">
        <v>47</v>
      </c>
      <c r="AG91" t="s">
        <v>52</v>
      </c>
      <c r="AH91" t="s">
        <v>53</v>
      </c>
      <c r="AI91" t="s">
        <v>54</v>
      </c>
      <c r="AJ91">
        <v>8.1999999999999993</v>
      </c>
      <c r="AK91" t="s">
        <v>46</v>
      </c>
      <c r="AL91" t="s">
        <v>81</v>
      </c>
      <c r="AM91" t="s">
        <v>56</v>
      </c>
      <c r="AN91">
        <v>4</v>
      </c>
      <c r="AO91" t="s">
        <v>47</v>
      </c>
    </row>
    <row r="92" spans="1:41">
      <c r="A92" t="s">
        <v>230</v>
      </c>
      <c r="B92">
        <v>2023</v>
      </c>
      <c r="C92" s="1">
        <v>45091</v>
      </c>
      <c r="D92" t="s">
        <v>110</v>
      </c>
      <c r="E92" t="s">
        <v>231</v>
      </c>
      <c r="F92">
        <v>66</v>
      </c>
      <c r="G92" t="s">
        <v>60</v>
      </c>
      <c r="H92" t="s">
        <v>45</v>
      </c>
      <c r="I92">
        <v>9</v>
      </c>
      <c r="J92">
        <v>19</v>
      </c>
      <c r="K92" t="s">
        <v>47</v>
      </c>
      <c r="L92" t="s">
        <v>47</v>
      </c>
      <c r="M92" t="s">
        <v>47</v>
      </c>
      <c r="N92" t="s">
        <v>62</v>
      </c>
      <c r="O92" t="s">
        <v>63</v>
      </c>
      <c r="P92">
        <v>31.2</v>
      </c>
      <c r="Q92" t="s">
        <v>62</v>
      </c>
      <c r="R92" t="s">
        <v>47</v>
      </c>
      <c r="S92" t="s">
        <v>47</v>
      </c>
      <c r="T92" t="s">
        <v>47</v>
      </c>
      <c r="U92" t="s">
        <v>46</v>
      </c>
      <c r="V92" t="s">
        <v>86</v>
      </c>
      <c r="W92" t="s">
        <v>47</v>
      </c>
      <c r="X92" t="s">
        <v>46</v>
      </c>
      <c r="Y92" t="s">
        <v>47</v>
      </c>
      <c r="Z92" t="s">
        <v>47</v>
      </c>
      <c r="AA92" t="s">
        <v>47</v>
      </c>
      <c r="AB92" t="s">
        <v>47</v>
      </c>
      <c r="AC92" t="s">
        <v>46</v>
      </c>
      <c r="AD92" t="s">
        <v>46</v>
      </c>
      <c r="AE92" t="s">
        <v>47</v>
      </c>
      <c r="AF92" t="s">
        <v>47</v>
      </c>
      <c r="AG92" t="s">
        <v>52</v>
      </c>
      <c r="AH92" t="s">
        <v>53</v>
      </c>
      <c r="AI92" t="s">
        <v>54</v>
      </c>
      <c r="AJ92">
        <v>8.4</v>
      </c>
      <c r="AK92" t="s">
        <v>46</v>
      </c>
      <c r="AL92" t="s">
        <v>66</v>
      </c>
      <c r="AM92" t="s">
        <v>82</v>
      </c>
      <c r="AN92">
        <v>1</v>
      </c>
      <c r="AO92" t="s">
        <v>46</v>
      </c>
    </row>
    <row r="93" spans="1:41">
      <c r="A93" t="s">
        <v>232</v>
      </c>
      <c r="B93">
        <v>2024</v>
      </c>
      <c r="C93" s="1">
        <v>45532</v>
      </c>
      <c r="D93" t="s">
        <v>84</v>
      </c>
      <c r="E93" t="s">
        <v>218</v>
      </c>
      <c r="F93">
        <v>68</v>
      </c>
      <c r="G93" t="s">
        <v>44</v>
      </c>
      <c r="H93" t="s">
        <v>70</v>
      </c>
      <c r="I93">
        <v>0</v>
      </c>
      <c r="J93">
        <v>0</v>
      </c>
      <c r="K93" t="s">
        <v>47</v>
      </c>
      <c r="L93" t="s">
        <v>47</v>
      </c>
      <c r="M93" t="s">
        <v>47</v>
      </c>
      <c r="N93" t="s">
        <v>62</v>
      </c>
      <c r="O93" t="s">
        <v>48</v>
      </c>
      <c r="P93">
        <v>34.6</v>
      </c>
      <c r="Q93" t="s">
        <v>48</v>
      </c>
      <c r="R93" t="s">
        <v>47</v>
      </c>
      <c r="S93" t="s">
        <v>47</v>
      </c>
      <c r="T93" t="s">
        <v>47</v>
      </c>
      <c r="U93" t="s">
        <v>47</v>
      </c>
      <c r="V93" t="s">
        <v>51</v>
      </c>
      <c r="W93" t="s">
        <v>47</v>
      </c>
      <c r="X93" t="s">
        <v>47</v>
      </c>
      <c r="Y93" t="s">
        <v>47</v>
      </c>
      <c r="Z93" t="s">
        <v>47</v>
      </c>
      <c r="AA93" t="s">
        <v>47</v>
      </c>
      <c r="AB93" t="s">
        <v>47</v>
      </c>
      <c r="AC93" t="s">
        <v>47</v>
      </c>
      <c r="AD93" t="s">
        <v>47</v>
      </c>
      <c r="AE93" t="s">
        <v>47</v>
      </c>
      <c r="AF93" t="s">
        <v>47</v>
      </c>
      <c r="AG93" t="s">
        <v>52</v>
      </c>
      <c r="AH93" t="s">
        <v>53</v>
      </c>
      <c r="AI93" t="s">
        <v>80</v>
      </c>
      <c r="AJ93">
        <v>5.5</v>
      </c>
      <c r="AK93" t="s">
        <v>47</v>
      </c>
      <c r="AL93" t="s">
        <v>66</v>
      </c>
      <c r="AM93" t="s">
        <v>56</v>
      </c>
      <c r="AN93">
        <v>33</v>
      </c>
      <c r="AO93" t="s">
        <v>47</v>
      </c>
    </row>
    <row r="94" spans="1:41">
      <c r="A94" t="s">
        <v>233</v>
      </c>
      <c r="B94">
        <v>2018</v>
      </c>
      <c r="C94" s="1">
        <v>43425</v>
      </c>
      <c r="D94" t="s">
        <v>58</v>
      </c>
      <c r="E94" t="s">
        <v>169</v>
      </c>
      <c r="F94">
        <v>45</v>
      </c>
      <c r="G94" t="s">
        <v>44</v>
      </c>
      <c r="H94" t="s">
        <v>70</v>
      </c>
      <c r="I94">
        <v>0</v>
      </c>
      <c r="J94">
        <v>0</v>
      </c>
      <c r="K94" t="s">
        <v>46</v>
      </c>
      <c r="L94" t="s">
        <v>47</v>
      </c>
      <c r="M94" t="s">
        <v>47</v>
      </c>
      <c r="N94" t="s">
        <v>50</v>
      </c>
      <c r="O94" t="s">
        <v>49</v>
      </c>
      <c r="P94">
        <v>28</v>
      </c>
      <c r="Q94" t="s">
        <v>62</v>
      </c>
      <c r="R94" t="s">
        <v>47</v>
      </c>
      <c r="S94" t="s">
        <v>47</v>
      </c>
      <c r="T94" t="s">
        <v>47</v>
      </c>
      <c r="U94" t="s">
        <v>47</v>
      </c>
      <c r="V94" t="s">
        <v>51</v>
      </c>
      <c r="W94" t="s">
        <v>47</v>
      </c>
      <c r="X94" t="s">
        <v>47</v>
      </c>
      <c r="Y94" t="s">
        <v>47</v>
      </c>
      <c r="Z94" t="s">
        <v>47</v>
      </c>
      <c r="AA94" t="s">
        <v>46</v>
      </c>
      <c r="AB94" t="s">
        <v>47</v>
      </c>
      <c r="AC94" t="s">
        <v>47</v>
      </c>
      <c r="AD94" t="s">
        <v>47</v>
      </c>
      <c r="AE94" t="s">
        <v>47</v>
      </c>
      <c r="AF94" t="s">
        <v>47</v>
      </c>
      <c r="AG94" t="s">
        <v>52</v>
      </c>
      <c r="AH94" t="s">
        <v>53</v>
      </c>
      <c r="AI94" t="s">
        <v>87</v>
      </c>
      <c r="AJ94">
        <v>4.7</v>
      </c>
      <c r="AK94" t="s">
        <v>47</v>
      </c>
      <c r="AL94" t="s">
        <v>76</v>
      </c>
      <c r="AM94" t="s">
        <v>77</v>
      </c>
      <c r="AN94">
        <v>20</v>
      </c>
      <c r="AO94" t="s">
        <v>47</v>
      </c>
    </row>
    <row r="95" spans="1:41">
      <c r="A95" t="s">
        <v>234</v>
      </c>
      <c r="B95">
        <v>2017</v>
      </c>
      <c r="C95" s="1">
        <v>42748</v>
      </c>
      <c r="D95" t="s">
        <v>42</v>
      </c>
      <c r="E95" t="s">
        <v>136</v>
      </c>
      <c r="F95">
        <v>65</v>
      </c>
      <c r="G95" t="s">
        <v>60</v>
      </c>
      <c r="H95" t="s">
        <v>61</v>
      </c>
      <c r="I95">
        <v>15</v>
      </c>
      <c r="J95">
        <v>13</v>
      </c>
      <c r="K95" t="s">
        <v>47</v>
      </c>
      <c r="L95" t="s">
        <v>47</v>
      </c>
      <c r="M95" t="s">
        <v>47</v>
      </c>
      <c r="N95" t="s">
        <v>62</v>
      </c>
      <c r="O95" t="s">
        <v>49</v>
      </c>
      <c r="P95">
        <v>25.7</v>
      </c>
      <c r="Q95" t="s">
        <v>50</v>
      </c>
      <c r="R95" t="s">
        <v>46</v>
      </c>
      <c r="S95" t="s">
        <v>47</v>
      </c>
      <c r="T95" t="s">
        <v>47</v>
      </c>
      <c r="U95" t="s">
        <v>47</v>
      </c>
      <c r="V95" t="s">
        <v>64</v>
      </c>
      <c r="W95" t="s">
        <v>46</v>
      </c>
      <c r="X95" t="s">
        <v>46</v>
      </c>
      <c r="Y95" t="s">
        <v>46</v>
      </c>
      <c r="Z95" t="s">
        <v>47</v>
      </c>
      <c r="AA95" t="s">
        <v>47</v>
      </c>
      <c r="AB95" t="s">
        <v>47</v>
      </c>
      <c r="AC95" t="s">
        <v>47</v>
      </c>
      <c r="AD95" t="s">
        <v>46</v>
      </c>
      <c r="AE95" t="s">
        <v>47</v>
      </c>
      <c r="AF95" t="s">
        <v>47</v>
      </c>
      <c r="AG95" t="s">
        <v>52</v>
      </c>
      <c r="AH95" t="s">
        <v>53</v>
      </c>
      <c r="AI95" t="s">
        <v>65</v>
      </c>
      <c r="AJ95">
        <v>2.1</v>
      </c>
      <c r="AK95" t="s">
        <v>47</v>
      </c>
      <c r="AL95" t="s">
        <v>72</v>
      </c>
      <c r="AM95" t="s">
        <v>73</v>
      </c>
      <c r="AN95">
        <v>51</v>
      </c>
      <c r="AO95" t="s">
        <v>46</v>
      </c>
    </row>
    <row r="96" spans="1:41">
      <c r="A96" t="s">
        <v>235</v>
      </c>
      <c r="B96">
        <v>2017</v>
      </c>
      <c r="C96" s="1">
        <v>42774</v>
      </c>
      <c r="D96" t="s">
        <v>110</v>
      </c>
      <c r="E96" t="s">
        <v>236</v>
      </c>
      <c r="F96">
        <v>38</v>
      </c>
      <c r="G96" t="s">
        <v>44</v>
      </c>
      <c r="H96" t="s">
        <v>70</v>
      </c>
      <c r="I96">
        <v>0</v>
      </c>
      <c r="J96">
        <v>0</v>
      </c>
      <c r="K96" t="s">
        <v>47</v>
      </c>
      <c r="L96" t="s">
        <v>46</v>
      </c>
      <c r="M96" t="s">
        <v>47</v>
      </c>
      <c r="N96" t="s">
        <v>62</v>
      </c>
      <c r="O96" t="s">
        <v>49</v>
      </c>
      <c r="P96">
        <v>25.9</v>
      </c>
      <c r="Q96" t="s">
        <v>48</v>
      </c>
      <c r="R96" t="s">
        <v>47</v>
      </c>
      <c r="S96" t="s">
        <v>47</v>
      </c>
      <c r="T96" t="s">
        <v>47</v>
      </c>
      <c r="U96" t="s">
        <v>47</v>
      </c>
      <c r="V96" t="s">
        <v>117</v>
      </c>
      <c r="W96" t="s">
        <v>47</v>
      </c>
      <c r="X96" t="s">
        <v>46</v>
      </c>
      <c r="Y96" t="s">
        <v>47</v>
      </c>
      <c r="Z96" t="s">
        <v>47</v>
      </c>
      <c r="AA96" t="s">
        <v>47</v>
      </c>
      <c r="AB96" t="s">
        <v>47</v>
      </c>
      <c r="AC96" t="s">
        <v>47</v>
      </c>
      <c r="AD96" t="s">
        <v>47</v>
      </c>
      <c r="AE96" t="s">
        <v>47</v>
      </c>
      <c r="AF96" t="s">
        <v>47</v>
      </c>
      <c r="AG96" t="s">
        <v>52</v>
      </c>
      <c r="AH96" t="s">
        <v>71</v>
      </c>
      <c r="AI96" t="s">
        <v>54</v>
      </c>
      <c r="AJ96">
        <v>4.2</v>
      </c>
      <c r="AK96" t="s">
        <v>46</v>
      </c>
      <c r="AL96" t="s">
        <v>156</v>
      </c>
      <c r="AM96" t="s">
        <v>82</v>
      </c>
      <c r="AN96">
        <v>7</v>
      </c>
      <c r="AO96" t="s">
        <v>47</v>
      </c>
    </row>
    <row r="97" spans="1:41">
      <c r="A97" t="s">
        <v>237</v>
      </c>
      <c r="B97">
        <v>2021</v>
      </c>
      <c r="C97" s="1">
        <v>44304</v>
      </c>
      <c r="D97" t="s">
        <v>95</v>
      </c>
      <c r="E97" t="s">
        <v>96</v>
      </c>
      <c r="F97">
        <v>67</v>
      </c>
      <c r="G97" t="s">
        <v>44</v>
      </c>
      <c r="H97" t="s">
        <v>70</v>
      </c>
      <c r="I97">
        <v>0</v>
      </c>
      <c r="J97">
        <v>0</v>
      </c>
      <c r="K97" t="s">
        <v>46</v>
      </c>
      <c r="L97" t="s">
        <v>47</v>
      </c>
      <c r="M97" t="s">
        <v>47</v>
      </c>
      <c r="N97" t="s">
        <v>50</v>
      </c>
      <c r="O97" t="s">
        <v>49</v>
      </c>
      <c r="P97">
        <v>25</v>
      </c>
      <c r="Q97" t="s">
        <v>62</v>
      </c>
      <c r="R97" t="s">
        <v>47</v>
      </c>
      <c r="S97" t="s">
        <v>47</v>
      </c>
      <c r="T97" t="s">
        <v>47</v>
      </c>
      <c r="U97" t="s">
        <v>47</v>
      </c>
      <c r="V97" t="s">
        <v>51</v>
      </c>
      <c r="W97" t="s">
        <v>46</v>
      </c>
      <c r="X97" t="s">
        <v>47</v>
      </c>
      <c r="Y97" t="s">
        <v>47</v>
      </c>
      <c r="Z97" t="s">
        <v>47</v>
      </c>
      <c r="AA97" t="s">
        <v>46</v>
      </c>
      <c r="AB97" t="s">
        <v>47</v>
      </c>
      <c r="AC97" t="s">
        <v>46</v>
      </c>
      <c r="AD97" t="s">
        <v>46</v>
      </c>
      <c r="AE97" t="s">
        <v>47</v>
      </c>
      <c r="AF97" t="s">
        <v>47</v>
      </c>
      <c r="AG97" t="s">
        <v>52</v>
      </c>
      <c r="AH97" t="s">
        <v>53</v>
      </c>
      <c r="AI97" t="s">
        <v>54</v>
      </c>
      <c r="AJ97">
        <v>5</v>
      </c>
      <c r="AK97" t="s">
        <v>46</v>
      </c>
      <c r="AL97" t="s">
        <v>55</v>
      </c>
      <c r="AM97" t="s">
        <v>118</v>
      </c>
      <c r="AN97">
        <v>6</v>
      </c>
      <c r="AO97" t="s">
        <v>47</v>
      </c>
    </row>
    <row r="98" spans="1:41">
      <c r="A98" t="s">
        <v>238</v>
      </c>
      <c r="B98">
        <v>2020</v>
      </c>
      <c r="C98" s="1">
        <v>43904</v>
      </c>
      <c r="D98" t="s">
        <v>58</v>
      </c>
      <c r="E98" t="s">
        <v>142</v>
      </c>
      <c r="F98">
        <v>67</v>
      </c>
      <c r="G98" t="s">
        <v>60</v>
      </c>
      <c r="H98" t="s">
        <v>45</v>
      </c>
      <c r="I98">
        <v>29</v>
      </c>
      <c r="J98">
        <v>21</v>
      </c>
      <c r="K98" t="s">
        <v>46</v>
      </c>
      <c r="L98" t="s">
        <v>47</v>
      </c>
      <c r="M98" t="s">
        <v>47</v>
      </c>
      <c r="N98" t="s">
        <v>50</v>
      </c>
      <c r="O98" t="s">
        <v>49</v>
      </c>
      <c r="P98">
        <v>29.2</v>
      </c>
      <c r="Q98" t="s">
        <v>62</v>
      </c>
      <c r="R98" t="s">
        <v>47</v>
      </c>
      <c r="S98" t="s">
        <v>47</v>
      </c>
      <c r="T98" t="s">
        <v>47</v>
      </c>
      <c r="U98" t="s">
        <v>47</v>
      </c>
      <c r="V98" t="s">
        <v>151</v>
      </c>
      <c r="W98" t="s">
        <v>46</v>
      </c>
      <c r="X98" t="s">
        <v>46</v>
      </c>
      <c r="Y98" t="s">
        <v>46</v>
      </c>
      <c r="Z98" t="s">
        <v>47</v>
      </c>
      <c r="AA98" t="s">
        <v>46</v>
      </c>
      <c r="AB98" t="s">
        <v>46</v>
      </c>
      <c r="AC98" t="s">
        <v>46</v>
      </c>
      <c r="AD98" t="s">
        <v>46</v>
      </c>
      <c r="AE98" t="s">
        <v>47</v>
      </c>
      <c r="AF98" t="s">
        <v>47</v>
      </c>
      <c r="AG98" t="s">
        <v>52</v>
      </c>
      <c r="AH98" t="s">
        <v>71</v>
      </c>
      <c r="AI98" t="s">
        <v>87</v>
      </c>
      <c r="AJ98">
        <v>5.7</v>
      </c>
      <c r="AK98" t="s">
        <v>47</v>
      </c>
      <c r="AL98" t="s">
        <v>100</v>
      </c>
      <c r="AM98" t="s">
        <v>73</v>
      </c>
      <c r="AN98">
        <v>28</v>
      </c>
      <c r="AO98" t="s">
        <v>47</v>
      </c>
    </row>
    <row r="99" spans="1:41">
      <c r="A99" t="s">
        <v>239</v>
      </c>
      <c r="B99">
        <v>2015</v>
      </c>
      <c r="C99" s="1">
        <v>42139</v>
      </c>
      <c r="D99" t="s">
        <v>58</v>
      </c>
      <c r="E99" t="s">
        <v>59</v>
      </c>
      <c r="F99">
        <v>87</v>
      </c>
      <c r="G99" t="s">
        <v>60</v>
      </c>
      <c r="H99" t="s">
        <v>70</v>
      </c>
      <c r="I99">
        <v>0</v>
      </c>
      <c r="J99">
        <v>0</v>
      </c>
      <c r="K99" t="s">
        <v>46</v>
      </c>
      <c r="L99" t="s">
        <v>47</v>
      </c>
      <c r="M99" t="s">
        <v>46</v>
      </c>
      <c r="N99" t="s">
        <v>50</v>
      </c>
      <c r="O99" t="s">
        <v>48</v>
      </c>
      <c r="P99">
        <v>27.4</v>
      </c>
      <c r="Q99" t="s">
        <v>48</v>
      </c>
      <c r="R99" t="s">
        <v>47</v>
      </c>
      <c r="S99" t="s">
        <v>47</v>
      </c>
      <c r="T99" t="s">
        <v>46</v>
      </c>
      <c r="U99" t="s">
        <v>47</v>
      </c>
      <c r="V99" t="s">
        <v>86</v>
      </c>
      <c r="W99" t="s">
        <v>46</v>
      </c>
      <c r="X99" t="s">
        <v>47</v>
      </c>
      <c r="Y99" t="s">
        <v>46</v>
      </c>
      <c r="Z99" t="s">
        <v>47</v>
      </c>
      <c r="AA99" t="s">
        <v>46</v>
      </c>
      <c r="AB99" t="s">
        <v>46</v>
      </c>
      <c r="AC99" t="s">
        <v>47</v>
      </c>
      <c r="AD99" t="s">
        <v>47</v>
      </c>
      <c r="AE99" t="s">
        <v>47</v>
      </c>
      <c r="AF99" t="s">
        <v>47</v>
      </c>
      <c r="AG99" t="s">
        <v>52</v>
      </c>
      <c r="AH99" t="s">
        <v>71</v>
      </c>
      <c r="AI99" t="s">
        <v>65</v>
      </c>
      <c r="AJ99">
        <v>2.5</v>
      </c>
      <c r="AK99" t="s">
        <v>46</v>
      </c>
      <c r="AL99" t="s">
        <v>156</v>
      </c>
      <c r="AM99" t="s">
        <v>103</v>
      </c>
      <c r="AN99">
        <v>56</v>
      </c>
      <c r="AO99" t="s">
        <v>46</v>
      </c>
    </row>
    <row r="100" spans="1:41">
      <c r="A100" t="s">
        <v>240</v>
      </c>
      <c r="B100">
        <v>2024</v>
      </c>
      <c r="C100" s="1">
        <v>45337</v>
      </c>
      <c r="D100" t="s">
        <v>95</v>
      </c>
      <c r="E100" t="s">
        <v>147</v>
      </c>
      <c r="F100">
        <v>50</v>
      </c>
      <c r="G100" t="s">
        <v>44</v>
      </c>
      <c r="H100" t="s">
        <v>45</v>
      </c>
      <c r="I100">
        <v>12</v>
      </c>
      <c r="J100">
        <v>23</v>
      </c>
      <c r="K100" t="s">
        <v>47</v>
      </c>
      <c r="L100" t="s">
        <v>47</v>
      </c>
      <c r="M100" t="s">
        <v>47</v>
      </c>
      <c r="N100" t="s">
        <v>48</v>
      </c>
      <c r="O100" t="s">
        <v>49</v>
      </c>
      <c r="P100">
        <v>27.5</v>
      </c>
      <c r="Q100" t="s">
        <v>62</v>
      </c>
      <c r="R100" t="s">
        <v>47</v>
      </c>
      <c r="S100" t="s">
        <v>47</v>
      </c>
      <c r="T100" t="s">
        <v>47</v>
      </c>
      <c r="U100" t="s">
        <v>47</v>
      </c>
      <c r="V100" t="s">
        <v>64</v>
      </c>
      <c r="W100" t="s">
        <v>47</v>
      </c>
      <c r="X100" t="s">
        <v>46</v>
      </c>
      <c r="Y100" t="s">
        <v>47</v>
      </c>
      <c r="Z100" t="s">
        <v>47</v>
      </c>
      <c r="AA100" t="s">
        <v>46</v>
      </c>
      <c r="AB100" t="s">
        <v>47</v>
      </c>
      <c r="AC100" t="s">
        <v>46</v>
      </c>
      <c r="AD100" t="s">
        <v>47</v>
      </c>
      <c r="AE100" t="s">
        <v>46</v>
      </c>
      <c r="AF100" t="s">
        <v>47</v>
      </c>
      <c r="AG100" t="s">
        <v>52</v>
      </c>
      <c r="AH100" t="s">
        <v>53</v>
      </c>
      <c r="AI100" t="s">
        <v>54</v>
      </c>
      <c r="AJ100">
        <v>6.6</v>
      </c>
      <c r="AK100" t="s">
        <v>46</v>
      </c>
      <c r="AL100" t="s">
        <v>72</v>
      </c>
      <c r="AM100" t="s">
        <v>77</v>
      </c>
      <c r="AN100">
        <v>11</v>
      </c>
      <c r="AO100" t="s">
        <v>47</v>
      </c>
    </row>
    <row r="101" spans="1:41">
      <c r="A101" t="s">
        <v>241</v>
      </c>
      <c r="B101">
        <v>2016</v>
      </c>
      <c r="C101" s="1">
        <v>42402</v>
      </c>
      <c r="D101" t="s">
        <v>58</v>
      </c>
      <c r="E101" t="s">
        <v>220</v>
      </c>
      <c r="F101">
        <v>63</v>
      </c>
      <c r="G101" t="s">
        <v>60</v>
      </c>
      <c r="H101" t="s">
        <v>45</v>
      </c>
      <c r="I101">
        <v>5</v>
      </c>
      <c r="J101">
        <v>44</v>
      </c>
      <c r="K101" t="s">
        <v>47</v>
      </c>
      <c r="L101" t="s">
        <v>47</v>
      </c>
      <c r="M101" t="s">
        <v>47</v>
      </c>
      <c r="N101" t="s">
        <v>62</v>
      </c>
      <c r="O101" t="s">
        <v>63</v>
      </c>
      <c r="P101">
        <v>25</v>
      </c>
      <c r="Q101" t="s">
        <v>62</v>
      </c>
      <c r="R101" t="s">
        <v>46</v>
      </c>
      <c r="S101" t="s">
        <v>46</v>
      </c>
      <c r="T101" t="s">
        <v>47</v>
      </c>
      <c r="U101" t="s">
        <v>47</v>
      </c>
      <c r="V101" t="s">
        <v>151</v>
      </c>
      <c r="W101" t="s">
        <v>46</v>
      </c>
      <c r="X101" t="s">
        <v>47</v>
      </c>
      <c r="Y101" t="s">
        <v>47</v>
      </c>
      <c r="Z101" t="s">
        <v>47</v>
      </c>
      <c r="AA101" t="s">
        <v>46</v>
      </c>
      <c r="AB101" t="s">
        <v>47</v>
      </c>
      <c r="AC101" t="s">
        <v>46</v>
      </c>
      <c r="AD101" t="s">
        <v>46</v>
      </c>
      <c r="AE101" t="s">
        <v>47</v>
      </c>
      <c r="AF101" t="s">
        <v>47</v>
      </c>
      <c r="AG101" t="s">
        <v>52</v>
      </c>
      <c r="AH101" t="s">
        <v>71</v>
      </c>
      <c r="AI101" t="s">
        <v>65</v>
      </c>
      <c r="AJ101">
        <v>0.5</v>
      </c>
      <c r="AK101" t="s">
        <v>47</v>
      </c>
      <c r="AL101" t="s">
        <v>156</v>
      </c>
      <c r="AM101" t="s">
        <v>73</v>
      </c>
      <c r="AN101">
        <v>58</v>
      </c>
      <c r="AO101" t="s">
        <v>46</v>
      </c>
    </row>
    <row r="102" spans="1:41">
      <c r="A102" t="s">
        <v>242</v>
      </c>
      <c r="B102">
        <v>2020</v>
      </c>
      <c r="C102" s="1">
        <v>43833</v>
      </c>
      <c r="D102" t="s">
        <v>58</v>
      </c>
      <c r="E102" t="s">
        <v>59</v>
      </c>
      <c r="F102">
        <v>72</v>
      </c>
      <c r="G102" t="s">
        <v>60</v>
      </c>
      <c r="H102" t="s">
        <v>61</v>
      </c>
      <c r="I102">
        <v>15</v>
      </c>
      <c r="J102">
        <v>23</v>
      </c>
      <c r="K102" t="s">
        <v>47</v>
      </c>
      <c r="L102" t="s">
        <v>47</v>
      </c>
      <c r="M102" t="s">
        <v>47</v>
      </c>
      <c r="N102" t="s">
        <v>48</v>
      </c>
      <c r="O102" t="s">
        <v>63</v>
      </c>
      <c r="P102">
        <v>31.5</v>
      </c>
      <c r="Q102" t="s">
        <v>50</v>
      </c>
      <c r="R102" t="s">
        <v>46</v>
      </c>
      <c r="S102" t="s">
        <v>46</v>
      </c>
      <c r="T102" t="s">
        <v>47</v>
      </c>
      <c r="U102" t="s">
        <v>47</v>
      </c>
      <c r="V102" t="s">
        <v>117</v>
      </c>
      <c r="W102" t="s">
        <v>47</v>
      </c>
      <c r="X102" t="s">
        <v>46</v>
      </c>
      <c r="Y102" t="s">
        <v>46</v>
      </c>
      <c r="Z102" t="s">
        <v>47</v>
      </c>
      <c r="AA102" t="s">
        <v>46</v>
      </c>
      <c r="AB102" t="s">
        <v>46</v>
      </c>
      <c r="AC102" t="s">
        <v>47</v>
      </c>
      <c r="AD102" t="s">
        <v>47</v>
      </c>
      <c r="AE102" t="s">
        <v>46</v>
      </c>
      <c r="AF102" t="s">
        <v>47</v>
      </c>
      <c r="AG102" t="s">
        <v>52</v>
      </c>
      <c r="AH102" t="s">
        <v>53</v>
      </c>
      <c r="AI102" t="s">
        <v>65</v>
      </c>
      <c r="AJ102">
        <v>2.4</v>
      </c>
      <c r="AK102" t="s">
        <v>47</v>
      </c>
      <c r="AL102" t="s">
        <v>76</v>
      </c>
      <c r="AM102" t="s">
        <v>73</v>
      </c>
      <c r="AN102">
        <v>58</v>
      </c>
      <c r="AO102" t="s">
        <v>46</v>
      </c>
    </row>
    <row r="103" spans="1:41">
      <c r="A103" t="s">
        <v>243</v>
      </c>
      <c r="B103">
        <v>2015</v>
      </c>
      <c r="C103" s="1">
        <v>42077</v>
      </c>
      <c r="D103" t="s">
        <v>42</v>
      </c>
      <c r="E103" t="s">
        <v>210</v>
      </c>
      <c r="F103">
        <v>68</v>
      </c>
      <c r="G103" t="s">
        <v>60</v>
      </c>
      <c r="H103" t="s">
        <v>45</v>
      </c>
      <c r="I103">
        <v>11</v>
      </c>
      <c r="J103">
        <v>15</v>
      </c>
      <c r="K103" t="s">
        <v>47</v>
      </c>
      <c r="L103" t="s">
        <v>47</v>
      </c>
      <c r="M103" t="s">
        <v>47</v>
      </c>
      <c r="N103" t="s">
        <v>48</v>
      </c>
      <c r="O103" t="s">
        <v>49</v>
      </c>
      <c r="P103">
        <v>30.6</v>
      </c>
      <c r="Q103" t="s">
        <v>62</v>
      </c>
      <c r="R103" t="s">
        <v>46</v>
      </c>
      <c r="S103" t="s">
        <v>47</v>
      </c>
      <c r="T103" t="s">
        <v>47</v>
      </c>
      <c r="U103" t="s">
        <v>47</v>
      </c>
      <c r="V103" t="s">
        <v>151</v>
      </c>
      <c r="W103" t="s">
        <v>47</v>
      </c>
      <c r="X103" t="s">
        <v>46</v>
      </c>
      <c r="Y103" t="s">
        <v>46</v>
      </c>
      <c r="Z103" t="s">
        <v>47</v>
      </c>
      <c r="AA103" t="s">
        <v>47</v>
      </c>
      <c r="AB103" t="s">
        <v>46</v>
      </c>
      <c r="AC103" t="s">
        <v>46</v>
      </c>
      <c r="AD103" t="s">
        <v>47</v>
      </c>
      <c r="AE103" t="s">
        <v>47</v>
      </c>
      <c r="AF103" t="s">
        <v>46</v>
      </c>
      <c r="AG103" t="s">
        <v>121</v>
      </c>
      <c r="AH103" t="s">
        <v>122</v>
      </c>
      <c r="AI103" t="s">
        <v>54</v>
      </c>
      <c r="AJ103">
        <v>5.7</v>
      </c>
      <c r="AK103" t="s">
        <v>46</v>
      </c>
      <c r="AL103" t="s">
        <v>66</v>
      </c>
      <c r="AM103" t="s">
        <v>77</v>
      </c>
      <c r="AN103">
        <v>1</v>
      </c>
      <c r="AO103" t="s">
        <v>47</v>
      </c>
    </row>
    <row r="104" spans="1:41">
      <c r="A104" t="s">
        <v>244</v>
      </c>
      <c r="B104">
        <v>2023</v>
      </c>
      <c r="C104" s="1">
        <v>45145</v>
      </c>
      <c r="D104" t="s">
        <v>42</v>
      </c>
      <c r="E104" t="s">
        <v>79</v>
      </c>
      <c r="F104">
        <v>59</v>
      </c>
      <c r="G104" t="s">
        <v>60</v>
      </c>
      <c r="H104" t="s">
        <v>61</v>
      </c>
      <c r="I104">
        <v>16</v>
      </c>
      <c r="J104">
        <v>16</v>
      </c>
      <c r="K104" t="s">
        <v>47</v>
      </c>
      <c r="L104" t="s">
        <v>47</v>
      </c>
      <c r="M104" t="s">
        <v>46</v>
      </c>
      <c r="N104" t="s">
        <v>48</v>
      </c>
      <c r="O104" t="s">
        <v>48</v>
      </c>
      <c r="P104">
        <v>22.9</v>
      </c>
      <c r="Q104" t="s">
        <v>48</v>
      </c>
      <c r="R104" t="s">
        <v>47</v>
      </c>
      <c r="S104" t="s">
        <v>47</v>
      </c>
      <c r="T104" t="s">
        <v>47</v>
      </c>
      <c r="U104" t="s">
        <v>47</v>
      </c>
      <c r="V104" t="s">
        <v>64</v>
      </c>
      <c r="W104" t="s">
        <v>46</v>
      </c>
      <c r="X104" t="s">
        <v>46</v>
      </c>
      <c r="Y104" t="s">
        <v>47</v>
      </c>
      <c r="Z104" t="s">
        <v>47</v>
      </c>
      <c r="AA104" t="s">
        <v>47</v>
      </c>
      <c r="AB104" t="s">
        <v>46</v>
      </c>
      <c r="AC104" t="s">
        <v>47</v>
      </c>
      <c r="AD104" t="s">
        <v>46</v>
      </c>
      <c r="AE104" t="s">
        <v>47</v>
      </c>
      <c r="AF104" t="s">
        <v>47</v>
      </c>
      <c r="AG104" t="s">
        <v>52</v>
      </c>
      <c r="AH104" t="s">
        <v>53</v>
      </c>
      <c r="AI104" t="s">
        <v>65</v>
      </c>
      <c r="AJ104">
        <v>0.7</v>
      </c>
      <c r="AK104" t="s">
        <v>47</v>
      </c>
      <c r="AL104" t="s">
        <v>81</v>
      </c>
      <c r="AM104" t="s">
        <v>103</v>
      </c>
      <c r="AN104">
        <v>60</v>
      </c>
      <c r="AO104" t="s">
        <v>47</v>
      </c>
    </row>
    <row r="105" spans="1:41">
      <c r="A105" t="s">
        <v>245</v>
      </c>
      <c r="B105">
        <v>2018</v>
      </c>
      <c r="C105" s="1">
        <v>43106</v>
      </c>
      <c r="D105" t="s">
        <v>42</v>
      </c>
      <c r="E105" t="s">
        <v>79</v>
      </c>
      <c r="F105">
        <v>60</v>
      </c>
      <c r="G105" t="s">
        <v>44</v>
      </c>
      <c r="H105" t="s">
        <v>70</v>
      </c>
      <c r="I105">
        <v>0</v>
      </c>
      <c r="J105">
        <v>0</v>
      </c>
      <c r="K105" t="s">
        <v>46</v>
      </c>
      <c r="L105" t="s">
        <v>47</v>
      </c>
      <c r="M105" t="s">
        <v>47</v>
      </c>
      <c r="N105" t="s">
        <v>62</v>
      </c>
      <c r="O105" t="s">
        <v>48</v>
      </c>
      <c r="P105">
        <v>29.3</v>
      </c>
      <c r="Q105" t="s">
        <v>48</v>
      </c>
      <c r="R105" t="s">
        <v>47</v>
      </c>
      <c r="S105" t="s">
        <v>47</v>
      </c>
      <c r="T105" t="s">
        <v>47</v>
      </c>
      <c r="U105" t="s">
        <v>47</v>
      </c>
      <c r="V105" t="s">
        <v>51</v>
      </c>
      <c r="W105" t="s">
        <v>47</v>
      </c>
      <c r="X105" t="s">
        <v>47</v>
      </c>
      <c r="Y105" t="s">
        <v>47</v>
      </c>
      <c r="Z105" t="s">
        <v>47</v>
      </c>
      <c r="AA105" t="s">
        <v>47</v>
      </c>
      <c r="AB105" t="s">
        <v>47</v>
      </c>
      <c r="AC105" t="s">
        <v>47</v>
      </c>
      <c r="AD105" t="s">
        <v>47</v>
      </c>
      <c r="AE105" t="s">
        <v>47</v>
      </c>
      <c r="AF105" t="s">
        <v>47</v>
      </c>
      <c r="AG105" t="s">
        <v>52</v>
      </c>
      <c r="AH105" t="s">
        <v>53</v>
      </c>
      <c r="AI105" t="s">
        <v>65</v>
      </c>
      <c r="AJ105">
        <v>1.4</v>
      </c>
      <c r="AK105" t="s">
        <v>47</v>
      </c>
      <c r="AL105" t="s">
        <v>100</v>
      </c>
      <c r="AM105" t="s">
        <v>82</v>
      </c>
      <c r="AN105">
        <v>87</v>
      </c>
      <c r="AO105" t="s">
        <v>46</v>
      </c>
    </row>
    <row r="106" spans="1:41">
      <c r="A106" t="s">
        <v>246</v>
      </c>
      <c r="B106">
        <v>2024</v>
      </c>
      <c r="C106" s="1">
        <v>45304</v>
      </c>
      <c r="D106" t="s">
        <v>42</v>
      </c>
      <c r="E106" t="s">
        <v>247</v>
      </c>
      <c r="F106">
        <v>55</v>
      </c>
      <c r="G106" t="s">
        <v>60</v>
      </c>
      <c r="H106" t="s">
        <v>70</v>
      </c>
      <c r="I106">
        <v>0</v>
      </c>
      <c r="J106">
        <v>0</v>
      </c>
      <c r="K106" t="s">
        <v>46</v>
      </c>
      <c r="L106" t="s">
        <v>47</v>
      </c>
      <c r="M106" t="s">
        <v>47</v>
      </c>
      <c r="N106" t="s">
        <v>62</v>
      </c>
      <c r="O106" t="s">
        <v>49</v>
      </c>
      <c r="P106">
        <v>29.9</v>
      </c>
      <c r="Q106" t="s">
        <v>62</v>
      </c>
      <c r="R106" t="s">
        <v>47</v>
      </c>
      <c r="S106" t="s">
        <v>47</v>
      </c>
      <c r="T106" t="s">
        <v>47</v>
      </c>
      <c r="U106" t="s">
        <v>47</v>
      </c>
      <c r="V106" t="s">
        <v>151</v>
      </c>
      <c r="W106" t="s">
        <v>47</v>
      </c>
      <c r="X106" t="s">
        <v>46</v>
      </c>
      <c r="Y106" t="s">
        <v>46</v>
      </c>
      <c r="Z106" t="s">
        <v>47</v>
      </c>
      <c r="AA106" t="s">
        <v>47</v>
      </c>
      <c r="AB106" t="s">
        <v>47</v>
      </c>
      <c r="AC106" t="s">
        <v>46</v>
      </c>
      <c r="AD106" t="s">
        <v>47</v>
      </c>
      <c r="AE106" t="s">
        <v>46</v>
      </c>
      <c r="AF106" t="s">
        <v>46</v>
      </c>
      <c r="AG106" t="s">
        <v>52</v>
      </c>
      <c r="AH106" t="s">
        <v>53</v>
      </c>
      <c r="AI106" t="s">
        <v>65</v>
      </c>
      <c r="AJ106">
        <v>1.6</v>
      </c>
      <c r="AK106" t="s">
        <v>47</v>
      </c>
      <c r="AL106" t="s">
        <v>72</v>
      </c>
      <c r="AM106" t="s">
        <v>73</v>
      </c>
      <c r="AN106">
        <v>53</v>
      </c>
      <c r="AO106" t="s">
        <v>47</v>
      </c>
    </row>
    <row r="107" spans="1:41">
      <c r="A107" t="s">
        <v>248</v>
      </c>
      <c r="B107">
        <v>2020</v>
      </c>
      <c r="C107" s="1">
        <v>44053</v>
      </c>
      <c r="D107" t="s">
        <v>98</v>
      </c>
      <c r="E107" t="s">
        <v>249</v>
      </c>
      <c r="F107">
        <v>43</v>
      </c>
      <c r="G107" t="s">
        <v>60</v>
      </c>
      <c r="H107" t="s">
        <v>45</v>
      </c>
      <c r="I107">
        <v>38</v>
      </c>
      <c r="J107">
        <v>17</v>
      </c>
      <c r="K107" t="s">
        <v>47</v>
      </c>
      <c r="L107" t="s">
        <v>47</v>
      </c>
      <c r="M107" t="s">
        <v>46</v>
      </c>
      <c r="N107" t="s">
        <v>48</v>
      </c>
      <c r="O107" t="s">
        <v>49</v>
      </c>
      <c r="P107">
        <v>26.6</v>
      </c>
      <c r="Q107" t="s">
        <v>62</v>
      </c>
      <c r="R107" t="s">
        <v>47</v>
      </c>
      <c r="S107" t="s">
        <v>47</v>
      </c>
      <c r="T107" t="s">
        <v>47</v>
      </c>
      <c r="U107" t="s">
        <v>47</v>
      </c>
      <c r="V107" t="s">
        <v>51</v>
      </c>
      <c r="W107" t="s">
        <v>46</v>
      </c>
      <c r="X107" t="s">
        <v>46</v>
      </c>
      <c r="Y107" t="s">
        <v>46</v>
      </c>
      <c r="Z107" t="s">
        <v>47</v>
      </c>
      <c r="AA107" t="s">
        <v>47</v>
      </c>
      <c r="AB107" t="s">
        <v>47</v>
      </c>
      <c r="AC107" t="s">
        <v>46</v>
      </c>
      <c r="AD107" t="s">
        <v>46</v>
      </c>
      <c r="AE107" t="s">
        <v>47</v>
      </c>
      <c r="AF107" t="s">
        <v>47</v>
      </c>
      <c r="AG107" t="s">
        <v>52</v>
      </c>
      <c r="AH107" t="s">
        <v>53</v>
      </c>
      <c r="AI107" t="s">
        <v>80</v>
      </c>
      <c r="AJ107">
        <v>4.3</v>
      </c>
      <c r="AK107" t="s">
        <v>47</v>
      </c>
      <c r="AL107" t="s">
        <v>156</v>
      </c>
      <c r="AM107" t="s">
        <v>77</v>
      </c>
      <c r="AN107">
        <v>23</v>
      </c>
      <c r="AO107" t="s">
        <v>46</v>
      </c>
    </row>
    <row r="108" spans="1:41">
      <c r="A108" t="s">
        <v>250</v>
      </c>
      <c r="B108">
        <v>2020</v>
      </c>
      <c r="C108" s="1">
        <v>44189</v>
      </c>
      <c r="D108" t="s">
        <v>110</v>
      </c>
      <c r="E108" t="s">
        <v>116</v>
      </c>
      <c r="F108">
        <v>50</v>
      </c>
      <c r="G108" t="s">
        <v>60</v>
      </c>
      <c r="H108" t="s">
        <v>70</v>
      </c>
      <c r="I108">
        <v>0</v>
      </c>
      <c r="J108">
        <v>0</v>
      </c>
      <c r="K108" t="s">
        <v>47</v>
      </c>
      <c r="L108" t="s">
        <v>47</v>
      </c>
      <c r="M108" t="s">
        <v>46</v>
      </c>
      <c r="N108" t="s">
        <v>48</v>
      </c>
      <c r="O108" t="s">
        <v>49</v>
      </c>
      <c r="P108">
        <v>26.9</v>
      </c>
      <c r="Q108" t="s">
        <v>50</v>
      </c>
      <c r="R108" t="s">
        <v>47</v>
      </c>
      <c r="S108" t="s">
        <v>47</v>
      </c>
      <c r="T108" t="s">
        <v>46</v>
      </c>
      <c r="U108" t="s">
        <v>46</v>
      </c>
      <c r="V108" t="s">
        <v>92</v>
      </c>
      <c r="W108" t="s">
        <v>47</v>
      </c>
      <c r="X108" t="s">
        <v>46</v>
      </c>
      <c r="Y108" t="s">
        <v>47</v>
      </c>
      <c r="Z108" t="s">
        <v>47</v>
      </c>
      <c r="AA108" t="s">
        <v>47</v>
      </c>
      <c r="AB108" t="s">
        <v>47</v>
      </c>
      <c r="AC108" t="s">
        <v>47</v>
      </c>
      <c r="AD108" t="s">
        <v>46</v>
      </c>
      <c r="AE108" t="s">
        <v>47</v>
      </c>
      <c r="AF108" t="s">
        <v>47</v>
      </c>
      <c r="AG108" t="s">
        <v>52</v>
      </c>
      <c r="AH108" t="s">
        <v>71</v>
      </c>
      <c r="AI108" t="s">
        <v>80</v>
      </c>
      <c r="AJ108">
        <v>4.5</v>
      </c>
      <c r="AK108" t="s">
        <v>47</v>
      </c>
      <c r="AL108" t="s">
        <v>81</v>
      </c>
      <c r="AM108" t="s">
        <v>56</v>
      </c>
      <c r="AN108">
        <v>21</v>
      </c>
      <c r="AO108" t="s">
        <v>47</v>
      </c>
    </row>
    <row r="109" spans="1:41">
      <c r="A109" t="s">
        <v>251</v>
      </c>
      <c r="B109">
        <v>2018</v>
      </c>
      <c r="C109" s="1">
        <v>43427</v>
      </c>
      <c r="D109" t="s">
        <v>58</v>
      </c>
      <c r="E109" t="s">
        <v>252</v>
      </c>
      <c r="F109">
        <v>66</v>
      </c>
      <c r="G109" t="s">
        <v>44</v>
      </c>
      <c r="H109" t="s">
        <v>70</v>
      </c>
      <c r="I109">
        <v>0</v>
      </c>
      <c r="J109">
        <v>0</v>
      </c>
      <c r="K109" t="s">
        <v>46</v>
      </c>
      <c r="L109" t="s">
        <v>47</v>
      </c>
      <c r="M109" t="s">
        <v>47</v>
      </c>
      <c r="N109" t="s">
        <v>48</v>
      </c>
      <c r="O109" t="s">
        <v>48</v>
      </c>
      <c r="P109">
        <v>33.799999999999997</v>
      </c>
      <c r="Q109" t="s">
        <v>50</v>
      </c>
      <c r="R109" t="s">
        <v>47</v>
      </c>
      <c r="S109" t="s">
        <v>47</v>
      </c>
      <c r="T109" t="s">
        <v>47</v>
      </c>
      <c r="U109" t="s">
        <v>47</v>
      </c>
      <c r="V109" t="s">
        <v>51</v>
      </c>
      <c r="W109" t="s">
        <v>47</v>
      </c>
      <c r="X109" t="s">
        <v>47</v>
      </c>
      <c r="Y109" t="s">
        <v>47</v>
      </c>
      <c r="Z109" t="s">
        <v>46</v>
      </c>
      <c r="AA109" t="s">
        <v>47</v>
      </c>
      <c r="AB109" t="s">
        <v>46</v>
      </c>
      <c r="AC109" t="s">
        <v>47</v>
      </c>
      <c r="AD109" t="s">
        <v>47</v>
      </c>
      <c r="AE109" t="s">
        <v>47</v>
      </c>
      <c r="AF109" t="s">
        <v>47</v>
      </c>
      <c r="AG109" t="s">
        <v>52</v>
      </c>
      <c r="AH109" t="s">
        <v>53</v>
      </c>
      <c r="AI109" t="s">
        <v>54</v>
      </c>
      <c r="AJ109">
        <v>8.8000000000000007</v>
      </c>
      <c r="AK109" t="s">
        <v>46</v>
      </c>
      <c r="AL109" t="s">
        <v>76</v>
      </c>
      <c r="AM109" t="s">
        <v>77</v>
      </c>
      <c r="AN109">
        <v>5</v>
      </c>
      <c r="AO109" t="s">
        <v>47</v>
      </c>
    </row>
    <row r="110" spans="1:41">
      <c r="A110" t="s">
        <v>253</v>
      </c>
      <c r="B110">
        <v>2022</v>
      </c>
      <c r="C110" s="1">
        <v>44627</v>
      </c>
      <c r="D110" t="s">
        <v>84</v>
      </c>
      <c r="E110" t="s">
        <v>184</v>
      </c>
      <c r="F110">
        <v>40</v>
      </c>
      <c r="G110" t="s">
        <v>44</v>
      </c>
      <c r="H110" t="s">
        <v>70</v>
      </c>
      <c r="I110">
        <v>0</v>
      </c>
      <c r="J110">
        <v>0</v>
      </c>
      <c r="K110" t="s">
        <v>47</v>
      </c>
      <c r="L110" t="s">
        <v>46</v>
      </c>
      <c r="M110" t="s">
        <v>47</v>
      </c>
      <c r="N110" t="s">
        <v>48</v>
      </c>
      <c r="O110" t="s">
        <v>48</v>
      </c>
      <c r="P110">
        <v>33.799999999999997</v>
      </c>
      <c r="Q110" t="s">
        <v>48</v>
      </c>
      <c r="R110" t="s">
        <v>47</v>
      </c>
      <c r="S110" t="s">
        <v>47</v>
      </c>
      <c r="T110" t="s">
        <v>47</v>
      </c>
      <c r="U110" t="s">
        <v>47</v>
      </c>
      <c r="V110" t="s">
        <v>51</v>
      </c>
      <c r="W110" t="s">
        <v>46</v>
      </c>
      <c r="X110" t="s">
        <v>47</v>
      </c>
      <c r="Y110" t="s">
        <v>47</v>
      </c>
      <c r="Z110" t="s">
        <v>47</v>
      </c>
      <c r="AA110" t="s">
        <v>47</v>
      </c>
      <c r="AB110" t="s">
        <v>47</v>
      </c>
      <c r="AC110" t="s">
        <v>47</v>
      </c>
      <c r="AD110" t="s">
        <v>46</v>
      </c>
      <c r="AE110" t="s">
        <v>46</v>
      </c>
      <c r="AF110" t="s">
        <v>47</v>
      </c>
      <c r="AG110" t="s">
        <v>52</v>
      </c>
      <c r="AH110" t="s">
        <v>53</v>
      </c>
      <c r="AI110" t="s">
        <v>87</v>
      </c>
      <c r="AJ110">
        <v>2.5</v>
      </c>
      <c r="AK110" t="s">
        <v>47</v>
      </c>
      <c r="AL110" t="s">
        <v>66</v>
      </c>
      <c r="AM110" t="s">
        <v>67</v>
      </c>
      <c r="AN110">
        <v>50</v>
      </c>
      <c r="AO110" t="s">
        <v>47</v>
      </c>
    </row>
    <row r="111" spans="1:41">
      <c r="A111" t="s">
        <v>254</v>
      </c>
      <c r="B111">
        <v>2025</v>
      </c>
      <c r="C111" s="1">
        <v>45749</v>
      </c>
      <c r="D111" t="s">
        <v>95</v>
      </c>
      <c r="E111" t="s">
        <v>255</v>
      </c>
      <c r="F111">
        <v>55</v>
      </c>
      <c r="G111" t="s">
        <v>60</v>
      </c>
      <c r="H111" t="s">
        <v>45</v>
      </c>
      <c r="I111">
        <v>25</v>
      </c>
      <c r="J111">
        <v>11</v>
      </c>
      <c r="K111" t="s">
        <v>47</v>
      </c>
      <c r="L111" t="s">
        <v>47</v>
      </c>
      <c r="M111" t="s">
        <v>46</v>
      </c>
      <c r="N111" t="s">
        <v>48</v>
      </c>
      <c r="O111" t="s">
        <v>49</v>
      </c>
      <c r="P111">
        <v>30.7</v>
      </c>
      <c r="Q111" t="s">
        <v>48</v>
      </c>
      <c r="R111" t="s">
        <v>47</v>
      </c>
      <c r="S111" t="s">
        <v>47</v>
      </c>
      <c r="T111" t="s">
        <v>47</v>
      </c>
      <c r="U111" t="s">
        <v>47</v>
      </c>
      <c r="V111" t="s">
        <v>51</v>
      </c>
      <c r="W111" t="s">
        <v>47</v>
      </c>
      <c r="X111" t="s">
        <v>46</v>
      </c>
      <c r="Y111" t="s">
        <v>46</v>
      </c>
      <c r="Z111" t="s">
        <v>46</v>
      </c>
      <c r="AA111" t="s">
        <v>46</v>
      </c>
      <c r="AB111" t="s">
        <v>47</v>
      </c>
      <c r="AC111" t="s">
        <v>47</v>
      </c>
      <c r="AD111" t="s">
        <v>47</v>
      </c>
      <c r="AE111" t="s">
        <v>46</v>
      </c>
      <c r="AF111" t="s">
        <v>47</v>
      </c>
      <c r="AG111" t="s">
        <v>52</v>
      </c>
      <c r="AH111" t="s">
        <v>71</v>
      </c>
      <c r="AI111" t="s">
        <v>80</v>
      </c>
      <c r="AJ111">
        <v>6.5</v>
      </c>
      <c r="AK111" t="s">
        <v>47</v>
      </c>
      <c r="AL111" t="s">
        <v>100</v>
      </c>
      <c r="AM111" t="s">
        <v>77</v>
      </c>
      <c r="AN111">
        <v>19</v>
      </c>
      <c r="AO111" t="s">
        <v>46</v>
      </c>
    </row>
    <row r="112" spans="1:41">
      <c r="A112" t="s">
        <v>256</v>
      </c>
      <c r="B112">
        <v>2023</v>
      </c>
      <c r="C112" s="1">
        <v>45278</v>
      </c>
      <c r="D112" t="s">
        <v>42</v>
      </c>
      <c r="E112" t="s">
        <v>43</v>
      </c>
      <c r="F112">
        <v>50</v>
      </c>
      <c r="G112" t="s">
        <v>60</v>
      </c>
      <c r="H112" t="s">
        <v>45</v>
      </c>
      <c r="I112">
        <v>17</v>
      </c>
      <c r="J112">
        <v>31</v>
      </c>
      <c r="K112" t="s">
        <v>47</v>
      </c>
      <c r="L112" t="s">
        <v>47</v>
      </c>
      <c r="M112" t="s">
        <v>47</v>
      </c>
      <c r="N112" t="s">
        <v>50</v>
      </c>
      <c r="O112" t="s">
        <v>48</v>
      </c>
      <c r="P112">
        <v>27</v>
      </c>
      <c r="Q112" t="s">
        <v>50</v>
      </c>
      <c r="R112" t="s">
        <v>47</v>
      </c>
      <c r="S112" t="s">
        <v>47</v>
      </c>
      <c r="T112" t="s">
        <v>47</v>
      </c>
      <c r="U112" t="s">
        <v>47</v>
      </c>
      <c r="V112" t="s">
        <v>64</v>
      </c>
      <c r="W112" t="s">
        <v>46</v>
      </c>
      <c r="X112" t="s">
        <v>46</v>
      </c>
      <c r="Y112" t="s">
        <v>47</v>
      </c>
      <c r="Z112" t="s">
        <v>47</v>
      </c>
      <c r="AA112" t="s">
        <v>46</v>
      </c>
      <c r="AB112" t="s">
        <v>47</v>
      </c>
      <c r="AC112" t="s">
        <v>47</v>
      </c>
      <c r="AD112" t="s">
        <v>47</v>
      </c>
      <c r="AE112" t="s">
        <v>47</v>
      </c>
      <c r="AF112" t="s">
        <v>47</v>
      </c>
      <c r="AG112" t="s">
        <v>52</v>
      </c>
      <c r="AH112" t="s">
        <v>53</v>
      </c>
      <c r="AI112" t="s">
        <v>54</v>
      </c>
      <c r="AJ112">
        <v>5.0999999999999996</v>
      </c>
      <c r="AK112" t="s">
        <v>46</v>
      </c>
      <c r="AL112" t="s">
        <v>66</v>
      </c>
      <c r="AM112" t="s">
        <v>82</v>
      </c>
      <c r="AN112">
        <v>9</v>
      </c>
      <c r="AO112" t="s">
        <v>47</v>
      </c>
    </row>
    <row r="113" spans="1:41">
      <c r="A113" t="s">
        <v>257</v>
      </c>
      <c r="B113">
        <v>2022</v>
      </c>
      <c r="C113" s="1">
        <v>44906</v>
      </c>
      <c r="D113" t="s">
        <v>42</v>
      </c>
      <c r="E113" t="s">
        <v>43</v>
      </c>
      <c r="F113">
        <v>63</v>
      </c>
      <c r="G113" t="s">
        <v>44</v>
      </c>
      <c r="H113" t="s">
        <v>70</v>
      </c>
      <c r="I113">
        <v>0</v>
      </c>
      <c r="J113">
        <v>0</v>
      </c>
      <c r="K113" t="s">
        <v>47</v>
      </c>
      <c r="L113" t="s">
        <v>47</v>
      </c>
      <c r="M113" t="s">
        <v>46</v>
      </c>
      <c r="N113" t="s">
        <v>50</v>
      </c>
      <c r="O113" t="s">
        <v>49</v>
      </c>
      <c r="P113">
        <v>27.9</v>
      </c>
      <c r="Q113" t="s">
        <v>48</v>
      </c>
      <c r="R113" t="s">
        <v>47</v>
      </c>
      <c r="S113" t="s">
        <v>47</v>
      </c>
      <c r="T113" t="s">
        <v>47</v>
      </c>
      <c r="U113" t="s">
        <v>47</v>
      </c>
      <c r="V113" t="s">
        <v>51</v>
      </c>
      <c r="W113" t="s">
        <v>46</v>
      </c>
      <c r="X113" t="s">
        <v>47</v>
      </c>
      <c r="Y113" t="s">
        <v>47</v>
      </c>
      <c r="Z113" t="s">
        <v>47</v>
      </c>
      <c r="AA113" t="s">
        <v>46</v>
      </c>
      <c r="AB113" t="s">
        <v>46</v>
      </c>
      <c r="AC113" t="s">
        <v>46</v>
      </c>
      <c r="AD113" t="s">
        <v>47</v>
      </c>
      <c r="AE113" t="s">
        <v>47</v>
      </c>
      <c r="AF113" t="s">
        <v>47</v>
      </c>
      <c r="AG113" t="s">
        <v>52</v>
      </c>
      <c r="AH113" t="s">
        <v>71</v>
      </c>
      <c r="AI113" t="s">
        <v>65</v>
      </c>
      <c r="AJ113">
        <v>1.1000000000000001</v>
      </c>
      <c r="AK113" t="s">
        <v>47</v>
      </c>
      <c r="AL113" t="s">
        <v>76</v>
      </c>
      <c r="AM113" t="s">
        <v>103</v>
      </c>
      <c r="AN113">
        <v>44</v>
      </c>
      <c r="AO113" t="s">
        <v>46</v>
      </c>
    </row>
    <row r="114" spans="1:41">
      <c r="A114" t="s">
        <v>258</v>
      </c>
      <c r="B114">
        <v>2024</v>
      </c>
      <c r="C114" s="1">
        <v>45310</v>
      </c>
      <c r="D114" t="s">
        <v>95</v>
      </c>
      <c r="E114" t="s">
        <v>96</v>
      </c>
      <c r="F114">
        <v>71</v>
      </c>
      <c r="G114" t="s">
        <v>44</v>
      </c>
      <c r="H114" t="s">
        <v>70</v>
      </c>
      <c r="I114">
        <v>0</v>
      </c>
      <c r="J114">
        <v>0</v>
      </c>
      <c r="K114" t="s">
        <v>46</v>
      </c>
      <c r="L114" t="s">
        <v>47</v>
      </c>
      <c r="M114" t="s">
        <v>47</v>
      </c>
      <c r="N114" t="s">
        <v>48</v>
      </c>
      <c r="O114" t="s">
        <v>63</v>
      </c>
      <c r="P114">
        <v>21.1</v>
      </c>
      <c r="Q114" t="s">
        <v>50</v>
      </c>
      <c r="R114" t="s">
        <v>47</v>
      </c>
      <c r="S114" t="s">
        <v>47</v>
      </c>
      <c r="T114" t="s">
        <v>47</v>
      </c>
      <c r="U114" t="s">
        <v>47</v>
      </c>
      <c r="V114" t="s">
        <v>117</v>
      </c>
      <c r="W114" t="s">
        <v>47</v>
      </c>
      <c r="X114" t="s">
        <v>47</v>
      </c>
      <c r="Y114" t="s">
        <v>47</v>
      </c>
      <c r="Z114" t="s">
        <v>47</v>
      </c>
      <c r="AA114" t="s">
        <v>46</v>
      </c>
      <c r="AB114" t="s">
        <v>47</v>
      </c>
      <c r="AC114" t="s">
        <v>47</v>
      </c>
      <c r="AD114" t="s">
        <v>46</v>
      </c>
      <c r="AE114" t="s">
        <v>47</v>
      </c>
      <c r="AF114" t="s">
        <v>47</v>
      </c>
      <c r="AG114" t="s">
        <v>52</v>
      </c>
      <c r="AH114" t="s">
        <v>53</v>
      </c>
      <c r="AI114" t="s">
        <v>65</v>
      </c>
      <c r="AJ114">
        <v>1.5</v>
      </c>
      <c r="AK114" t="s">
        <v>47</v>
      </c>
      <c r="AL114" t="s">
        <v>76</v>
      </c>
      <c r="AM114" t="s">
        <v>73</v>
      </c>
      <c r="AN114">
        <v>22</v>
      </c>
      <c r="AO114" t="s">
        <v>46</v>
      </c>
    </row>
    <row r="115" spans="1:41">
      <c r="A115" t="s">
        <v>259</v>
      </c>
      <c r="B115">
        <v>2025</v>
      </c>
      <c r="C115" s="1">
        <v>45928</v>
      </c>
      <c r="D115" t="s">
        <v>95</v>
      </c>
      <c r="E115" t="s">
        <v>147</v>
      </c>
      <c r="F115">
        <v>55</v>
      </c>
      <c r="G115" t="s">
        <v>60</v>
      </c>
      <c r="H115" t="s">
        <v>70</v>
      </c>
      <c r="I115">
        <v>0</v>
      </c>
      <c r="J115">
        <v>0</v>
      </c>
      <c r="K115" t="s">
        <v>46</v>
      </c>
      <c r="L115" t="s">
        <v>47</v>
      </c>
      <c r="M115" t="s">
        <v>47</v>
      </c>
      <c r="N115" t="s">
        <v>48</v>
      </c>
      <c r="O115" t="s">
        <v>63</v>
      </c>
      <c r="P115">
        <v>34.299999999999997</v>
      </c>
      <c r="Q115" t="s">
        <v>50</v>
      </c>
      <c r="R115" t="s">
        <v>47</v>
      </c>
      <c r="S115" t="s">
        <v>47</v>
      </c>
      <c r="T115" t="s">
        <v>47</v>
      </c>
      <c r="U115" t="s">
        <v>47</v>
      </c>
      <c r="V115" t="s">
        <v>117</v>
      </c>
      <c r="W115" t="s">
        <v>46</v>
      </c>
      <c r="X115" t="s">
        <v>47</v>
      </c>
      <c r="Y115" t="s">
        <v>46</v>
      </c>
      <c r="Z115" t="s">
        <v>47</v>
      </c>
      <c r="AA115" t="s">
        <v>46</v>
      </c>
      <c r="AB115" t="s">
        <v>46</v>
      </c>
      <c r="AC115" t="s">
        <v>47</v>
      </c>
      <c r="AD115" t="s">
        <v>47</v>
      </c>
      <c r="AE115" t="s">
        <v>47</v>
      </c>
      <c r="AF115" t="s">
        <v>47</v>
      </c>
      <c r="AG115" t="s">
        <v>52</v>
      </c>
      <c r="AH115" t="s">
        <v>71</v>
      </c>
      <c r="AI115" t="s">
        <v>87</v>
      </c>
      <c r="AJ115">
        <v>5</v>
      </c>
      <c r="AK115" t="s">
        <v>47</v>
      </c>
      <c r="AL115" t="s">
        <v>76</v>
      </c>
      <c r="AM115" t="s">
        <v>77</v>
      </c>
      <c r="AN115">
        <v>33</v>
      </c>
      <c r="AO115" t="s">
        <v>46</v>
      </c>
    </row>
    <row r="116" spans="1:41">
      <c r="A116" t="s">
        <v>260</v>
      </c>
      <c r="B116">
        <v>2017</v>
      </c>
      <c r="C116" s="1">
        <v>42796</v>
      </c>
      <c r="D116" t="s">
        <v>95</v>
      </c>
      <c r="E116" t="s">
        <v>147</v>
      </c>
      <c r="F116">
        <v>68</v>
      </c>
      <c r="G116" t="s">
        <v>60</v>
      </c>
      <c r="H116" t="s">
        <v>70</v>
      </c>
      <c r="I116">
        <v>0</v>
      </c>
      <c r="J116">
        <v>0</v>
      </c>
      <c r="K116" t="s">
        <v>46</v>
      </c>
      <c r="L116" t="s">
        <v>47</v>
      </c>
      <c r="M116" t="s">
        <v>47</v>
      </c>
      <c r="N116" t="s">
        <v>62</v>
      </c>
      <c r="O116" t="s">
        <v>48</v>
      </c>
      <c r="P116">
        <v>32.5</v>
      </c>
      <c r="Q116" t="s">
        <v>50</v>
      </c>
      <c r="R116" t="s">
        <v>47</v>
      </c>
      <c r="S116" t="s">
        <v>47</v>
      </c>
      <c r="T116" t="s">
        <v>47</v>
      </c>
      <c r="U116" t="s">
        <v>47</v>
      </c>
      <c r="V116" t="s">
        <v>86</v>
      </c>
      <c r="W116" t="s">
        <v>47</v>
      </c>
      <c r="X116" t="s">
        <v>46</v>
      </c>
      <c r="Y116" t="s">
        <v>47</v>
      </c>
      <c r="Z116" t="s">
        <v>47</v>
      </c>
      <c r="AA116" t="s">
        <v>46</v>
      </c>
      <c r="AB116" t="s">
        <v>47</v>
      </c>
      <c r="AC116" t="s">
        <v>47</v>
      </c>
      <c r="AD116" t="s">
        <v>47</v>
      </c>
      <c r="AE116" t="s">
        <v>47</v>
      </c>
      <c r="AF116" t="s">
        <v>47</v>
      </c>
      <c r="AG116" t="s">
        <v>52</v>
      </c>
      <c r="AH116" t="s">
        <v>90</v>
      </c>
      <c r="AI116" t="s">
        <v>65</v>
      </c>
      <c r="AJ116">
        <v>1.1000000000000001</v>
      </c>
      <c r="AK116" t="s">
        <v>47</v>
      </c>
      <c r="AL116" t="s">
        <v>66</v>
      </c>
      <c r="AM116" t="s">
        <v>73</v>
      </c>
      <c r="AN116">
        <v>56</v>
      </c>
      <c r="AO116" t="s">
        <v>46</v>
      </c>
    </row>
    <row r="117" spans="1:41">
      <c r="A117" t="s">
        <v>261</v>
      </c>
      <c r="B117">
        <v>2015</v>
      </c>
      <c r="C117" s="1">
        <v>42063</v>
      </c>
      <c r="D117" t="s">
        <v>84</v>
      </c>
      <c r="E117" t="s">
        <v>182</v>
      </c>
      <c r="F117">
        <v>45</v>
      </c>
      <c r="G117" t="s">
        <v>44</v>
      </c>
      <c r="H117" t="s">
        <v>70</v>
      </c>
      <c r="I117">
        <v>0</v>
      </c>
      <c r="J117">
        <v>0</v>
      </c>
      <c r="K117" t="s">
        <v>46</v>
      </c>
      <c r="L117" t="s">
        <v>47</v>
      </c>
      <c r="M117" t="s">
        <v>47</v>
      </c>
      <c r="N117" t="s">
        <v>62</v>
      </c>
      <c r="O117" t="s">
        <v>49</v>
      </c>
      <c r="P117">
        <v>24.4</v>
      </c>
      <c r="Q117" t="s">
        <v>62</v>
      </c>
      <c r="R117" t="s">
        <v>47</v>
      </c>
      <c r="S117" t="s">
        <v>47</v>
      </c>
      <c r="T117" t="s">
        <v>47</v>
      </c>
      <c r="U117" t="s">
        <v>47</v>
      </c>
      <c r="V117" t="s">
        <v>193</v>
      </c>
      <c r="W117" t="s">
        <v>47</v>
      </c>
      <c r="X117" t="s">
        <v>47</v>
      </c>
      <c r="Y117" t="s">
        <v>47</v>
      </c>
      <c r="Z117" t="s">
        <v>47</v>
      </c>
      <c r="AA117" t="s">
        <v>46</v>
      </c>
      <c r="AB117" t="s">
        <v>47</v>
      </c>
      <c r="AC117" t="s">
        <v>47</v>
      </c>
      <c r="AD117" t="s">
        <v>46</v>
      </c>
      <c r="AE117" t="s">
        <v>46</v>
      </c>
      <c r="AF117" t="s">
        <v>47</v>
      </c>
      <c r="AG117" t="s">
        <v>52</v>
      </c>
      <c r="AH117" t="s">
        <v>53</v>
      </c>
      <c r="AI117" t="s">
        <v>65</v>
      </c>
      <c r="AJ117">
        <v>1.8</v>
      </c>
      <c r="AK117" t="s">
        <v>47</v>
      </c>
      <c r="AL117" t="s">
        <v>156</v>
      </c>
      <c r="AM117" t="s">
        <v>73</v>
      </c>
      <c r="AN117">
        <v>38</v>
      </c>
      <c r="AO117" t="s">
        <v>46</v>
      </c>
    </row>
    <row r="118" spans="1:41">
      <c r="A118" t="s">
        <v>262</v>
      </c>
      <c r="B118">
        <v>2020</v>
      </c>
      <c r="C118" s="1">
        <v>43881</v>
      </c>
      <c r="D118" t="s">
        <v>98</v>
      </c>
      <c r="E118" t="s">
        <v>263</v>
      </c>
      <c r="F118">
        <v>33</v>
      </c>
      <c r="G118" t="s">
        <v>60</v>
      </c>
      <c r="H118" t="s">
        <v>70</v>
      </c>
      <c r="I118">
        <v>0</v>
      </c>
      <c r="J118">
        <v>0</v>
      </c>
      <c r="K118" t="s">
        <v>47</v>
      </c>
      <c r="L118" t="s">
        <v>46</v>
      </c>
      <c r="M118" t="s">
        <v>47</v>
      </c>
      <c r="N118" t="s">
        <v>50</v>
      </c>
      <c r="O118" t="s">
        <v>49</v>
      </c>
      <c r="P118">
        <v>34.700000000000003</v>
      </c>
      <c r="Q118" t="s">
        <v>48</v>
      </c>
      <c r="R118" t="s">
        <v>47</v>
      </c>
      <c r="S118" t="s">
        <v>47</v>
      </c>
      <c r="T118" t="s">
        <v>47</v>
      </c>
      <c r="U118" t="s">
        <v>47</v>
      </c>
      <c r="V118" t="s">
        <v>86</v>
      </c>
      <c r="W118" t="s">
        <v>46</v>
      </c>
      <c r="X118" t="s">
        <v>46</v>
      </c>
      <c r="Y118" t="s">
        <v>46</v>
      </c>
      <c r="Z118" t="s">
        <v>47</v>
      </c>
      <c r="AA118" t="s">
        <v>46</v>
      </c>
      <c r="AB118" t="s">
        <v>46</v>
      </c>
      <c r="AC118" t="s">
        <v>47</v>
      </c>
      <c r="AD118" t="s">
        <v>47</v>
      </c>
      <c r="AE118" t="s">
        <v>47</v>
      </c>
      <c r="AF118" t="s">
        <v>46</v>
      </c>
      <c r="AG118" t="s">
        <v>52</v>
      </c>
      <c r="AH118" t="s">
        <v>53</v>
      </c>
      <c r="AI118" t="s">
        <v>65</v>
      </c>
      <c r="AJ118">
        <v>2.1</v>
      </c>
      <c r="AK118" t="s">
        <v>47</v>
      </c>
      <c r="AL118" t="s">
        <v>76</v>
      </c>
      <c r="AM118" t="s">
        <v>73</v>
      </c>
      <c r="AN118">
        <v>65</v>
      </c>
      <c r="AO118" t="s">
        <v>46</v>
      </c>
    </row>
    <row r="119" spans="1:41">
      <c r="A119" t="s">
        <v>264</v>
      </c>
      <c r="B119">
        <v>2022</v>
      </c>
      <c r="C119" s="1">
        <v>44893</v>
      </c>
      <c r="D119" t="s">
        <v>58</v>
      </c>
      <c r="E119" t="s">
        <v>59</v>
      </c>
      <c r="F119">
        <v>74</v>
      </c>
      <c r="G119" t="s">
        <v>60</v>
      </c>
      <c r="H119" t="s">
        <v>70</v>
      </c>
      <c r="I119">
        <v>0</v>
      </c>
      <c r="J119">
        <v>0</v>
      </c>
      <c r="K119" t="s">
        <v>46</v>
      </c>
      <c r="L119" t="s">
        <v>47</v>
      </c>
      <c r="M119" t="s">
        <v>46</v>
      </c>
      <c r="N119" t="s">
        <v>50</v>
      </c>
      <c r="O119" t="s">
        <v>49</v>
      </c>
      <c r="P119">
        <v>32</v>
      </c>
      <c r="Q119" t="s">
        <v>50</v>
      </c>
      <c r="R119" t="s">
        <v>47</v>
      </c>
      <c r="S119" t="s">
        <v>47</v>
      </c>
      <c r="T119" t="s">
        <v>47</v>
      </c>
      <c r="U119" t="s">
        <v>47</v>
      </c>
      <c r="V119" t="s">
        <v>92</v>
      </c>
      <c r="W119" t="s">
        <v>46</v>
      </c>
      <c r="X119" t="s">
        <v>46</v>
      </c>
      <c r="Y119" t="s">
        <v>46</v>
      </c>
      <c r="Z119" t="s">
        <v>47</v>
      </c>
      <c r="AA119" t="s">
        <v>47</v>
      </c>
      <c r="AB119" t="s">
        <v>47</v>
      </c>
      <c r="AC119" t="s">
        <v>47</v>
      </c>
      <c r="AD119" t="s">
        <v>47</v>
      </c>
      <c r="AE119" t="s">
        <v>46</v>
      </c>
      <c r="AF119" t="s">
        <v>47</v>
      </c>
      <c r="AG119" t="s">
        <v>52</v>
      </c>
      <c r="AH119" t="s">
        <v>71</v>
      </c>
      <c r="AI119" t="s">
        <v>54</v>
      </c>
      <c r="AJ119">
        <v>8.1999999999999993</v>
      </c>
      <c r="AK119" t="s">
        <v>46</v>
      </c>
      <c r="AL119" t="s">
        <v>76</v>
      </c>
      <c r="AM119" t="s">
        <v>265</v>
      </c>
      <c r="AN119">
        <v>5</v>
      </c>
      <c r="AO119" t="s">
        <v>47</v>
      </c>
    </row>
    <row r="120" spans="1:41">
      <c r="A120" t="s">
        <v>266</v>
      </c>
      <c r="B120">
        <v>2020</v>
      </c>
      <c r="C120" s="1">
        <v>44016</v>
      </c>
      <c r="D120" t="s">
        <v>42</v>
      </c>
      <c r="E120" t="s">
        <v>154</v>
      </c>
      <c r="F120">
        <v>57</v>
      </c>
      <c r="G120" t="s">
        <v>60</v>
      </c>
      <c r="H120" t="s">
        <v>70</v>
      </c>
      <c r="I120">
        <v>0</v>
      </c>
      <c r="J120">
        <v>0</v>
      </c>
      <c r="K120" t="s">
        <v>46</v>
      </c>
      <c r="L120" t="s">
        <v>47</v>
      </c>
      <c r="M120" t="s">
        <v>47</v>
      </c>
      <c r="N120" t="s">
        <v>62</v>
      </c>
      <c r="O120" t="s">
        <v>63</v>
      </c>
      <c r="P120">
        <v>30.8</v>
      </c>
      <c r="Q120" t="s">
        <v>50</v>
      </c>
      <c r="R120" t="s">
        <v>47</v>
      </c>
      <c r="S120" t="s">
        <v>47</v>
      </c>
      <c r="T120" t="s">
        <v>47</v>
      </c>
      <c r="U120" t="s">
        <v>47</v>
      </c>
      <c r="V120" t="s">
        <v>92</v>
      </c>
      <c r="W120" t="s">
        <v>47</v>
      </c>
      <c r="X120" t="s">
        <v>47</v>
      </c>
      <c r="Y120" t="s">
        <v>46</v>
      </c>
      <c r="Z120" t="s">
        <v>47</v>
      </c>
      <c r="AA120" t="s">
        <v>46</v>
      </c>
      <c r="AB120" t="s">
        <v>46</v>
      </c>
      <c r="AC120" t="s">
        <v>46</v>
      </c>
      <c r="AD120" t="s">
        <v>47</v>
      </c>
      <c r="AE120" t="s">
        <v>47</v>
      </c>
      <c r="AF120" t="s">
        <v>47</v>
      </c>
      <c r="AG120" t="s">
        <v>121</v>
      </c>
      <c r="AH120" t="s">
        <v>122</v>
      </c>
      <c r="AI120" t="s">
        <v>65</v>
      </c>
      <c r="AJ120">
        <v>1.6</v>
      </c>
      <c r="AK120" t="s">
        <v>47</v>
      </c>
      <c r="AL120" t="s">
        <v>76</v>
      </c>
      <c r="AM120" t="s">
        <v>103</v>
      </c>
      <c r="AN120">
        <v>12</v>
      </c>
      <c r="AO120" t="s">
        <v>46</v>
      </c>
    </row>
    <row r="121" spans="1:41">
      <c r="A121" t="s">
        <v>267</v>
      </c>
      <c r="B121">
        <v>2022</v>
      </c>
      <c r="C121" s="1">
        <v>44670</v>
      </c>
      <c r="D121" t="s">
        <v>58</v>
      </c>
      <c r="E121" t="s">
        <v>163</v>
      </c>
      <c r="F121">
        <v>83</v>
      </c>
      <c r="G121" t="s">
        <v>60</v>
      </c>
      <c r="H121" t="s">
        <v>45</v>
      </c>
      <c r="I121">
        <v>40</v>
      </c>
      <c r="J121">
        <v>46</v>
      </c>
      <c r="K121" t="s">
        <v>47</v>
      </c>
      <c r="L121" t="s">
        <v>47</v>
      </c>
      <c r="M121" t="s">
        <v>47</v>
      </c>
      <c r="N121" t="s">
        <v>48</v>
      </c>
      <c r="O121" t="s">
        <v>48</v>
      </c>
      <c r="P121">
        <v>24</v>
      </c>
      <c r="Q121" t="s">
        <v>48</v>
      </c>
      <c r="R121" t="s">
        <v>47</v>
      </c>
      <c r="S121" t="s">
        <v>47</v>
      </c>
      <c r="T121" t="s">
        <v>47</v>
      </c>
      <c r="U121" t="s">
        <v>47</v>
      </c>
      <c r="V121" t="s">
        <v>151</v>
      </c>
      <c r="W121" t="s">
        <v>46</v>
      </c>
      <c r="X121" t="s">
        <v>46</v>
      </c>
      <c r="Y121" t="s">
        <v>46</v>
      </c>
      <c r="Z121" t="s">
        <v>46</v>
      </c>
      <c r="AA121" t="s">
        <v>46</v>
      </c>
      <c r="AB121" t="s">
        <v>46</v>
      </c>
      <c r="AC121" t="s">
        <v>47</v>
      </c>
      <c r="AD121" t="s">
        <v>46</v>
      </c>
      <c r="AE121" t="s">
        <v>47</v>
      </c>
      <c r="AF121" t="s">
        <v>47</v>
      </c>
      <c r="AG121" t="s">
        <v>52</v>
      </c>
      <c r="AH121" t="s">
        <v>53</v>
      </c>
      <c r="AI121" t="s">
        <v>65</v>
      </c>
      <c r="AJ121">
        <v>0.5</v>
      </c>
      <c r="AK121" t="s">
        <v>47</v>
      </c>
      <c r="AL121" t="s">
        <v>156</v>
      </c>
      <c r="AM121" t="s">
        <v>103</v>
      </c>
      <c r="AN121">
        <v>70</v>
      </c>
      <c r="AO121" t="s">
        <v>47</v>
      </c>
    </row>
    <row r="122" spans="1:41">
      <c r="A122" t="s">
        <v>268</v>
      </c>
      <c r="B122">
        <v>2015</v>
      </c>
      <c r="C122" s="1">
        <v>42024</v>
      </c>
      <c r="D122" t="s">
        <v>42</v>
      </c>
      <c r="E122" t="s">
        <v>69</v>
      </c>
      <c r="F122">
        <v>65</v>
      </c>
      <c r="G122" t="s">
        <v>60</v>
      </c>
      <c r="H122" t="s">
        <v>70</v>
      </c>
      <c r="I122">
        <v>0</v>
      </c>
      <c r="J122">
        <v>0</v>
      </c>
      <c r="K122" t="s">
        <v>46</v>
      </c>
      <c r="L122" t="s">
        <v>47</v>
      </c>
      <c r="M122" t="s">
        <v>47</v>
      </c>
      <c r="N122" t="s">
        <v>62</v>
      </c>
      <c r="O122" t="s">
        <v>49</v>
      </c>
      <c r="P122">
        <v>30.1</v>
      </c>
      <c r="Q122" t="s">
        <v>50</v>
      </c>
      <c r="R122" t="s">
        <v>47</v>
      </c>
      <c r="S122" t="s">
        <v>47</v>
      </c>
      <c r="T122" t="s">
        <v>47</v>
      </c>
      <c r="U122" t="s">
        <v>47</v>
      </c>
      <c r="V122" t="s">
        <v>193</v>
      </c>
      <c r="W122" t="s">
        <v>47</v>
      </c>
      <c r="X122" t="s">
        <v>47</v>
      </c>
      <c r="Y122" t="s">
        <v>46</v>
      </c>
      <c r="Z122" t="s">
        <v>46</v>
      </c>
      <c r="AA122" t="s">
        <v>46</v>
      </c>
      <c r="AB122" t="s">
        <v>47</v>
      </c>
      <c r="AC122" t="s">
        <v>47</v>
      </c>
      <c r="AD122" t="s">
        <v>46</v>
      </c>
      <c r="AE122" t="s">
        <v>47</v>
      </c>
      <c r="AF122" t="s">
        <v>47</v>
      </c>
      <c r="AG122" t="s">
        <v>52</v>
      </c>
      <c r="AH122" t="s">
        <v>53</v>
      </c>
      <c r="AI122" t="s">
        <v>80</v>
      </c>
      <c r="AJ122">
        <v>7</v>
      </c>
      <c r="AK122" t="s">
        <v>47</v>
      </c>
      <c r="AL122" t="s">
        <v>81</v>
      </c>
      <c r="AM122" t="s">
        <v>103</v>
      </c>
      <c r="AN122">
        <v>17</v>
      </c>
      <c r="AO122" t="s">
        <v>47</v>
      </c>
    </row>
    <row r="123" spans="1:41">
      <c r="A123" t="s">
        <v>269</v>
      </c>
      <c r="B123">
        <v>2023</v>
      </c>
      <c r="C123" s="1">
        <v>45129</v>
      </c>
      <c r="D123" t="s">
        <v>42</v>
      </c>
      <c r="E123" t="s">
        <v>154</v>
      </c>
      <c r="F123">
        <v>48</v>
      </c>
      <c r="G123" t="s">
        <v>44</v>
      </c>
      <c r="H123" t="s">
        <v>70</v>
      </c>
      <c r="I123">
        <v>0</v>
      </c>
      <c r="J123">
        <v>0</v>
      </c>
      <c r="K123" t="s">
        <v>46</v>
      </c>
      <c r="L123" t="s">
        <v>46</v>
      </c>
      <c r="M123" t="s">
        <v>47</v>
      </c>
      <c r="N123" t="s">
        <v>48</v>
      </c>
      <c r="O123" t="s">
        <v>49</v>
      </c>
      <c r="P123">
        <v>30.5</v>
      </c>
      <c r="Q123" t="s">
        <v>50</v>
      </c>
      <c r="R123" t="s">
        <v>47</v>
      </c>
      <c r="S123" t="s">
        <v>47</v>
      </c>
      <c r="T123" t="s">
        <v>47</v>
      </c>
      <c r="U123" t="s">
        <v>47</v>
      </c>
      <c r="V123" t="s">
        <v>51</v>
      </c>
      <c r="W123" t="s">
        <v>47</v>
      </c>
      <c r="X123" t="s">
        <v>46</v>
      </c>
      <c r="Y123" t="s">
        <v>47</v>
      </c>
      <c r="Z123" t="s">
        <v>47</v>
      </c>
      <c r="AA123" t="s">
        <v>47</v>
      </c>
      <c r="AB123" t="s">
        <v>47</v>
      </c>
      <c r="AC123" t="s">
        <v>47</v>
      </c>
      <c r="AD123" t="s">
        <v>47</v>
      </c>
      <c r="AE123" t="s">
        <v>47</v>
      </c>
      <c r="AF123" t="s">
        <v>47</v>
      </c>
      <c r="AG123" t="s">
        <v>52</v>
      </c>
      <c r="AH123" t="s">
        <v>90</v>
      </c>
      <c r="AI123" t="s">
        <v>87</v>
      </c>
      <c r="AJ123">
        <v>5.9</v>
      </c>
      <c r="AK123" t="s">
        <v>47</v>
      </c>
      <c r="AL123" t="s">
        <v>76</v>
      </c>
      <c r="AM123" t="s">
        <v>77</v>
      </c>
      <c r="AN123">
        <v>43</v>
      </c>
      <c r="AO123" t="s">
        <v>46</v>
      </c>
    </row>
    <row r="124" spans="1:41">
      <c r="A124" t="s">
        <v>270</v>
      </c>
      <c r="B124">
        <v>2019</v>
      </c>
      <c r="C124" s="1">
        <v>43755</v>
      </c>
      <c r="D124" t="s">
        <v>95</v>
      </c>
      <c r="E124" t="s">
        <v>107</v>
      </c>
      <c r="F124">
        <v>49</v>
      </c>
      <c r="G124" t="s">
        <v>44</v>
      </c>
      <c r="H124" t="s">
        <v>70</v>
      </c>
      <c r="I124">
        <v>0</v>
      </c>
      <c r="J124">
        <v>0</v>
      </c>
      <c r="K124" t="s">
        <v>46</v>
      </c>
      <c r="L124" t="s">
        <v>46</v>
      </c>
      <c r="M124" t="s">
        <v>47</v>
      </c>
      <c r="N124" t="s">
        <v>62</v>
      </c>
      <c r="O124" t="s">
        <v>49</v>
      </c>
      <c r="P124">
        <v>29.6</v>
      </c>
      <c r="Q124" t="s">
        <v>62</v>
      </c>
      <c r="R124" t="s">
        <v>47</v>
      </c>
      <c r="S124" t="s">
        <v>47</v>
      </c>
      <c r="T124" t="s">
        <v>47</v>
      </c>
      <c r="U124" t="s">
        <v>47</v>
      </c>
      <c r="V124" t="s">
        <v>92</v>
      </c>
      <c r="W124" t="s">
        <v>46</v>
      </c>
      <c r="X124" t="s">
        <v>46</v>
      </c>
      <c r="Y124" t="s">
        <v>47</v>
      </c>
      <c r="Z124" t="s">
        <v>46</v>
      </c>
      <c r="AA124" t="s">
        <v>46</v>
      </c>
      <c r="AB124" t="s">
        <v>47</v>
      </c>
      <c r="AC124" t="s">
        <v>47</v>
      </c>
      <c r="AD124" t="s">
        <v>47</v>
      </c>
      <c r="AE124" t="s">
        <v>47</v>
      </c>
      <c r="AF124" t="s">
        <v>47</v>
      </c>
      <c r="AG124" t="s">
        <v>52</v>
      </c>
      <c r="AH124" t="s">
        <v>71</v>
      </c>
      <c r="AI124" t="s">
        <v>65</v>
      </c>
      <c r="AJ124">
        <v>3</v>
      </c>
      <c r="AK124" t="s">
        <v>47</v>
      </c>
      <c r="AL124" t="s">
        <v>156</v>
      </c>
      <c r="AM124" t="s">
        <v>82</v>
      </c>
      <c r="AN124">
        <v>39</v>
      </c>
      <c r="AO124" t="s">
        <v>46</v>
      </c>
    </row>
    <row r="125" spans="1:41">
      <c r="A125" t="s">
        <v>271</v>
      </c>
      <c r="B125">
        <v>2021</v>
      </c>
      <c r="C125" s="1">
        <v>44323</v>
      </c>
      <c r="D125" t="s">
        <v>58</v>
      </c>
      <c r="E125" t="s">
        <v>138</v>
      </c>
      <c r="F125">
        <v>66</v>
      </c>
      <c r="G125" t="s">
        <v>60</v>
      </c>
      <c r="H125" t="s">
        <v>45</v>
      </c>
      <c r="I125">
        <v>28</v>
      </c>
      <c r="J125">
        <v>28</v>
      </c>
      <c r="K125" t="s">
        <v>47</v>
      </c>
      <c r="L125" t="s">
        <v>47</v>
      </c>
      <c r="M125" t="s">
        <v>47</v>
      </c>
      <c r="N125" t="s">
        <v>62</v>
      </c>
      <c r="O125" t="s">
        <v>49</v>
      </c>
      <c r="P125">
        <v>27.9</v>
      </c>
      <c r="Q125" t="s">
        <v>62</v>
      </c>
      <c r="R125" t="s">
        <v>46</v>
      </c>
      <c r="S125" t="s">
        <v>47</v>
      </c>
      <c r="T125" t="s">
        <v>47</v>
      </c>
      <c r="U125" t="s">
        <v>47</v>
      </c>
      <c r="V125" t="s">
        <v>64</v>
      </c>
      <c r="W125" t="s">
        <v>47</v>
      </c>
      <c r="X125" t="s">
        <v>46</v>
      </c>
      <c r="Y125" t="s">
        <v>46</v>
      </c>
      <c r="Z125" t="s">
        <v>47</v>
      </c>
      <c r="AA125" t="s">
        <v>46</v>
      </c>
      <c r="AB125" t="s">
        <v>47</v>
      </c>
      <c r="AC125" t="s">
        <v>46</v>
      </c>
      <c r="AD125" t="s">
        <v>46</v>
      </c>
      <c r="AE125" t="s">
        <v>47</v>
      </c>
      <c r="AF125" t="s">
        <v>47</v>
      </c>
      <c r="AG125" t="s">
        <v>52</v>
      </c>
      <c r="AH125" t="s">
        <v>71</v>
      </c>
      <c r="AI125" t="s">
        <v>80</v>
      </c>
      <c r="AJ125">
        <v>6.1</v>
      </c>
      <c r="AK125" t="s">
        <v>46</v>
      </c>
      <c r="AL125" t="s">
        <v>66</v>
      </c>
      <c r="AM125" t="s">
        <v>56</v>
      </c>
      <c r="AN125">
        <v>21</v>
      </c>
      <c r="AO125" t="s">
        <v>47</v>
      </c>
    </row>
    <row r="126" spans="1:41">
      <c r="A126" t="s">
        <v>272</v>
      </c>
      <c r="B126">
        <v>2024</v>
      </c>
      <c r="C126" s="1">
        <v>45391</v>
      </c>
      <c r="D126" t="s">
        <v>84</v>
      </c>
      <c r="E126" t="s">
        <v>102</v>
      </c>
      <c r="F126">
        <v>66</v>
      </c>
      <c r="G126" t="s">
        <v>44</v>
      </c>
      <c r="H126" t="s">
        <v>70</v>
      </c>
      <c r="I126">
        <v>0</v>
      </c>
      <c r="J126">
        <v>0</v>
      </c>
      <c r="K126" t="s">
        <v>46</v>
      </c>
      <c r="L126" t="s">
        <v>47</v>
      </c>
      <c r="M126" t="s">
        <v>47</v>
      </c>
      <c r="N126" t="s">
        <v>50</v>
      </c>
      <c r="O126" t="s">
        <v>63</v>
      </c>
      <c r="P126">
        <v>25.2</v>
      </c>
      <c r="Q126" t="s">
        <v>48</v>
      </c>
      <c r="R126" t="s">
        <v>47</v>
      </c>
      <c r="S126" t="s">
        <v>47</v>
      </c>
      <c r="T126" t="s">
        <v>47</v>
      </c>
      <c r="U126" t="s">
        <v>47</v>
      </c>
      <c r="V126" t="s">
        <v>117</v>
      </c>
      <c r="W126" t="s">
        <v>47</v>
      </c>
      <c r="X126" t="s">
        <v>47</v>
      </c>
      <c r="Y126" t="s">
        <v>46</v>
      </c>
      <c r="Z126" t="s">
        <v>46</v>
      </c>
      <c r="AA126" t="s">
        <v>46</v>
      </c>
      <c r="AB126" t="s">
        <v>47</v>
      </c>
      <c r="AC126" t="s">
        <v>47</v>
      </c>
      <c r="AD126" t="s">
        <v>47</v>
      </c>
      <c r="AE126" t="s">
        <v>47</v>
      </c>
      <c r="AF126" t="s">
        <v>47</v>
      </c>
      <c r="AG126" t="s">
        <v>52</v>
      </c>
      <c r="AH126" t="s">
        <v>90</v>
      </c>
      <c r="AI126" t="s">
        <v>87</v>
      </c>
      <c r="AJ126">
        <v>3.3</v>
      </c>
      <c r="AK126" t="s">
        <v>47</v>
      </c>
      <c r="AL126" t="s">
        <v>66</v>
      </c>
      <c r="AM126" t="s">
        <v>67</v>
      </c>
      <c r="AN126">
        <v>39</v>
      </c>
      <c r="AO126" t="s">
        <v>47</v>
      </c>
    </row>
    <row r="127" spans="1:41">
      <c r="A127" t="s">
        <v>273</v>
      </c>
      <c r="B127">
        <v>2020</v>
      </c>
      <c r="C127" s="1">
        <v>43912</v>
      </c>
      <c r="D127" t="s">
        <v>42</v>
      </c>
      <c r="E127" t="s">
        <v>247</v>
      </c>
      <c r="F127">
        <v>67</v>
      </c>
      <c r="G127" t="s">
        <v>60</v>
      </c>
      <c r="H127" t="s">
        <v>61</v>
      </c>
      <c r="I127">
        <v>23</v>
      </c>
      <c r="J127">
        <v>6</v>
      </c>
      <c r="K127" t="s">
        <v>47</v>
      </c>
      <c r="L127" t="s">
        <v>47</v>
      </c>
      <c r="M127" t="s">
        <v>47</v>
      </c>
      <c r="N127" t="s">
        <v>62</v>
      </c>
      <c r="O127" t="s">
        <v>63</v>
      </c>
      <c r="P127">
        <v>25.4</v>
      </c>
      <c r="Q127" t="s">
        <v>48</v>
      </c>
      <c r="R127" t="s">
        <v>47</v>
      </c>
      <c r="S127" t="s">
        <v>47</v>
      </c>
      <c r="T127" t="s">
        <v>46</v>
      </c>
      <c r="U127" t="s">
        <v>47</v>
      </c>
      <c r="V127" t="s">
        <v>151</v>
      </c>
      <c r="W127" t="s">
        <v>46</v>
      </c>
      <c r="X127" t="s">
        <v>46</v>
      </c>
      <c r="Y127" t="s">
        <v>47</v>
      </c>
      <c r="Z127" t="s">
        <v>47</v>
      </c>
      <c r="AA127" t="s">
        <v>47</v>
      </c>
      <c r="AB127" t="s">
        <v>46</v>
      </c>
      <c r="AC127" t="s">
        <v>46</v>
      </c>
      <c r="AD127" t="s">
        <v>46</v>
      </c>
      <c r="AE127" t="s">
        <v>47</v>
      </c>
      <c r="AF127" t="s">
        <v>47</v>
      </c>
      <c r="AG127" t="s">
        <v>52</v>
      </c>
      <c r="AH127" t="s">
        <v>53</v>
      </c>
      <c r="AI127" t="s">
        <v>80</v>
      </c>
      <c r="AJ127">
        <v>6.7</v>
      </c>
      <c r="AK127" t="s">
        <v>46</v>
      </c>
      <c r="AL127" t="s">
        <v>100</v>
      </c>
      <c r="AM127" t="s">
        <v>56</v>
      </c>
      <c r="AN127">
        <v>29</v>
      </c>
      <c r="AO127" t="s">
        <v>46</v>
      </c>
    </row>
    <row r="128" spans="1:41">
      <c r="A128" t="s">
        <v>274</v>
      </c>
      <c r="B128">
        <v>2025</v>
      </c>
      <c r="C128" s="1">
        <v>45880</v>
      </c>
      <c r="D128" t="s">
        <v>110</v>
      </c>
      <c r="E128" t="s">
        <v>227</v>
      </c>
      <c r="F128">
        <v>75</v>
      </c>
      <c r="G128" t="s">
        <v>60</v>
      </c>
      <c r="H128" t="s">
        <v>61</v>
      </c>
      <c r="I128">
        <v>11</v>
      </c>
      <c r="J128">
        <v>30</v>
      </c>
      <c r="K128" t="s">
        <v>47</v>
      </c>
      <c r="L128" t="s">
        <v>47</v>
      </c>
      <c r="M128" t="s">
        <v>47</v>
      </c>
      <c r="N128" t="s">
        <v>50</v>
      </c>
      <c r="O128" t="s">
        <v>48</v>
      </c>
      <c r="P128">
        <v>24.1</v>
      </c>
      <c r="Q128" t="s">
        <v>48</v>
      </c>
      <c r="R128" t="s">
        <v>47</v>
      </c>
      <c r="S128" t="s">
        <v>47</v>
      </c>
      <c r="T128" t="s">
        <v>47</v>
      </c>
      <c r="U128" t="s">
        <v>47</v>
      </c>
      <c r="V128" t="s">
        <v>64</v>
      </c>
      <c r="W128" t="s">
        <v>46</v>
      </c>
      <c r="X128" t="s">
        <v>47</v>
      </c>
      <c r="Y128" t="s">
        <v>47</v>
      </c>
      <c r="Z128" t="s">
        <v>46</v>
      </c>
      <c r="AA128" t="s">
        <v>47</v>
      </c>
      <c r="AB128" t="s">
        <v>46</v>
      </c>
      <c r="AC128" t="s">
        <v>46</v>
      </c>
      <c r="AD128" t="s">
        <v>47</v>
      </c>
      <c r="AE128" t="s">
        <v>47</v>
      </c>
      <c r="AF128" t="s">
        <v>47</v>
      </c>
      <c r="AG128" t="s">
        <v>52</v>
      </c>
      <c r="AH128" t="s">
        <v>71</v>
      </c>
      <c r="AI128" t="s">
        <v>65</v>
      </c>
      <c r="AJ128">
        <v>0.9</v>
      </c>
      <c r="AK128" t="s">
        <v>47</v>
      </c>
      <c r="AL128" t="s">
        <v>76</v>
      </c>
      <c r="AM128" t="s">
        <v>73</v>
      </c>
      <c r="AN128">
        <v>64</v>
      </c>
      <c r="AO128" t="s">
        <v>46</v>
      </c>
    </row>
    <row r="129" spans="1:41">
      <c r="A129" t="s">
        <v>275</v>
      </c>
      <c r="B129">
        <v>2020</v>
      </c>
      <c r="C129" s="1">
        <v>43845</v>
      </c>
      <c r="D129" t="s">
        <v>42</v>
      </c>
      <c r="E129" t="s">
        <v>154</v>
      </c>
      <c r="F129">
        <v>37</v>
      </c>
      <c r="G129" t="s">
        <v>44</v>
      </c>
      <c r="H129" t="s">
        <v>45</v>
      </c>
      <c r="I129">
        <v>24</v>
      </c>
      <c r="J129">
        <v>8</v>
      </c>
      <c r="K129" t="s">
        <v>46</v>
      </c>
      <c r="L129" t="s">
        <v>46</v>
      </c>
      <c r="M129" t="s">
        <v>47</v>
      </c>
      <c r="N129" t="s">
        <v>50</v>
      </c>
      <c r="O129" t="s">
        <v>48</v>
      </c>
      <c r="P129">
        <v>22.3</v>
      </c>
      <c r="Q129" t="s">
        <v>50</v>
      </c>
      <c r="R129" t="s">
        <v>46</v>
      </c>
      <c r="S129" t="s">
        <v>47</v>
      </c>
      <c r="T129" t="s">
        <v>47</v>
      </c>
      <c r="U129" t="s">
        <v>47</v>
      </c>
      <c r="V129" t="s">
        <v>151</v>
      </c>
      <c r="W129" t="s">
        <v>46</v>
      </c>
      <c r="X129" t="s">
        <v>47</v>
      </c>
      <c r="Y129" t="s">
        <v>46</v>
      </c>
      <c r="Z129" t="s">
        <v>47</v>
      </c>
      <c r="AA129" t="s">
        <v>46</v>
      </c>
      <c r="AB129" t="s">
        <v>47</v>
      </c>
      <c r="AC129" t="s">
        <v>46</v>
      </c>
      <c r="AD129" t="s">
        <v>47</v>
      </c>
      <c r="AE129" t="s">
        <v>47</v>
      </c>
      <c r="AF129" t="s">
        <v>47</v>
      </c>
      <c r="AG129" t="s">
        <v>121</v>
      </c>
      <c r="AH129" t="s">
        <v>122</v>
      </c>
      <c r="AI129" t="s">
        <v>54</v>
      </c>
      <c r="AJ129">
        <v>5</v>
      </c>
      <c r="AK129" t="s">
        <v>46</v>
      </c>
      <c r="AL129" t="s">
        <v>156</v>
      </c>
      <c r="AM129" t="s">
        <v>77</v>
      </c>
      <c r="AN129">
        <v>3</v>
      </c>
      <c r="AO129" t="s">
        <v>47</v>
      </c>
    </row>
    <row r="130" spans="1:41">
      <c r="A130" t="s">
        <v>276</v>
      </c>
      <c r="B130">
        <v>2020</v>
      </c>
      <c r="C130" s="1">
        <v>44108</v>
      </c>
      <c r="D130" t="s">
        <v>95</v>
      </c>
      <c r="E130" t="s">
        <v>120</v>
      </c>
      <c r="F130">
        <v>54</v>
      </c>
      <c r="G130" t="s">
        <v>60</v>
      </c>
      <c r="H130" t="s">
        <v>45</v>
      </c>
      <c r="I130">
        <v>30</v>
      </c>
      <c r="J130">
        <v>35</v>
      </c>
      <c r="K130" t="s">
        <v>47</v>
      </c>
      <c r="L130" t="s">
        <v>47</v>
      </c>
      <c r="M130" t="s">
        <v>46</v>
      </c>
      <c r="N130" t="s">
        <v>48</v>
      </c>
      <c r="O130" t="s">
        <v>49</v>
      </c>
      <c r="P130">
        <v>26.6</v>
      </c>
      <c r="Q130" t="s">
        <v>50</v>
      </c>
      <c r="R130" t="s">
        <v>47</v>
      </c>
      <c r="S130" t="s">
        <v>46</v>
      </c>
      <c r="T130" t="s">
        <v>47</v>
      </c>
      <c r="U130" t="s">
        <v>47</v>
      </c>
      <c r="V130" t="s">
        <v>51</v>
      </c>
      <c r="W130" t="s">
        <v>46</v>
      </c>
      <c r="X130" t="s">
        <v>46</v>
      </c>
      <c r="Y130" t="s">
        <v>46</v>
      </c>
      <c r="Z130" t="s">
        <v>46</v>
      </c>
      <c r="AA130" t="s">
        <v>47</v>
      </c>
      <c r="AB130" t="s">
        <v>46</v>
      </c>
      <c r="AC130" t="s">
        <v>47</v>
      </c>
      <c r="AD130" t="s">
        <v>46</v>
      </c>
      <c r="AE130" t="s">
        <v>47</v>
      </c>
      <c r="AF130" t="s">
        <v>47</v>
      </c>
      <c r="AG130" t="s">
        <v>121</v>
      </c>
      <c r="AH130" t="s">
        <v>122</v>
      </c>
      <c r="AI130" t="s">
        <v>80</v>
      </c>
      <c r="AJ130">
        <v>6.2</v>
      </c>
      <c r="AK130" t="s">
        <v>47</v>
      </c>
      <c r="AL130" t="s">
        <v>66</v>
      </c>
      <c r="AM130" t="s">
        <v>77</v>
      </c>
      <c r="AN130">
        <v>27</v>
      </c>
      <c r="AO130" t="s">
        <v>46</v>
      </c>
    </row>
    <row r="131" spans="1:41">
      <c r="A131" t="s">
        <v>277</v>
      </c>
      <c r="B131">
        <v>2019</v>
      </c>
      <c r="C131" s="1">
        <v>43715</v>
      </c>
      <c r="D131" t="s">
        <v>84</v>
      </c>
      <c r="E131" t="s">
        <v>89</v>
      </c>
      <c r="F131">
        <v>65</v>
      </c>
      <c r="G131" t="s">
        <v>60</v>
      </c>
      <c r="H131" t="s">
        <v>70</v>
      </c>
      <c r="I131">
        <v>0</v>
      </c>
      <c r="J131">
        <v>0</v>
      </c>
      <c r="K131" t="s">
        <v>46</v>
      </c>
      <c r="L131" t="s">
        <v>46</v>
      </c>
      <c r="M131" t="s">
        <v>46</v>
      </c>
      <c r="N131" t="s">
        <v>48</v>
      </c>
      <c r="O131" t="s">
        <v>49</v>
      </c>
      <c r="P131">
        <v>22.2</v>
      </c>
      <c r="Q131" t="s">
        <v>48</v>
      </c>
      <c r="R131" t="s">
        <v>47</v>
      </c>
      <c r="S131" t="s">
        <v>47</v>
      </c>
      <c r="T131" t="s">
        <v>47</v>
      </c>
      <c r="U131" t="s">
        <v>47</v>
      </c>
      <c r="V131" t="s">
        <v>86</v>
      </c>
      <c r="W131" t="s">
        <v>47</v>
      </c>
      <c r="X131" t="s">
        <v>47</v>
      </c>
      <c r="Y131" t="s">
        <v>46</v>
      </c>
      <c r="Z131" t="s">
        <v>46</v>
      </c>
      <c r="AA131" t="s">
        <v>47</v>
      </c>
      <c r="AB131" t="s">
        <v>47</v>
      </c>
      <c r="AC131" t="s">
        <v>47</v>
      </c>
      <c r="AD131" t="s">
        <v>46</v>
      </c>
      <c r="AE131" t="s">
        <v>47</v>
      </c>
      <c r="AF131" t="s">
        <v>47</v>
      </c>
      <c r="AG131" t="s">
        <v>52</v>
      </c>
      <c r="AH131" t="s">
        <v>53</v>
      </c>
      <c r="AI131" t="s">
        <v>65</v>
      </c>
      <c r="AJ131">
        <v>1.4</v>
      </c>
      <c r="AK131" t="s">
        <v>47</v>
      </c>
      <c r="AL131" t="s">
        <v>76</v>
      </c>
      <c r="AM131" t="s">
        <v>73</v>
      </c>
      <c r="AN131">
        <v>51</v>
      </c>
      <c r="AO131" t="s">
        <v>46</v>
      </c>
    </row>
    <row r="132" spans="1:41">
      <c r="A132" t="s">
        <v>278</v>
      </c>
      <c r="B132">
        <v>2015</v>
      </c>
      <c r="C132" s="1">
        <v>42129</v>
      </c>
      <c r="D132" t="s">
        <v>95</v>
      </c>
      <c r="E132" t="s">
        <v>107</v>
      </c>
      <c r="F132">
        <v>67</v>
      </c>
      <c r="G132" t="s">
        <v>60</v>
      </c>
      <c r="H132" t="s">
        <v>45</v>
      </c>
      <c r="I132">
        <v>22</v>
      </c>
      <c r="J132">
        <v>32</v>
      </c>
      <c r="K132" t="s">
        <v>47</v>
      </c>
      <c r="L132" t="s">
        <v>47</v>
      </c>
      <c r="M132" t="s">
        <v>47</v>
      </c>
      <c r="N132" t="s">
        <v>50</v>
      </c>
      <c r="O132" t="s">
        <v>49</v>
      </c>
      <c r="P132">
        <v>33.1</v>
      </c>
      <c r="Q132" t="s">
        <v>62</v>
      </c>
      <c r="R132" t="s">
        <v>46</v>
      </c>
      <c r="S132" t="s">
        <v>47</v>
      </c>
      <c r="T132" t="s">
        <v>47</v>
      </c>
      <c r="U132" t="s">
        <v>47</v>
      </c>
      <c r="V132" t="s">
        <v>51</v>
      </c>
      <c r="W132" t="s">
        <v>46</v>
      </c>
      <c r="X132" t="s">
        <v>46</v>
      </c>
      <c r="Y132" t="s">
        <v>47</v>
      </c>
      <c r="Z132" t="s">
        <v>46</v>
      </c>
      <c r="AA132" t="s">
        <v>46</v>
      </c>
      <c r="AB132" t="s">
        <v>46</v>
      </c>
      <c r="AC132" t="s">
        <v>46</v>
      </c>
      <c r="AD132" t="s">
        <v>47</v>
      </c>
      <c r="AE132" t="s">
        <v>47</v>
      </c>
      <c r="AF132" t="s">
        <v>47</v>
      </c>
      <c r="AG132" t="s">
        <v>52</v>
      </c>
      <c r="AH132" t="s">
        <v>90</v>
      </c>
      <c r="AI132" t="s">
        <v>80</v>
      </c>
      <c r="AJ132">
        <v>6.8</v>
      </c>
      <c r="AK132" t="s">
        <v>47</v>
      </c>
      <c r="AL132" t="s">
        <v>100</v>
      </c>
      <c r="AM132" t="s">
        <v>56</v>
      </c>
      <c r="AN132">
        <v>19</v>
      </c>
      <c r="AO132" t="s">
        <v>47</v>
      </c>
    </row>
    <row r="133" spans="1:41">
      <c r="A133" t="s">
        <v>279</v>
      </c>
      <c r="B133">
        <v>2019</v>
      </c>
      <c r="C133" s="1">
        <v>43504</v>
      </c>
      <c r="D133" t="s">
        <v>95</v>
      </c>
      <c r="E133" t="s">
        <v>107</v>
      </c>
      <c r="F133">
        <v>69</v>
      </c>
      <c r="G133" t="s">
        <v>44</v>
      </c>
      <c r="H133" t="s">
        <v>70</v>
      </c>
      <c r="I133">
        <v>0</v>
      </c>
      <c r="J133">
        <v>0</v>
      </c>
      <c r="K133" t="s">
        <v>47</v>
      </c>
      <c r="L133" t="s">
        <v>47</v>
      </c>
      <c r="M133" t="s">
        <v>47</v>
      </c>
      <c r="N133" t="s">
        <v>62</v>
      </c>
      <c r="O133" t="s">
        <v>49</v>
      </c>
      <c r="P133">
        <v>24.3</v>
      </c>
      <c r="Q133" t="s">
        <v>50</v>
      </c>
      <c r="R133" t="s">
        <v>47</v>
      </c>
      <c r="S133" t="s">
        <v>47</v>
      </c>
      <c r="T133" t="s">
        <v>47</v>
      </c>
      <c r="U133" t="s">
        <v>47</v>
      </c>
      <c r="V133" t="s">
        <v>117</v>
      </c>
      <c r="W133" t="s">
        <v>47</v>
      </c>
      <c r="X133" t="s">
        <v>46</v>
      </c>
      <c r="Y133" t="s">
        <v>47</v>
      </c>
      <c r="Z133" t="s">
        <v>47</v>
      </c>
      <c r="AA133" t="s">
        <v>46</v>
      </c>
      <c r="AB133" t="s">
        <v>47</v>
      </c>
      <c r="AC133" t="s">
        <v>47</v>
      </c>
      <c r="AD133" t="s">
        <v>47</v>
      </c>
      <c r="AE133" t="s">
        <v>47</v>
      </c>
      <c r="AF133" t="s">
        <v>47</v>
      </c>
      <c r="AG133" t="s">
        <v>52</v>
      </c>
      <c r="AH133" t="s">
        <v>90</v>
      </c>
      <c r="AI133" t="s">
        <v>87</v>
      </c>
      <c r="AJ133">
        <v>4.3</v>
      </c>
      <c r="AK133" t="s">
        <v>47</v>
      </c>
      <c r="AL133" t="s">
        <v>100</v>
      </c>
      <c r="AM133" t="s">
        <v>118</v>
      </c>
      <c r="AN133">
        <v>61</v>
      </c>
      <c r="AO133" t="s">
        <v>46</v>
      </c>
    </row>
    <row r="134" spans="1:41">
      <c r="A134" t="s">
        <v>280</v>
      </c>
      <c r="B134">
        <v>2016</v>
      </c>
      <c r="C134" s="1">
        <v>42496</v>
      </c>
      <c r="D134" t="s">
        <v>58</v>
      </c>
      <c r="E134" t="s">
        <v>252</v>
      </c>
      <c r="F134">
        <v>70</v>
      </c>
      <c r="G134" t="s">
        <v>60</v>
      </c>
      <c r="H134" t="s">
        <v>70</v>
      </c>
      <c r="I134">
        <v>0</v>
      </c>
      <c r="J134">
        <v>0</v>
      </c>
      <c r="K134" t="s">
        <v>47</v>
      </c>
      <c r="L134" t="s">
        <v>46</v>
      </c>
      <c r="M134" t="s">
        <v>47</v>
      </c>
      <c r="N134" t="s">
        <v>48</v>
      </c>
      <c r="O134" t="s">
        <v>48</v>
      </c>
      <c r="P134">
        <v>21.8</v>
      </c>
      <c r="Q134" t="s">
        <v>62</v>
      </c>
      <c r="R134" t="s">
        <v>47</v>
      </c>
      <c r="S134" t="s">
        <v>47</v>
      </c>
      <c r="T134" t="s">
        <v>47</v>
      </c>
      <c r="U134" t="s">
        <v>47</v>
      </c>
      <c r="V134" t="s">
        <v>86</v>
      </c>
      <c r="W134" t="s">
        <v>47</v>
      </c>
      <c r="X134" t="s">
        <v>46</v>
      </c>
      <c r="Y134" t="s">
        <v>47</v>
      </c>
      <c r="Z134" t="s">
        <v>47</v>
      </c>
      <c r="AA134" t="s">
        <v>46</v>
      </c>
      <c r="AB134" t="s">
        <v>47</v>
      </c>
      <c r="AC134" t="s">
        <v>47</v>
      </c>
      <c r="AD134" t="s">
        <v>47</v>
      </c>
      <c r="AE134" t="s">
        <v>47</v>
      </c>
      <c r="AF134" t="s">
        <v>47</v>
      </c>
      <c r="AG134" t="s">
        <v>52</v>
      </c>
      <c r="AH134" t="s">
        <v>71</v>
      </c>
      <c r="AI134" t="s">
        <v>54</v>
      </c>
      <c r="AJ134">
        <v>5.3</v>
      </c>
      <c r="AK134" t="s">
        <v>46</v>
      </c>
      <c r="AL134" t="s">
        <v>76</v>
      </c>
      <c r="AM134" t="s">
        <v>82</v>
      </c>
      <c r="AN134">
        <v>10</v>
      </c>
      <c r="AO134" t="s">
        <v>47</v>
      </c>
    </row>
    <row r="135" spans="1:41">
      <c r="A135" t="s">
        <v>281</v>
      </c>
      <c r="B135">
        <v>2022</v>
      </c>
      <c r="C135" s="1">
        <v>44827</v>
      </c>
      <c r="D135" t="s">
        <v>58</v>
      </c>
      <c r="E135" t="s">
        <v>134</v>
      </c>
      <c r="F135">
        <v>62</v>
      </c>
      <c r="G135" t="s">
        <v>60</v>
      </c>
      <c r="H135" t="s">
        <v>70</v>
      </c>
      <c r="I135">
        <v>0</v>
      </c>
      <c r="J135">
        <v>0</v>
      </c>
      <c r="K135" t="s">
        <v>47</v>
      </c>
      <c r="L135" t="s">
        <v>47</v>
      </c>
      <c r="M135" t="s">
        <v>47</v>
      </c>
      <c r="N135" t="s">
        <v>62</v>
      </c>
      <c r="O135" t="s">
        <v>48</v>
      </c>
      <c r="P135">
        <v>25.5</v>
      </c>
      <c r="Q135" t="s">
        <v>62</v>
      </c>
      <c r="R135" t="s">
        <v>47</v>
      </c>
      <c r="S135" t="s">
        <v>47</v>
      </c>
      <c r="T135" t="s">
        <v>46</v>
      </c>
      <c r="U135" t="s">
        <v>47</v>
      </c>
      <c r="V135" t="s">
        <v>86</v>
      </c>
      <c r="W135" t="s">
        <v>46</v>
      </c>
      <c r="X135" t="s">
        <v>47</v>
      </c>
      <c r="Y135" t="s">
        <v>47</v>
      </c>
      <c r="Z135" t="s">
        <v>47</v>
      </c>
      <c r="AA135" t="s">
        <v>46</v>
      </c>
      <c r="AB135" t="s">
        <v>47</v>
      </c>
      <c r="AC135" t="s">
        <v>47</v>
      </c>
      <c r="AD135" t="s">
        <v>47</v>
      </c>
      <c r="AE135" t="s">
        <v>47</v>
      </c>
      <c r="AF135" t="s">
        <v>47</v>
      </c>
      <c r="AG135" t="s">
        <v>52</v>
      </c>
      <c r="AH135" t="s">
        <v>53</v>
      </c>
      <c r="AI135" t="s">
        <v>65</v>
      </c>
      <c r="AJ135">
        <v>4</v>
      </c>
      <c r="AK135" t="s">
        <v>47</v>
      </c>
      <c r="AL135" t="s">
        <v>156</v>
      </c>
      <c r="AM135" t="s">
        <v>103</v>
      </c>
      <c r="AN135">
        <v>55</v>
      </c>
      <c r="AO135" t="s">
        <v>46</v>
      </c>
    </row>
    <row r="136" spans="1:41">
      <c r="A136" t="s">
        <v>282</v>
      </c>
      <c r="B136">
        <v>2021</v>
      </c>
      <c r="C136" s="1">
        <v>44495</v>
      </c>
      <c r="D136" t="s">
        <v>58</v>
      </c>
      <c r="E136" t="s">
        <v>220</v>
      </c>
      <c r="F136">
        <v>77</v>
      </c>
      <c r="G136" t="s">
        <v>44</v>
      </c>
      <c r="H136" t="s">
        <v>70</v>
      </c>
      <c r="I136">
        <v>0</v>
      </c>
      <c r="J136">
        <v>0</v>
      </c>
      <c r="K136" t="s">
        <v>46</v>
      </c>
      <c r="L136" t="s">
        <v>47</v>
      </c>
      <c r="M136" t="s">
        <v>47</v>
      </c>
      <c r="N136" t="s">
        <v>62</v>
      </c>
      <c r="O136" t="s">
        <v>63</v>
      </c>
      <c r="P136">
        <v>23.4</v>
      </c>
      <c r="Q136" t="s">
        <v>48</v>
      </c>
      <c r="R136" t="s">
        <v>47</v>
      </c>
      <c r="S136" t="s">
        <v>47</v>
      </c>
      <c r="T136" t="s">
        <v>46</v>
      </c>
      <c r="U136" t="s">
        <v>47</v>
      </c>
      <c r="V136" t="s">
        <v>117</v>
      </c>
      <c r="W136" t="s">
        <v>47</v>
      </c>
      <c r="X136" t="s">
        <v>46</v>
      </c>
      <c r="Y136" t="s">
        <v>47</v>
      </c>
      <c r="Z136" t="s">
        <v>47</v>
      </c>
      <c r="AA136" t="s">
        <v>46</v>
      </c>
      <c r="AB136" t="s">
        <v>46</v>
      </c>
      <c r="AC136" t="s">
        <v>47</v>
      </c>
      <c r="AD136" t="s">
        <v>47</v>
      </c>
      <c r="AE136" t="s">
        <v>47</v>
      </c>
      <c r="AF136" t="s">
        <v>47</v>
      </c>
      <c r="AG136" t="s">
        <v>52</v>
      </c>
      <c r="AH136" t="s">
        <v>53</v>
      </c>
      <c r="AI136" t="s">
        <v>65</v>
      </c>
      <c r="AJ136">
        <v>1.5</v>
      </c>
      <c r="AK136" t="s">
        <v>47</v>
      </c>
      <c r="AL136" t="s">
        <v>72</v>
      </c>
      <c r="AM136" t="s">
        <v>67</v>
      </c>
      <c r="AN136">
        <v>47</v>
      </c>
      <c r="AO136" t="s">
        <v>46</v>
      </c>
    </row>
    <row r="137" spans="1:41">
      <c r="A137" t="s">
        <v>283</v>
      </c>
      <c r="B137">
        <v>2016</v>
      </c>
      <c r="C137" s="1">
        <v>42391</v>
      </c>
      <c r="D137" t="s">
        <v>95</v>
      </c>
      <c r="E137" t="s">
        <v>147</v>
      </c>
      <c r="F137">
        <v>62</v>
      </c>
      <c r="G137" t="s">
        <v>60</v>
      </c>
      <c r="H137" t="s">
        <v>70</v>
      </c>
      <c r="I137">
        <v>0</v>
      </c>
      <c r="J137">
        <v>0</v>
      </c>
      <c r="K137" t="s">
        <v>46</v>
      </c>
      <c r="L137" t="s">
        <v>47</v>
      </c>
      <c r="M137" t="s">
        <v>46</v>
      </c>
      <c r="N137" t="s">
        <v>48</v>
      </c>
      <c r="O137" t="s">
        <v>48</v>
      </c>
      <c r="P137">
        <v>24.2</v>
      </c>
      <c r="Q137" t="s">
        <v>48</v>
      </c>
      <c r="R137" t="s">
        <v>47</v>
      </c>
      <c r="S137" t="s">
        <v>47</v>
      </c>
      <c r="T137" t="s">
        <v>47</v>
      </c>
      <c r="U137" t="s">
        <v>47</v>
      </c>
      <c r="V137" t="s">
        <v>86</v>
      </c>
      <c r="W137" t="s">
        <v>47</v>
      </c>
      <c r="X137" t="s">
        <v>47</v>
      </c>
      <c r="Y137" t="s">
        <v>47</v>
      </c>
      <c r="Z137" t="s">
        <v>47</v>
      </c>
      <c r="AA137" t="s">
        <v>46</v>
      </c>
      <c r="AB137" t="s">
        <v>47</v>
      </c>
      <c r="AC137" t="s">
        <v>47</v>
      </c>
      <c r="AD137" t="s">
        <v>47</v>
      </c>
      <c r="AE137" t="s">
        <v>47</v>
      </c>
      <c r="AF137" t="s">
        <v>47</v>
      </c>
      <c r="AG137" t="s">
        <v>52</v>
      </c>
      <c r="AH137" t="s">
        <v>53</v>
      </c>
      <c r="AI137" t="s">
        <v>65</v>
      </c>
      <c r="AJ137">
        <v>2</v>
      </c>
      <c r="AK137" t="s">
        <v>47</v>
      </c>
      <c r="AL137" t="s">
        <v>81</v>
      </c>
      <c r="AM137" t="s">
        <v>73</v>
      </c>
      <c r="AN137">
        <v>75</v>
      </c>
      <c r="AO137" t="s">
        <v>46</v>
      </c>
    </row>
    <row r="138" spans="1:41">
      <c r="A138" t="s">
        <v>284</v>
      </c>
      <c r="B138">
        <v>2018</v>
      </c>
      <c r="C138" s="1">
        <v>43242</v>
      </c>
      <c r="D138" t="s">
        <v>110</v>
      </c>
      <c r="E138" t="s">
        <v>227</v>
      </c>
      <c r="F138">
        <v>65</v>
      </c>
      <c r="G138" t="s">
        <v>44</v>
      </c>
      <c r="H138" t="s">
        <v>45</v>
      </c>
      <c r="I138">
        <v>53</v>
      </c>
      <c r="J138">
        <v>40</v>
      </c>
      <c r="K138" t="s">
        <v>46</v>
      </c>
      <c r="L138" t="s">
        <v>47</v>
      </c>
      <c r="M138" t="s">
        <v>47</v>
      </c>
      <c r="N138" t="s">
        <v>62</v>
      </c>
      <c r="O138" t="s">
        <v>49</v>
      </c>
      <c r="P138">
        <v>20</v>
      </c>
      <c r="Q138" t="s">
        <v>48</v>
      </c>
      <c r="R138" t="s">
        <v>47</v>
      </c>
      <c r="S138" t="s">
        <v>47</v>
      </c>
      <c r="T138" t="s">
        <v>47</v>
      </c>
      <c r="U138" t="s">
        <v>47</v>
      </c>
      <c r="V138" t="s">
        <v>51</v>
      </c>
      <c r="W138" t="s">
        <v>46</v>
      </c>
      <c r="X138" t="s">
        <v>46</v>
      </c>
      <c r="Y138" t="s">
        <v>46</v>
      </c>
      <c r="Z138" t="s">
        <v>46</v>
      </c>
      <c r="AA138" t="s">
        <v>47</v>
      </c>
      <c r="AB138" t="s">
        <v>47</v>
      </c>
      <c r="AC138" t="s">
        <v>47</v>
      </c>
      <c r="AD138" t="s">
        <v>47</v>
      </c>
      <c r="AE138" t="s">
        <v>47</v>
      </c>
      <c r="AF138" t="s">
        <v>47</v>
      </c>
      <c r="AG138" t="s">
        <v>52</v>
      </c>
      <c r="AH138" t="s">
        <v>53</v>
      </c>
      <c r="AI138" t="s">
        <v>80</v>
      </c>
      <c r="AJ138">
        <v>5.3</v>
      </c>
      <c r="AK138" t="s">
        <v>47</v>
      </c>
      <c r="AL138" t="s">
        <v>76</v>
      </c>
      <c r="AM138" t="s">
        <v>56</v>
      </c>
      <c r="AN138">
        <v>8</v>
      </c>
      <c r="AO138" t="s">
        <v>47</v>
      </c>
    </row>
    <row r="139" spans="1:41">
      <c r="A139" t="s">
        <v>285</v>
      </c>
      <c r="B139">
        <v>2017</v>
      </c>
      <c r="C139" s="1">
        <v>42803</v>
      </c>
      <c r="D139" t="s">
        <v>58</v>
      </c>
      <c r="E139" t="s">
        <v>169</v>
      </c>
      <c r="F139">
        <v>74</v>
      </c>
      <c r="G139" t="s">
        <v>44</v>
      </c>
      <c r="H139" t="s">
        <v>45</v>
      </c>
      <c r="I139">
        <v>5</v>
      </c>
      <c r="J139">
        <v>32</v>
      </c>
      <c r="K139" t="s">
        <v>47</v>
      </c>
      <c r="L139" t="s">
        <v>47</v>
      </c>
      <c r="M139" t="s">
        <v>46</v>
      </c>
      <c r="N139" t="s">
        <v>48</v>
      </c>
      <c r="O139" t="s">
        <v>63</v>
      </c>
      <c r="P139">
        <v>24.5</v>
      </c>
      <c r="Q139" t="s">
        <v>50</v>
      </c>
      <c r="R139" t="s">
        <v>47</v>
      </c>
      <c r="S139" t="s">
        <v>46</v>
      </c>
      <c r="T139" t="s">
        <v>47</v>
      </c>
      <c r="U139" t="s">
        <v>47</v>
      </c>
      <c r="V139" t="s">
        <v>51</v>
      </c>
      <c r="W139" t="s">
        <v>46</v>
      </c>
      <c r="X139" t="s">
        <v>46</v>
      </c>
      <c r="Y139" t="s">
        <v>47</v>
      </c>
      <c r="Z139" t="s">
        <v>46</v>
      </c>
      <c r="AA139" t="s">
        <v>46</v>
      </c>
      <c r="AB139" t="s">
        <v>47</v>
      </c>
      <c r="AC139" t="s">
        <v>47</v>
      </c>
      <c r="AD139" t="s">
        <v>47</v>
      </c>
      <c r="AE139" t="s">
        <v>47</v>
      </c>
      <c r="AF139" t="s">
        <v>47</v>
      </c>
      <c r="AG139" t="s">
        <v>52</v>
      </c>
      <c r="AH139" t="s">
        <v>53</v>
      </c>
      <c r="AI139" t="s">
        <v>80</v>
      </c>
      <c r="AJ139">
        <v>4.8</v>
      </c>
      <c r="AK139" t="s">
        <v>47</v>
      </c>
      <c r="AL139" t="s">
        <v>100</v>
      </c>
      <c r="AM139" t="s">
        <v>56</v>
      </c>
      <c r="AN139">
        <v>27</v>
      </c>
      <c r="AO139" t="s">
        <v>47</v>
      </c>
    </row>
    <row r="140" spans="1:41">
      <c r="A140" t="s">
        <v>286</v>
      </c>
      <c r="B140">
        <v>2017</v>
      </c>
      <c r="C140" s="1">
        <v>42790</v>
      </c>
      <c r="D140" t="s">
        <v>42</v>
      </c>
      <c r="E140" t="s">
        <v>75</v>
      </c>
      <c r="F140">
        <v>74</v>
      </c>
      <c r="G140" t="s">
        <v>60</v>
      </c>
      <c r="H140" t="s">
        <v>61</v>
      </c>
      <c r="I140">
        <v>8</v>
      </c>
      <c r="J140">
        <v>11</v>
      </c>
      <c r="K140" t="s">
        <v>47</v>
      </c>
      <c r="L140" t="s">
        <v>46</v>
      </c>
      <c r="M140" t="s">
        <v>46</v>
      </c>
      <c r="N140" t="s">
        <v>48</v>
      </c>
      <c r="O140" t="s">
        <v>48</v>
      </c>
      <c r="P140">
        <v>35</v>
      </c>
      <c r="Q140" t="s">
        <v>50</v>
      </c>
      <c r="R140" t="s">
        <v>47</v>
      </c>
      <c r="S140" t="s">
        <v>47</v>
      </c>
      <c r="T140" t="s">
        <v>46</v>
      </c>
      <c r="U140" t="s">
        <v>47</v>
      </c>
      <c r="V140" t="s">
        <v>51</v>
      </c>
      <c r="W140" t="s">
        <v>46</v>
      </c>
      <c r="X140" t="s">
        <v>47</v>
      </c>
      <c r="Y140" t="s">
        <v>47</v>
      </c>
      <c r="Z140" t="s">
        <v>47</v>
      </c>
      <c r="AA140" t="s">
        <v>47</v>
      </c>
      <c r="AB140" t="s">
        <v>47</v>
      </c>
      <c r="AC140" t="s">
        <v>47</v>
      </c>
      <c r="AD140" t="s">
        <v>46</v>
      </c>
      <c r="AE140" t="s">
        <v>47</v>
      </c>
      <c r="AF140" t="s">
        <v>47</v>
      </c>
      <c r="AG140" t="s">
        <v>52</v>
      </c>
      <c r="AH140" t="s">
        <v>53</v>
      </c>
      <c r="AI140" t="s">
        <v>54</v>
      </c>
      <c r="AJ140">
        <v>8</v>
      </c>
      <c r="AK140" t="s">
        <v>46</v>
      </c>
      <c r="AL140" t="s">
        <v>100</v>
      </c>
      <c r="AM140" t="s">
        <v>82</v>
      </c>
      <c r="AN140">
        <v>9</v>
      </c>
      <c r="AO140" t="s">
        <v>47</v>
      </c>
    </row>
    <row r="141" spans="1:41">
      <c r="A141" t="s">
        <v>287</v>
      </c>
      <c r="B141">
        <v>2024</v>
      </c>
      <c r="C141" s="1">
        <v>45360</v>
      </c>
      <c r="D141" t="s">
        <v>42</v>
      </c>
      <c r="E141" t="s">
        <v>247</v>
      </c>
      <c r="F141">
        <v>39</v>
      </c>
      <c r="G141" t="s">
        <v>60</v>
      </c>
      <c r="H141" t="s">
        <v>70</v>
      </c>
      <c r="I141">
        <v>0</v>
      </c>
      <c r="J141">
        <v>0</v>
      </c>
      <c r="K141" t="s">
        <v>47</v>
      </c>
      <c r="L141" t="s">
        <v>46</v>
      </c>
      <c r="M141" t="s">
        <v>47</v>
      </c>
      <c r="N141" t="s">
        <v>48</v>
      </c>
      <c r="O141" t="s">
        <v>49</v>
      </c>
      <c r="P141">
        <v>24.4</v>
      </c>
      <c r="Q141" t="s">
        <v>48</v>
      </c>
      <c r="R141" t="s">
        <v>47</v>
      </c>
      <c r="S141" t="s">
        <v>47</v>
      </c>
      <c r="T141" t="s">
        <v>47</v>
      </c>
      <c r="U141" t="s">
        <v>47</v>
      </c>
      <c r="V141" t="s">
        <v>151</v>
      </c>
      <c r="W141" t="s">
        <v>46</v>
      </c>
      <c r="X141" t="s">
        <v>47</v>
      </c>
      <c r="Y141" t="s">
        <v>47</v>
      </c>
      <c r="Z141" t="s">
        <v>47</v>
      </c>
      <c r="AA141" t="s">
        <v>46</v>
      </c>
      <c r="AB141" t="s">
        <v>47</v>
      </c>
      <c r="AC141" t="s">
        <v>47</v>
      </c>
      <c r="AD141" t="s">
        <v>46</v>
      </c>
      <c r="AE141" t="s">
        <v>46</v>
      </c>
      <c r="AF141" t="s">
        <v>47</v>
      </c>
      <c r="AG141" t="s">
        <v>52</v>
      </c>
      <c r="AH141" t="s">
        <v>53</v>
      </c>
      <c r="AI141" t="s">
        <v>65</v>
      </c>
      <c r="AJ141">
        <v>2.4</v>
      </c>
      <c r="AK141" t="s">
        <v>47</v>
      </c>
      <c r="AL141" t="s">
        <v>72</v>
      </c>
      <c r="AM141" t="s">
        <v>73</v>
      </c>
      <c r="AN141">
        <v>56</v>
      </c>
      <c r="AO141" t="s">
        <v>47</v>
      </c>
    </row>
    <row r="142" spans="1:41">
      <c r="A142" t="s">
        <v>288</v>
      </c>
      <c r="B142">
        <v>2017</v>
      </c>
      <c r="C142" s="1">
        <v>43015</v>
      </c>
      <c r="D142" t="s">
        <v>42</v>
      </c>
      <c r="E142" t="s">
        <v>136</v>
      </c>
      <c r="F142">
        <v>53</v>
      </c>
      <c r="G142" t="s">
        <v>60</v>
      </c>
      <c r="H142" t="s">
        <v>45</v>
      </c>
      <c r="I142">
        <v>34</v>
      </c>
      <c r="J142">
        <v>20</v>
      </c>
      <c r="K142" t="s">
        <v>47</v>
      </c>
      <c r="L142" t="s">
        <v>47</v>
      </c>
      <c r="M142" t="s">
        <v>47</v>
      </c>
      <c r="N142" t="s">
        <v>50</v>
      </c>
      <c r="O142" t="s">
        <v>48</v>
      </c>
      <c r="P142">
        <v>27.9</v>
      </c>
      <c r="Q142" t="s">
        <v>50</v>
      </c>
      <c r="R142" t="s">
        <v>47</v>
      </c>
      <c r="S142" t="s">
        <v>47</v>
      </c>
      <c r="T142" t="s">
        <v>47</v>
      </c>
      <c r="U142" t="s">
        <v>47</v>
      </c>
      <c r="V142" t="s">
        <v>151</v>
      </c>
      <c r="W142" t="s">
        <v>46</v>
      </c>
      <c r="X142" t="s">
        <v>47</v>
      </c>
      <c r="Y142" t="s">
        <v>47</v>
      </c>
      <c r="Z142" t="s">
        <v>46</v>
      </c>
      <c r="AA142" t="s">
        <v>46</v>
      </c>
      <c r="AB142" t="s">
        <v>47</v>
      </c>
      <c r="AC142" t="s">
        <v>47</v>
      </c>
      <c r="AD142" t="s">
        <v>47</v>
      </c>
      <c r="AE142" t="s">
        <v>47</v>
      </c>
      <c r="AF142" t="s">
        <v>47</v>
      </c>
      <c r="AG142" t="s">
        <v>121</v>
      </c>
      <c r="AH142" t="s">
        <v>122</v>
      </c>
      <c r="AI142" t="s">
        <v>87</v>
      </c>
      <c r="AJ142">
        <v>2.1</v>
      </c>
      <c r="AK142" t="s">
        <v>47</v>
      </c>
      <c r="AL142" t="s">
        <v>66</v>
      </c>
      <c r="AM142" t="s">
        <v>67</v>
      </c>
      <c r="AN142">
        <v>26</v>
      </c>
      <c r="AO142" t="s">
        <v>47</v>
      </c>
    </row>
    <row r="143" spans="1:41">
      <c r="A143" t="s">
        <v>289</v>
      </c>
      <c r="B143">
        <v>2022</v>
      </c>
      <c r="C143" s="1">
        <v>44673</v>
      </c>
      <c r="D143" t="s">
        <v>58</v>
      </c>
      <c r="E143" t="s">
        <v>134</v>
      </c>
      <c r="F143">
        <v>67</v>
      </c>
      <c r="G143" t="s">
        <v>60</v>
      </c>
      <c r="H143" t="s">
        <v>45</v>
      </c>
      <c r="I143">
        <v>5</v>
      </c>
      <c r="J143">
        <v>25</v>
      </c>
      <c r="K143" t="s">
        <v>46</v>
      </c>
      <c r="L143" t="s">
        <v>47</v>
      </c>
      <c r="M143" t="s">
        <v>47</v>
      </c>
      <c r="N143" t="s">
        <v>50</v>
      </c>
      <c r="O143" t="s">
        <v>48</v>
      </c>
      <c r="P143">
        <v>25.5</v>
      </c>
      <c r="Q143" t="s">
        <v>62</v>
      </c>
      <c r="R143" t="s">
        <v>46</v>
      </c>
      <c r="S143" t="s">
        <v>47</v>
      </c>
      <c r="T143" t="s">
        <v>47</v>
      </c>
      <c r="U143" t="s">
        <v>47</v>
      </c>
      <c r="V143" t="s">
        <v>171</v>
      </c>
      <c r="W143" t="s">
        <v>47</v>
      </c>
      <c r="X143" t="s">
        <v>46</v>
      </c>
      <c r="Y143" t="s">
        <v>46</v>
      </c>
      <c r="Z143" t="s">
        <v>46</v>
      </c>
      <c r="AA143" t="s">
        <v>46</v>
      </c>
      <c r="AB143" t="s">
        <v>47</v>
      </c>
      <c r="AC143" t="s">
        <v>47</v>
      </c>
      <c r="AD143" t="s">
        <v>47</v>
      </c>
      <c r="AE143" t="s">
        <v>47</v>
      </c>
      <c r="AF143" t="s">
        <v>47</v>
      </c>
      <c r="AG143" t="s">
        <v>52</v>
      </c>
      <c r="AH143" t="s">
        <v>53</v>
      </c>
      <c r="AI143" t="s">
        <v>87</v>
      </c>
      <c r="AJ143">
        <v>4</v>
      </c>
      <c r="AK143" t="s">
        <v>47</v>
      </c>
      <c r="AL143" t="s">
        <v>55</v>
      </c>
      <c r="AM143" t="s">
        <v>118</v>
      </c>
      <c r="AN143">
        <v>71</v>
      </c>
      <c r="AO143" t="s">
        <v>46</v>
      </c>
    </row>
    <row r="144" spans="1:41">
      <c r="A144" t="s">
        <v>290</v>
      </c>
      <c r="B144">
        <v>2023</v>
      </c>
      <c r="C144" s="1">
        <v>45185</v>
      </c>
      <c r="D144" t="s">
        <v>95</v>
      </c>
      <c r="E144" t="s">
        <v>130</v>
      </c>
      <c r="F144">
        <v>42</v>
      </c>
      <c r="G144" t="s">
        <v>44</v>
      </c>
      <c r="H144" t="s">
        <v>70</v>
      </c>
      <c r="I144">
        <v>0</v>
      </c>
      <c r="J144">
        <v>0</v>
      </c>
      <c r="K144" t="s">
        <v>46</v>
      </c>
      <c r="L144" t="s">
        <v>47</v>
      </c>
      <c r="M144" t="s">
        <v>47</v>
      </c>
      <c r="N144" t="s">
        <v>48</v>
      </c>
      <c r="O144" t="s">
        <v>48</v>
      </c>
      <c r="P144">
        <v>31.9</v>
      </c>
      <c r="Q144" t="s">
        <v>48</v>
      </c>
      <c r="R144" t="s">
        <v>47</v>
      </c>
      <c r="S144" t="s">
        <v>47</v>
      </c>
      <c r="T144" t="s">
        <v>47</v>
      </c>
      <c r="U144" t="s">
        <v>47</v>
      </c>
      <c r="V144" t="s">
        <v>86</v>
      </c>
      <c r="W144" t="s">
        <v>46</v>
      </c>
      <c r="X144" t="s">
        <v>47</v>
      </c>
      <c r="Y144" t="s">
        <v>47</v>
      </c>
      <c r="Z144" t="s">
        <v>46</v>
      </c>
      <c r="AA144" t="s">
        <v>46</v>
      </c>
      <c r="AB144" t="s">
        <v>47</v>
      </c>
      <c r="AC144" t="s">
        <v>47</v>
      </c>
      <c r="AD144" t="s">
        <v>47</v>
      </c>
      <c r="AE144" t="s">
        <v>47</v>
      </c>
      <c r="AF144" t="s">
        <v>47</v>
      </c>
      <c r="AG144" t="s">
        <v>52</v>
      </c>
      <c r="AH144" t="s">
        <v>53</v>
      </c>
      <c r="AI144" t="s">
        <v>54</v>
      </c>
      <c r="AJ144">
        <v>6.5</v>
      </c>
      <c r="AK144" t="s">
        <v>46</v>
      </c>
      <c r="AL144" t="s">
        <v>66</v>
      </c>
      <c r="AM144" t="s">
        <v>56</v>
      </c>
      <c r="AN144">
        <v>4</v>
      </c>
      <c r="AO144" t="s">
        <v>47</v>
      </c>
    </row>
    <row r="145" spans="1:41">
      <c r="A145" t="s">
        <v>291</v>
      </c>
      <c r="B145">
        <v>2020</v>
      </c>
      <c r="C145" s="1">
        <v>43833</v>
      </c>
      <c r="D145" t="s">
        <v>42</v>
      </c>
      <c r="E145" t="s">
        <v>79</v>
      </c>
      <c r="F145">
        <v>55</v>
      </c>
      <c r="G145" t="s">
        <v>60</v>
      </c>
      <c r="H145" t="s">
        <v>70</v>
      </c>
      <c r="I145">
        <v>0</v>
      </c>
      <c r="J145">
        <v>0</v>
      </c>
      <c r="K145" t="s">
        <v>47</v>
      </c>
      <c r="L145" t="s">
        <v>47</v>
      </c>
      <c r="M145" t="s">
        <v>47</v>
      </c>
      <c r="N145" t="s">
        <v>62</v>
      </c>
      <c r="O145" t="s">
        <v>48</v>
      </c>
      <c r="P145">
        <v>21.5</v>
      </c>
      <c r="Q145" t="s">
        <v>50</v>
      </c>
      <c r="R145" t="s">
        <v>47</v>
      </c>
      <c r="S145" t="s">
        <v>47</v>
      </c>
      <c r="T145" t="s">
        <v>46</v>
      </c>
      <c r="U145" t="s">
        <v>47</v>
      </c>
      <c r="V145" t="s">
        <v>117</v>
      </c>
      <c r="W145" t="s">
        <v>46</v>
      </c>
      <c r="X145" t="s">
        <v>47</v>
      </c>
      <c r="Y145" t="s">
        <v>47</v>
      </c>
      <c r="Z145" t="s">
        <v>47</v>
      </c>
      <c r="AA145" t="s">
        <v>46</v>
      </c>
      <c r="AB145" t="s">
        <v>47</v>
      </c>
      <c r="AC145" t="s">
        <v>47</v>
      </c>
      <c r="AD145" t="s">
        <v>47</v>
      </c>
      <c r="AE145" t="s">
        <v>47</v>
      </c>
      <c r="AF145" t="s">
        <v>47</v>
      </c>
      <c r="AG145" t="s">
        <v>52</v>
      </c>
      <c r="AH145" t="s">
        <v>53</v>
      </c>
      <c r="AI145" t="s">
        <v>80</v>
      </c>
      <c r="AJ145">
        <v>5.8</v>
      </c>
      <c r="AK145" t="s">
        <v>47</v>
      </c>
      <c r="AL145" t="s">
        <v>66</v>
      </c>
      <c r="AM145" t="s">
        <v>77</v>
      </c>
      <c r="AN145">
        <v>14</v>
      </c>
      <c r="AO145" t="s">
        <v>47</v>
      </c>
    </row>
    <row r="146" spans="1:41">
      <c r="A146" t="s">
        <v>292</v>
      </c>
      <c r="B146">
        <v>2018</v>
      </c>
      <c r="C146" s="1">
        <v>43222</v>
      </c>
      <c r="D146" t="s">
        <v>42</v>
      </c>
      <c r="E146" t="s">
        <v>43</v>
      </c>
      <c r="F146">
        <v>61</v>
      </c>
      <c r="G146" t="s">
        <v>60</v>
      </c>
      <c r="H146" t="s">
        <v>45</v>
      </c>
      <c r="I146">
        <v>37</v>
      </c>
      <c r="J146">
        <v>37</v>
      </c>
      <c r="K146" t="s">
        <v>47</v>
      </c>
      <c r="L146" t="s">
        <v>46</v>
      </c>
      <c r="M146" t="s">
        <v>47</v>
      </c>
      <c r="N146" t="s">
        <v>48</v>
      </c>
      <c r="O146" t="s">
        <v>49</v>
      </c>
      <c r="P146">
        <v>20.399999999999999</v>
      </c>
      <c r="Q146" t="s">
        <v>48</v>
      </c>
      <c r="R146" t="s">
        <v>47</v>
      </c>
      <c r="S146" t="s">
        <v>47</v>
      </c>
      <c r="T146" t="s">
        <v>47</v>
      </c>
      <c r="U146" t="s">
        <v>47</v>
      </c>
      <c r="V146" t="s">
        <v>51</v>
      </c>
      <c r="W146" t="s">
        <v>47</v>
      </c>
      <c r="X146" t="s">
        <v>47</v>
      </c>
      <c r="Y146" t="s">
        <v>46</v>
      </c>
      <c r="Z146" t="s">
        <v>46</v>
      </c>
      <c r="AA146" t="s">
        <v>46</v>
      </c>
      <c r="AB146" t="s">
        <v>46</v>
      </c>
      <c r="AC146" t="s">
        <v>47</v>
      </c>
      <c r="AD146" t="s">
        <v>47</v>
      </c>
      <c r="AE146" t="s">
        <v>47</v>
      </c>
      <c r="AF146" t="s">
        <v>47</v>
      </c>
      <c r="AG146" t="s">
        <v>52</v>
      </c>
      <c r="AH146" t="s">
        <v>71</v>
      </c>
      <c r="AI146" t="s">
        <v>80</v>
      </c>
      <c r="AJ146">
        <v>5.3</v>
      </c>
      <c r="AK146" t="s">
        <v>47</v>
      </c>
      <c r="AL146" t="s">
        <v>76</v>
      </c>
      <c r="AM146" t="s">
        <v>82</v>
      </c>
      <c r="AN146">
        <v>17</v>
      </c>
      <c r="AO146" t="s">
        <v>47</v>
      </c>
    </row>
    <row r="147" spans="1:41">
      <c r="A147" t="s">
        <v>293</v>
      </c>
      <c r="B147">
        <v>2024</v>
      </c>
      <c r="C147" s="1">
        <v>45468</v>
      </c>
      <c r="D147" t="s">
        <v>110</v>
      </c>
      <c r="E147" t="s">
        <v>294</v>
      </c>
      <c r="F147">
        <v>53</v>
      </c>
      <c r="G147" t="s">
        <v>44</v>
      </c>
      <c r="H147" t="s">
        <v>70</v>
      </c>
      <c r="I147">
        <v>0</v>
      </c>
      <c r="J147">
        <v>0</v>
      </c>
      <c r="K147" t="s">
        <v>47</v>
      </c>
      <c r="L147" t="s">
        <v>47</v>
      </c>
      <c r="M147" t="s">
        <v>47</v>
      </c>
      <c r="N147" t="s">
        <v>62</v>
      </c>
      <c r="O147" t="s">
        <v>48</v>
      </c>
      <c r="P147">
        <v>19.3</v>
      </c>
      <c r="Q147" t="s">
        <v>62</v>
      </c>
      <c r="R147" t="s">
        <v>47</v>
      </c>
      <c r="S147" t="s">
        <v>47</v>
      </c>
      <c r="T147" t="s">
        <v>47</v>
      </c>
      <c r="U147" t="s">
        <v>47</v>
      </c>
      <c r="V147" t="s">
        <v>64</v>
      </c>
      <c r="W147" t="s">
        <v>46</v>
      </c>
      <c r="X147" t="s">
        <v>47</v>
      </c>
      <c r="Y147" t="s">
        <v>47</v>
      </c>
      <c r="Z147" t="s">
        <v>47</v>
      </c>
      <c r="AA147" t="s">
        <v>46</v>
      </c>
      <c r="AB147" t="s">
        <v>47</v>
      </c>
      <c r="AC147" t="s">
        <v>46</v>
      </c>
      <c r="AD147" t="s">
        <v>46</v>
      </c>
      <c r="AE147" t="s">
        <v>47</v>
      </c>
      <c r="AF147" t="s">
        <v>47</v>
      </c>
      <c r="AG147" t="s">
        <v>52</v>
      </c>
      <c r="AH147" t="s">
        <v>53</v>
      </c>
      <c r="AI147" t="s">
        <v>65</v>
      </c>
      <c r="AJ147">
        <v>2.6</v>
      </c>
      <c r="AK147" t="s">
        <v>47</v>
      </c>
      <c r="AL147" t="s">
        <v>72</v>
      </c>
      <c r="AM147" t="s">
        <v>73</v>
      </c>
      <c r="AN147">
        <v>67</v>
      </c>
      <c r="AO147" t="s">
        <v>46</v>
      </c>
    </row>
    <row r="148" spans="1:41">
      <c r="A148" t="s">
        <v>295</v>
      </c>
      <c r="B148">
        <v>2024</v>
      </c>
      <c r="C148" s="1">
        <v>45605</v>
      </c>
      <c r="D148" t="s">
        <v>42</v>
      </c>
      <c r="E148" t="s">
        <v>166</v>
      </c>
      <c r="F148">
        <v>73</v>
      </c>
      <c r="G148" t="s">
        <v>60</v>
      </c>
      <c r="H148" t="s">
        <v>70</v>
      </c>
      <c r="I148">
        <v>0</v>
      </c>
      <c r="J148">
        <v>0</v>
      </c>
      <c r="K148" t="s">
        <v>47</v>
      </c>
      <c r="L148" t="s">
        <v>47</v>
      </c>
      <c r="M148" t="s">
        <v>47</v>
      </c>
      <c r="N148" t="s">
        <v>50</v>
      </c>
      <c r="O148" t="s">
        <v>48</v>
      </c>
      <c r="P148">
        <v>28.3</v>
      </c>
      <c r="Q148" t="s">
        <v>50</v>
      </c>
      <c r="R148" t="s">
        <v>47</v>
      </c>
      <c r="S148" t="s">
        <v>47</v>
      </c>
      <c r="T148" t="s">
        <v>47</v>
      </c>
      <c r="U148" t="s">
        <v>47</v>
      </c>
      <c r="V148" t="s">
        <v>51</v>
      </c>
      <c r="W148" t="s">
        <v>47</v>
      </c>
      <c r="X148" t="s">
        <v>46</v>
      </c>
      <c r="Y148" t="s">
        <v>46</v>
      </c>
      <c r="Z148" t="s">
        <v>47</v>
      </c>
      <c r="AA148" t="s">
        <v>47</v>
      </c>
      <c r="AB148" t="s">
        <v>47</v>
      </c>
      <c r="AC148" t="s">
        <v>47</v>
      </c>
      <c r="AD148" t="s">
        <v>46</v>
      </c>
      <c r="AE148" t="s">
        <v>47</v>
      </c>
      <c r="AF148" t="s">
        <v>47</v>
      </c>
      <c r="AG148" t="s">
        <v>52</v>
      </c>
      <c r="AH148" t="s">
        <v>53</v>
      </c>
      <c r="AI148" t="s">
        <v>65</v>
      </c>
      <c r="AJ148">
        <v>1.7</v>
      </c>
      <c r="AK148" t="s">
        <v>47</v>
      </c>
      <c r="AL148" t="s">
        <v>72</v>
      </c>
      <c r="AM148" t="s">
        <v>73</v>
      </c>
      <c r="AN148">
        <v>49</v>
      </c>
      <c r="AO148" t="s">
        <v>46</v>
      </c>
    </row>
    <row r="149" spans="1:41">
      <c r="A149" t="s">
        <v>296</v>
      </c>
      <c r="B149">
        <v>2025</v>
      </c>
      <c r="C149" s="1">
        <v>46006</v>
      </c>
      <c r="D149" t="s">
        <v>84</v>
      </c>
      <c r="E149" t="s">
        <v>89</v>
      </c>
      <c r="F149">
        <v>51</v>
      </c>
      <c r="G149" t="s">
        <v>44</v>
      </c>
      <c r="H149" t="s">
        <v>70</v>
      </c>
      <c r="I149">
        <v>0</v>
      </c>
      <c r="J149">
        <v>0</v>
      </c>
      <c r="K149" t="s">
        <v>46</v>
      </c>
      <c r="L149" t="s">
        <v>47</v>
      </c>
      <c r="M149" t="s">
        <v>47</v>
      </c>
      <c r="N149" t="s">
        <v>62</v>
      </c>
      <c r="O149" t="s">
        <v>49</v>
      </c>
      <c r="P149">
        <v>27.9</v>
      </c>
      <c r="Q149" t="s">
        <v>50</v>
      </c>
      <c r="R149" t="s">
        <v>47</v>
      </c>
      <c r="S149" t="s">
        <v>46</v>
      </c>
      <c r="T149" t="s">
        <v>47</v>
      </c>
      <c r="U149" t="s">
        <v>47</v>
      </c>
      <c r="V149" t="s">
        <v>51</v>
      </c>
      <c r="W149" t="s">
        <v>47</v>
      </c>
      <c r="X149" t="s">
        <v>47</v>
      </c>
      <c r="Y149" t="s">
        <v>46</v>
      </c>
      <c r="Z149" t="s">
        <v>47</v>
      </c>
      <c r="AA149" t="s">
        <v>46</v>
      </c>
      <c r="AB149" t="s">
        <v>47</v>
      </c>
      <c r="AC149" t="s">
        <v>46</v>
      </c>
      <c r="AD149" t="s">
        <v>47</v>
      </c>
      <c r="AE149" t="s">
        <v>47</v>
      </c>
      <c r="AF149" t="s">
        <v>47</v>
      </c>
      <c r="AG149" t="s">
        <v>52</v>
      </c>
      <c r="AH149" t="s">
        <v>53</v>
      </c>
      <c r="AI149" t="s">
        <v>87</v>
      </c>
      <c r="AJ149">
        <v>3.9</v>
      </c>
      <c r="AK149" t="s">
        <v>47</v>
      </c>
      <c r="AL149" t="s">
        <v>81</v>
      </c>
      <c r="AM149" t="s">
        <v>77</v>
      </c>
      <c r="AN149">
        <v>26</v>
      </c>
      <c r="AO149" t="s">
        <v>46</v>
      </c>
    </row>
    <row r="150" spans="1:41">
      <c r="A150" t="s">
        <v>297</v>
      </c>
      <c r="B150">
        <v>2025</v>
      </c>
      <c r="C150" s="1">
        <v>46005</v>
      </c>
      <c r="D150" t="s">
        <v>84</v>
      </c>
      <c r="E150" t="s">
        <v>89</v>
      </c>
      <c r="F150">
        <v>55</v>
      </c>
      <c r="G150" t="s">
        <v>60</v>
      </c>
      <c r="H150" t="s">
        <v>70</v>
      </c>
      <c r="I150">
        <v>0</v>
      </c>
      <c r="J150">
        <v>0</v>
      </c>
      <c r="K150" t="s">
        <v>46</v>
      </c>
      <c r="L150" t="s">
        <v>47</v>
      </c>
      <c r="M150" t="s">
        <v>47</v>
      </c>
      <c r="N150" t="s">
        <v>62</v>
      </c>
      <c r="O150" t="s">
        <v>48</v>
      </c>
      <c r="P150">
        <v>26.7</v>
      </c>
      <c r="Q150" t="s">
        <v>48</v>
      </c>
      <c r="R150" t="s">
        <v>47</v>
      </c>
      <c r="S150" t="s">
        <v>47</v>
      </c>
      <c r="T150" t="s">
        <v>47</v>
      </c>
      <c r="U150" t="s">
        <v>47</v>
      </c>
      <c r="V150" t="s">
        <v>86</v>
      </c>
      <c r="W150" t="s">
        <v>47</v>
      </c>
      <c r="X150" t="s">
        <v>47</v>
      </c>
      <c r="Y150" t="s">
        <v>47</v>
      </c>
      <c r="Z150" t="s">
        <v>47</v>
      </c>
      <c r="AA150" t="s">
        <v>46</v>
      </c>
      <c r="AB150" t="s">
        <v>46</v>
      </c>
      <c r="AC150" t="s">
        <v>47</v>
      </c>
      <c r="AD150" t="s">
        <v>47</v>
      </c>
      <c r="AE150" t="s">
        <v>47</v>
      </c>
      <c r="AF150" t="s">
        <v>47</v>
      </c>
      <c r="AG150" t="s">
        <v>52</v>
      </c>
      <c r="AH150" t="s">
        <v>90</v>
      </c>
      <c r="AI150" t="s">
        <v>65</v>
      </c>
      <c r="AJ150">
        <v>2.5</v>
      </c>
      <c r="AK150" t="s">
        <v>47</v>
      </c>
      <c r="AL150" t="s">
        <v>76</v>
      </c>
      <c r="AM150" t="s">
        <v>73</v>
      </c>
      <c r="AN150">
        <v>69</v>
      </c>
      <c r="AO150" t="s">
        <v>46</v>
      </c>
    </row>
    <row r="151" spans="1:41">
      <c r="A151" t="s">
        <v>298</v>
      </c>
      <c r="B151">
        <v>2020</v>
      </c>
      <c r="C151" s="1">
        <v>43834</v>
      </c>
      <c r="D151" t="s">
        <v>110</v>
      </c>
      <c r="E151" t="s">
        <v>227</v>
      </c>
      <c r="F151">
        <v>65</v>
      </c>
      <c r="G151" t="s">
        <v>60</v>
      </c>
      <c r="H151" t="s">
        <v>70</v>
      </c>
      <c r="I151">
        <v>0</v>
      </c>
      <c r="J151">
        <v>0</v>
      </c>
      <c r="K151" t="s">
        <v>46</v>
      </c>
      <c r="L151" t="s">
        <v>46</v>
      </c>
      <c r="M151" t="s">
        <v>46</v>
      </c>
      <c r="N151" t="s">
        <v>50</v>
      </c>
      <c r="O151" t="s">
        <v>48</v>
      </c>
      <c r="P151">
        <v>25.2</v>
      </c>
      <c r="Q151" t="s">
        <v>62</v>
      </c>
      <c r="R151" t="s">
        <v>46</v>
      </c>
      <c r="S151" t="s">
        <v>46</v>
      </c>
      <c r="T151" t="s">
        <v>47</v>
      </c>
      <c r="U151" t="s">
        <v>47</v>
      </c>
      <c r="V151" t="s">
        <v>117</v>
      </c>
      <c r="W151" t="s">
        <v>46</v>
      </c>
      <c r="X151" t="s">
        <v>47</v>
      </c>
      <c r="Y151" t="s">
        <v>47</v>
      </c>
      <c r="Z151" t="s">
        <v>46</v>
      </c>
      <c r="AA151" t="s">
        <v>47</v>
      </c>
      <c r="AB151" t="s">
        <v>47</v>
      </c>
      <c r="AC151" t="s">
        <v>47</v>
      </c>
      <c r="AD151" t="s">
        <v>47</v>
      </c>
      <c r="AE151" t="s">
        <v>47</v>
      </c>
      <c r="AF151" t="s">
        <v>47</v>
      </c>
      <c r="AG151" t="s">
        <v>52</v>
      </c>
      <c r="AH151" t="s">
        <v>53</v>
      </c>
      <c r="AI151" t="s">
        <v>65</v>
      </c>
      <c r="AJ151">
        <v>2.2999999999999998</v>
      </c>
      <c r="AK151" t="s">
        <v>47</v>
      </c>
      <c r="AL151" t="s">
        <v>156</v>
      </c>
      <c r="AM151" t="s">
        <v>118</v>
      </c>
      <c r="AN151">
        <v>61</v>
      </c>
      <c r="AO151" t="s">
        <v>46</v>
      </c>
    </row>
    <row r="152" spans="1:41">
      <c r="A152" t="s">
        <v>299</v>
      </c>
      <c r="B152">
        <v>2024</v>
      </c>
      <c r="C152" s="1">
        <v>45631</v>
      </c>
      <c r="D152" t="s">
        <v>95</v>
      </c>
      <c r="E152" t="s">
        <v>147</v>
      </c>
      <c r="F152">
        <v>70</v>
      </c>
      <c r="G152" t="s">
        <v>60</v>
      </c>
      <c r="H152" t="s">
        <v>70</v>
      </c>
      <c r="I152">
        <v>0</v>
      </c>
      <c r="J152">
        <v>0</v>
      </c>
      <c r="K152" t="s">
        <v>46</v>
      </c>
      <c r="L152" t="s">
        <v>47</v>
      </c>
      <c r="M152" t="s">
        <v>47</v>
      </c>
      <c r="N152" t="s">
        <v>50</v>
      </c>
      <c r="O152" t="s">
        <v>48</v>
      </c>
      <c r="P152">
        <v>30.4</v>
      </c>
      <c r="Q152" t="s">
        <v>50</v>
      </c>
      <c r="R152" t="s">
        <v>47</v>
      </c>
      <c r="S152" t="s">
        <v>47</v>
      </c>
      <c r="T152" t="s">
        <v>47</v>
      </c>
      <c r="U152" t="s">
        <v>47</v>
      </c>
      <c r="V152" t="s">
        <v>51</v>
      </c>
      <c r="W152" t="s">
        <v>46</v>
      </c>
      <c r="X152" t="s">
        <v>46</v>
      </c>
      <c r="Y152" t="s">
        <v>47</v>
      </c>
      <c r="Z152" t="s">
        <v>47</v>
      </c>
      <c r="AA152" t="s">
        <v>46</v>
      </c>
      <c r="AB152" t="s">
        <v>46</v>
      </c>
      <c r="AC152" t="s">
        <v>47</v>
      </c>
      <c r="AD152" t="s">
        <v>47</v>
      </c>
      <c r="AE152" t="s">
        <v>47</v>
      </c>
      <c r="AF152" t="s">
        <v>47</v>
      </c>
      <c r="AG152" t="s">
        <v>52</v>
      </c>
      <c r="AH152" t="s">
        <v>53</v>
      </c>
      <c r="AI152" t="s">
        <v>65</v>
      </c>
      <c r="AJ152">
        <v>2.9</v>
      </c>
      <c r="AK152" t="s">
        <v>47</v>
      </c>
      <c r="AL152" t="s">
        <v>156</v>
      </c>
      <c r="AM152" t="s">
        <v>103</v>
      </c>
      <c r="AN152">
        <v>45</v>
      </c>
      <c r="AO152" t="s">
        <v>46</v>
      </c>
    </row>
    <row r="153" spans="1:41">
      <c r="A153" t="s">
        <v>300</v>
      </c>
      <c r="B153">
        <v>2025</v>
      </c>
      <c r="C153" s="1">
        <v>45684</v>
      </c>
      <c r="D153" t="s">
        <v>110</v>
      </c>
      <c r="E153" t="s">
        <v>111</v>
      </c>
      <c r="F153">
        <v>71</v>
      </c>
      <c r="G153" t="s">
        <v>60</v>
      </c>
      <c r="H153" t="s">
        <v>45</v>
      </c>
      <c r="I153">
        <v>5</v>
      </c>
      <c r="J153">
        <v>30</v>
      </c>
      <c r="K153" t="s">
        <v>47</v>
      </c>
      <c r="L153" t="s">
        <v>46</v>
      </c>
      <c r="M153" t="s">
        <v>47</v>
      </c>
      <c r="N153" t="s">
        <v>62</v>
      </c>
      <c r="O153" t="s">
        <v>49</v>
      </c>
      <c r="P153">
        <v>28</v>
      </c>
      <c r="Q153" t="s">
        <v>62</v>
      </c>
      <c r="R153" t="s">
        <v>47</v>
      </c>
      <c r="S153" t="s">
        <v>47</v>
      </c>
      <c r="T153" t="s">
        <v>47</v>
      </c>
      <c r="U153" t="s">
        <v>47</v>
      </c>
      <c r="V153" t="s">
        <v>64</v>
      </c>
      <c r="W153" t="s">
        <v>46</v>
      </c>
      <c r="X153" t="s">
        <v>46</v>
      </c>
      <c r="Y153" t="s">
        <v>46</v>
      </c>
      <c r="Z153" t="s">
        <v>46</v>
      </c>
      <c r="AA153" t="s">
        <v>46</v>
      </c>
      <c r="AB153" t="s">
        <v>47</v>
      </c>
      <c r="AC153" t="s">
        <v>46</v>
      </c>
      <c r="AD153" t="s">
        <v>46</v>
      </c>
      <c r="AE153" t="s">
        <v>47</v>
      </c>
      <c r="AF153" t="s">
        <v>47</v>
      </c>
      <c r="AG153" t="s">
        <v>52</v>
      </c>
      <c r="AH153" t="s">
        <v>53</v>
      </c>
      <c r="AI153" t="s">
        <v>54</v>
      </c>
      <c r="AJ153">
        <v>11.2</v>
      </c>
      <c r="AK153" t="s">
        <v>46</v>
      </c>
      <c r="AL153" t="s">
        <v>81</v>
      </c>
      <c r="AM153" t="s">
        <v>82</v>
      </c>
      <c r="AN153">
        <v>10</v>
      </c>
      <c r="AO153" t="s">
        <v>47</v>
      </c>
    </row>
    <row r="154" spans="1:41">
      <c r="A154" t="s">
        <v>301</v>
      </c>
      <c r="B154">
        <v>2023</v>
      </c>
      <c r="C154" s="1">
        <v>45217</v>
      </c>
      <c r="D154" t="s">
        <v>84</v>
      </c>
      <c r="E154" t="s">
        <v>182</v>
      </c>
      <c r="F154">
        <v>62</v>
      </c>
      <c r="G154" t="s">
        <v>60</v>
      </c>
      <c r="H154" t="s">
        <v>70</v>
      </c>
      <c r="I154">
        <v>0</v>
      </c>
      <c r="J154">
        <v>0</v>
      </c>
      <c r="K154" t="s">
        <v>47</v>
      </c>
      <c r="L154" t="s">
        <v>47</v>
      </c>
      <c r="M154" t="s">
        <v>47</v>
      </c>
      <c r="N154" t="s">
        <v>48</v>
      </c>
      <c r="O154" t="s">
        <v>48</v>
      </c>
      <c r="P154">
        <v>24.3</v>
      </c>
      <c r="Q154" t="s">
        <v>48</v>
      </c>
      <c r="R154" t="s">
        <v>47</v>
      </c>
      <c r="S154" t="s">
        <v>47</v>
      </c>
      <c r="T154" t="s">
        <v>47</v>
      </c>
      <c r="U154" t="s">
        <v>47</v>
      </c>
      <c r="V154" t="s">
        <v>51</v>
      </c>
      <c r="W154" t="s">
        <v>46</v>
      </c>
      <c r="X154" t="s">
        <v>47</v>
      </c>
      <c r="Y154" t="s">
        <v>47</v>
      </c>
      <c r="Z154" t="s">
        <v>47</v>
      </c>
      <c r="AA154" t="s">
        <v>46</v>
      </c>
      <c r="AB154" t="s">
        <v>47</v>
      </c>
      <c r="AC154" t="s">
        <v>47</v>
      </c>
      <c r="AD154" t="s">
        <v>47</v>
      </c>
      <c r="AE154" t="s">
        <v>47</v>
      </c>
      <c r="AF154" t="s">
        <v>47</v>
      </c>
      <c r="AG154" t="s">
        <v>121</v>
      </c>
      <c r="AH154" t="s">
        <v>122</v>
      </c>
      <c r="AI154" t="s">
        <v>65</v>
      </c>
      <c r="AJ154">
        <v>2</v>
      </c>
      <c r="AK154" t="s">
        <v>47</v>
      </c>
      <c r="AL154" t="s">
        <v>81</v>
      </c>
      <c r="AM154" t="s">
        <v>67</v>
      </c>
      <c r="AN154">
        <v>58</v>
      </c>
      <c r="AO154" t="s">
        <v>46</v>
      </c>
    </row>
    <row r="155" spans="1:41">
      <c r="A155" t="s">
        <v>302</v>
      </c>
      <c r="B155">
        <v>2022</v>
      </c>
      <c r="C155" s="1">
        <v>44747</v>
      </c>
      <c r="D155" t="s">
        <v>42</v>
      </c>
      <c r="E155" t="s">
        <v>43</v>
      </c>
      <c r="F155">
        <v>77</v>
      </c>
      <c r="G155" t="s">
        <v>60</v>
      </c>
      <c r="H155" t="s">
        <v>45</v>
      </c>
      <c r="I155">
        <v>10</v>
      </c>
      <c r="J155">
        <v>30</v>
      </c>
      <c r="K155" t="s">
        <v>47</v>
      </c>
      <c r="L155" t="s">
        <v>47</v>
      </c>
      <c r="M155" t="s">
        <v>47</v>
      </c>
      <c r="N155" t="s">
        <v>50</v>
      </c>
      <c r="O155" t="s">
        <v>49</v>
      </c>
      <c r="P155">
        <v>29.1</v>
      </c>
      <c r="Q155" t="s">
        <v>62</v>
      </c>
      <c r="R155" t="s">
        <v>46</v>
      </c>
      <c r="S155" t="s">
        <v>47</v>
      </c>
      <c r="T155" t="s">
        <v>47</v>
      </c>
      <c r="U155" t="s">
        <v>47</v>
      </c>
      <c r="V155" t="s">
        <v>64</v>
      </c>
      <c r="W155" t="s">
        <v>46</v>
      </c>
      <c r="X155" t="s">
        <v>47</v>
      </c>
      <c r="Y155" t="s">
        <v>47</v>
      </c>
      <c r="Z155" t="s">
        <v>47</v>
      </c>
      <c r="AA155" t="s">
        <v>47</v>
      </c>
      <c r="AB155" t="s">
        <v>46</v>
      </c>
      <c r="AC155" t="s">
        <v>47</v>
      </c>
      <c r="AD155" t="s">
        <v>47</v>
      </c>
      <c r="AE155" t="s">
        <v>47</v>
      </c>
      <c r="AF155" t="s">
        <v>47</v>
      </c>
      <c r="AG155" t="s">
        <v>52</v>
      </c>
      <c r="AH155" t="s">
        <v>53</v>
      </c>
      <c r="AI155" t="s">
        <v>54</v>
      </c>
      <c r="AJ155">
        <v>10.6</v>
      </c>
      <c r="AK155" t="s">
        <v>46</v>
      </c>
      <c r="AL155" t="s">
        <v>100</v>
      </c>
      <c r="AM155" t="s">
        <v>77</v>
      </c>
      <c r="AN155">
        <v>2</v>
      </c>
      <c r="AO155" t="s">
        <v>47</v>
      </c>
    </row>
    <row r="156" spans="1:41">
      <c r="A156" t="s">
        <v>303</v>
      </c>
      <c r="B156">
        <v>2025</v>
      </c>
      <c r="C156" s="1">
        <v>45789</v>
      </c>
      <c r="D156" t="s">
        <v>42</v>
      </c>
      <c r="E156" t="s">
        <v>43</v>
      </c>
      <c r="F156">
        <v>65</v>
      </c>
      <c r="G156" t="s">
        <v>60</v>
      </c>
      <c r="H156" t="s">
        <v>70</v>
      </c>
      <c r="I156">
        <v>0</v>
      </c>
      <c r="J156">
        <v>0</v>
      </c>
      <c r="K156" t="s">
        <v>46</v>
      </c>
      <c r="L156" t="s">
        <v>47</v>
      </c>
      <c r="M156" t="s">
        <v>47</v>
      </c>
      <c r="N156" t="s">
        <v>62</v>
      </c>
      <c r="O156" t="s">
        <v>48</v>
      </c>
      <c r="P156">
        <v>22.6</v>
      </c>
      <c r="Q156" t="s">
        <v>50</v>
      </c>
      <c r="R156" t="s">
        <v>47</v>
      </c>
      <c r="S156" t="s">
        <v>47</v>
      </c>
      <c r="T156" t="s">
        <v>46</v>
      </c>
      <c r="U156" t="s">
        <v>47</v>
      </c>
      <c r="V156" t="s">
        <v>151</v>
      </c>
      <c r="W156" t="s">
        <v>47</v>
      </c>
      <c r="X156" t="s">
        <v>47</v>
      </c>
      <c r="Y156" t="s">
        <v>47</v>
      </c>
      <c r="Z156" t="s">
        <v>47</v>
      </c>
      <c r="AA156" t="s">
        <v>47</v>
      </c>
      <c r="AB156" t="s">
        <v>47</v>
      </c>
      <c r="AC156" t="s">
        <v>47</v>
      </c>
      <c r="AD156" t="s">
        <v>47</v>
      </c>
      <c r="AE156" t="s">
        <v>47</v>
      </c>
      <c r="AF156" t="s">
        <v>47</v>
      </c>
      <c r="AG156" t="s">
        <v>52</v>
      </c>
      <c r="AH156" t="s">
        <v>53</v>
      </c>
      <c r="AI156" t="s">
        <v>65</v>
      </c>
      <c r="AJ156">
        <v>1.5</v>
      </c>
      <c r="AK156" t="s">
        <v>47</v>
      </c>
      <c r="AL156" t="s">
        <v>72</v>
      </c>
      <c r="AM156" t="s">
        <v>118</v>
      </c>
      <c r="AN156">
        <v>46</v>
      </c>
      <c r="AO156" t="s">
        <v>47</v>
      </c>
    </row>
    <row r="157" spans="1:41">
      <c r="A157" t="s">
        <v>304</v>
      </c>
      <c r="B157">
        <v>2021</v>
      </c>
      <c r="C157" s="1">
        <v>44354</v>
      </c>
      <c r="D157" t="s">
        <v>58</v>
      </c>
      <c r="E157" t="s">
        <v>59</v>
      </c>
      <c r="F157">
        <v>72</v>
      </c>
      <c r="G157" t="s">
        <v>44</v>
      </c>
      <c r="H157" t="s">
        <v>61</v>
      </c>
      <c r="I157">
        <v>10</v>
      </c>
      <c r="J157">
        <v>10</v>
      </c>
      <c r="K157" t="s">
        <v>47</v>
      </c>
      <c r="L157" t="s">
        <v>46</v>
      </c>
      <c r="M157" t="s">
        <v>47</v>
      </c>
      <c r="N157" t="s">
        <v>48</v>
      </c>
      <c r="O157" t="s">
        <v>48</v>
      </c>
      <c r="P157">
        <v>35.6</v>
      </c>
      <c r="Q157" t="s">
        <v>48</v>
      </c>
      <c r="R157" t="s">
        <v>46</v>
      </c>
      <c r="S157" t="s">
        <v>47</v>
      </c>
      <c r="T157" t="s">
        <v>47</v>
      </c>
      <c r="U157" t="s">
        <v>47</v>
      </c>
      <c r="V157" t="s">
        <v>64</v>
      </c>
      <c r="W157" t="s">
        <v>47</v>
      </c>
      <c r="X157" t="s">
        <v>47</v>
      </c>
      <c r="Y157" t="s">
        <v>47</v>
      </c>
      <c r="Z157" t="s">
        <v>47</v>
      </c>
      <c r="AA157" t="s">
        <v>47</v>
      </c>
      <c r="AB157" t="s">
        <v>47</v>
      </c>
      <c r="AC157" t="s">
        <v>47</v>
      </c>
      <c r="AD157" t="s">
        <v>47</v>
      </c>
      <c r="AE157" t="s">
        <v>47</v>
      </c>
      <c r="AF157" t="s">
        <v>47</v>
      </c>
      <c r="AG157" t="s">
        <v>52</v>
      </c>
      <c r="AH157" t="s">
        <v>90</v>
      </c>
      <c r="AI157" t="s">
        <v>80</v>
      </c>
      <c r="AJ157">
        <v>4.9000000000000004</v>
      </c>
      <c r="AK157" t="s">
        <v>47</v>
      </c>
      <c r="AL157" t="s">
        <v>100</v>
      </c>
      <c r="AM157" t="s">
        <v>82</v>
      </c>
      <c r="AN157">
        <v>31</v>
      </c>
      <c r="AO157" t="s">
        <v>47</v>
      </c>
    </row>
    <row r="158" spans="1:41">
      <c r="A158" t="s">
        <v>305</v>
      </c>
      <c r="B158">
        <v>2017</v>
      </c>
      <c r="C158" s="1">
        <v>43043</v>
      </c>
      <c r="D158" t="s">
        <v>95</v>
      </c>
      <c r="E158" t="s">
        <v>107</v>
      </c>
      <c r="F158">
        <v>60</v>
      </c>
      <c r="G158" t="s">
        <v>60</v>
      </c>
      <c r="H158" t="s">
        <v>70</v>
      </c>
      <c r="I158">
        <v>0</v>
      </c>
      <c r="J158">
        <v>0</v>
      </c>
      <c r="K158" t="s">
        <v>46</v>
      </c>
      <c r="L158" t="s">
        <v>47</v>
      </c>
      <c r="M158" t="s">
        <v>47</v>
      </c>
      <c r="N158" t="s">
        <v>50</v>
      </c>
      <c r="O158" t="s">
        <v>49</v>
      </c>
      <c r="P158">
        <v>29</v>
      </c>
      <c r="Q158" t="s">
        <v>50</v>
      </c>
      <c r="R158" t="s">
        <v>47</v>
      </c>
      <c r="S158" t="s">
        <v>47</v>
      </c>
      <c r="T158" t="s">
        <v>47</v>
      </c>
      <c r="U158" t="s">
        <v>47</v>
      </c>
      <c r="V158" t="s">
        <v>86</v>
      </c>
      <c r="W158" t="s">
        <v>47</v>
      </c>
      <c r="X158" t="s">
        <v>47</v>
      </c>
      <c r="Y158" t="s">
        <v>47</v>
      </c>
      <c r="Z158" t="s">
        <v>47</v>
      </c>
      <c r="AA158" t="s">
        <v>46</v>
      </c>
      <c r="AB158" t="s">
        <v>46</v>
      </c>
      <c r="AC158" t="s">
        <v>47</v>
      </c>
      <c r="AD158" t="s">
        <v>47</v>
      </c>
      <c r="AE158" t="s">
        <v>47</v>
      </c>
      <c r="AF158" t="s">
        <v>47</v>
      </c>
      <c r="AG158" t="s">
        <v>52</v>
      </c>
      <c r="AH158" t="s">
        <v>90</v>
      </c>
      <c r="AI158" t="s">
        <v>65</v>
      </c>
      <c r="AJ158">
        <v>2.6</v>
      </c>
      <c r="AK158" t="s">
        <v>47</v>
      </c>
      <c r="AL158" t="s">
        <v>156</v>
      </c>
      <c r="AM158" t="s">
        <v>73</v>
      </c>
      <c r="AN158">
        <v>76</v>
      </c>
      <c r="AO158" t="s">
        <v>46</v>
      </c>
    </row>
    <row r="159" spans="1:41">
      <c r="A159" t="s">
        <v>306</v>
      </c>
      <c r="B159">
        <v>2025</v>
      </c>
      <c r="C159" s="1">
        <v>45928</v>
      </c>
      <c r="D159" t="s">
        <v>58</v>
      </c>
      <c r="E159" t="s">
        <v>229</v>
      </c>
      <c r="F159">
        <v>77</v>
      </c>
      <c r="G159" t="s">
        <v>60</v>
      </c>
      <c r="H159" t="s">
        <v>70</v>
      </c>
      <c r="I159">
        <v>0</v>
      </c>
      <c r="J159">
        <v>0</v>
      </c>
      <c r="K159" t="s">
        <v>46</v>
      </c>
      <c r="L159" t="s">
        <v>46</v>
      </c>
      <c r="M159" t="s">
        <v>47</v>
      </c>
      <c r="N159" t="s">
        <v>48</v>
      </c>
      <c r="O159" t="s">
        <v>49</v>
      </c>
      <c r="P159">
        <v>23.7</v>
      </c>
      <c r="Q159" t="s">
        <v>50</v>
      </c>
      <c r="R159" t="s">
        <v>47</v>
      </c>
      <c r="S159" t="s">
        <v>47</v>
      </c>
      <c r="T159" t="s">
        <v>47</v>
      </c>
      <c r="U159" t="s">
        <v>47</v>
      </c>
      <c r="V159" t="s">
        <v>86</v>
      </c>
      <c r="W159" t="s">
        <v>47</v>
      </c>
      <c r="X159" t="s">
        <v>47</v>
      </c>
      <c r="Y159" t="s">
        <v>46</v>
      </c>
      <c r="Z159" t="s">
        <v>47</v>
      </c>
      <c r="AA159" t="s">
        <v>47</v>
      </c>
      <c r="AB159" t="s">
        <v>47</v>
      </c>
      <c r="AC159" t="s">
        <v>46</v>
      </c>
      <c r="AD159" t="s">
        <v>47</v>
      </c>
      <c r="AE159" t="s">
        <v>47</v>
      </c>
      <c r="AF159" t="s">
        <v>47</v>
      </c>
      <c r="AG159" t="s">
        <v>52</v>
      </c>
      <c r="AH159" t="s">
        <v>71</v>
      </c>
      <c r="AI159" t="s">
        <v>87</v>
      </c>
      <c r="AJ159">
        <v>5.9</v>
      </c>
      <c r="AK159" t="s">
        <v>47</v>
      </c>
      <c r="AL159" t="s">
        <v>72</v>
      </c>
      <c r="AM159" t="s">
        <v>73</v>
      </c>
      <c r="AN159">
        <v>34</v>
      </c>
      <c r="AO159" t="s">
        <v>47</v>
      </c>
    </row>
    <row r="160" spans="1:41">
      <c r="A160" t="s">
        <v>307</v>
      </c>
      <c r="B160">
        <v>2016</v>
      </c>
      <c r="C160" s="1">
        <v>42667</v>
      </c>
      <c r="D160" t="s">
        <v>42</v>
      </c>
      <c r="E160" t="s">
        <v>166</v>
      </c>
      <c r="F160">
        <v>51</v>
      </c>
      <c r="G160" t="s">
        <v>44</v>
      </c>
      <c r="H160" t="s">
        <v>70</v>
      </c>
      <c r="I160">
        <v>0</v>
      </c>
      <c r="J160">
        <v>0</v>
      </c>
      <c r="K160" t="s">
        <v>47</v>
      </c>
      <c r="L160" t="s">
        <v>47</v>
      </c>
      <c r="M160" t="s">
        <v>47</v>
      </c>
      <c r="N160" t="s">
        <v>50</v>
      </c>
      <c r="O160" t="s">
        <v>49</v>
      </c>
      <c r="P160">
        <v>28.9</v>
      </c>
      <c r="Q160" t="s">
        <v>48</v>
      </c>
      <c r="R160" t="s">
        <v>47</v>
      </c>
      <c r="S160" t="s">
        <v>47</v>
      </c>
      <c r="T160" t="s">
        <v>46</v>
      </c>
      <c r="U160" t="s">
        <v>47</v>
      </c>
      <c r="V160" t="s">
        <v>86</v>
      </c>
      <c r="W160" t="s">
        <v>46</v>
      </c>
      <c r="X160" t="s">
        <v>46</v>
      </c>
      <c r="Y160" t="s">
        <v>47</v>
      </c>
      <c r="Z160" t="s">
        <v>47</v>
      </c>
      <c r="AA160" t="s">
        <v>47</v>
      </c>
      <c r="AB160" t="s">
        <v>47</v>
      </c>
      <c r="AC160" t="s">
        <v>46</v>
      </c>
      <c r="AD160" t="s">
        <v>47</v>
      </c>
      <c r="AE160" t="s">
        <v>47</v>
      </c>
      <c r="AF160" t="s">
        <v>47</v>
      </c>
      <c r="AG160" t="s">
        <v>52</v>
      </c>
      <c r="AH160" t="s">
        <v>53</v>
      </c>
      <c r="AI160" t="s">
        <v>87</v>
      </c>
      <c r="AJ160">
        <v>2.8</v>
      </c>
      <c r="AK160" t="s">
        <v>47</v>
      </c>
      <c r="AL160" t="s">
        <v>81</v>
      </c>
      <c r="AM160" t="s">
        <v>73</v>
      </c>
      <c r="AN160">
        <v>41</v>
      </c>
      <c r="AO160" t="s">
        <v>46</v>
      </c>
    </row>
    <row r="161" spans="1:41">
      <c r="A161" t="s">
        <v>308</v>
      </c>
      <c r="B161">
        <v>2022</v>
      </c>
      <c r="C161" s="1">
        <v>44679</v>
      </c>
      <c r="D161" t="s">
        <v>58</v>
      </c>
      <c r="E161" t="s">
        <v>142</v>
      </c>
      <c r="F161">
        <v>50</v>
      </c>
      <c r="G161" t="s">
        <v>44</v>
      </c>
      <c r="H161" t="s">
        <v>70</v>
      </c>
      <c r="I161">
        <v>0</v>
      </c>
      <c r="J161">
        <v>0</v>
      </c>
      <c r="K161" t="s">
        <v>46</v>
      </c>
      <c r="L161" t="s">
        <v>47</v>
      </c>
      <c r="M161" t="s">
        <v>47</v>
      </c>
      <c r="N161" t="s">
        <v>62</v>
      </c>
      <c r="O161" t="s">
        <v>48</v>
      </c>
      <c r="P161">
        <v>26.6</v>
      </c>
      <c r="Q161" t="s">
        <v>48</v>
      </c>
      <c r="R161" t="s">
        <v>47</v>
      </c>
      <c r="S161" t="s">
        <v>47</v>
      </c>
      <c r="T161" t="s">
        <v>47</v>
      </c>
      <c r="U161" t="s">
        <v>47</v>
      </c>
      <c r="V161" t="s">
        <v>86</v>
      </c>
      <c r="W161" t="s">
        <v>47</v>
      </c>
      <c r="X161" t="s">
        <v>47</v>
      </c>
      <c r="Y161" t="s">
        <v>47</v>
      </c>
      <c r="Z161" t="s">
        <v>46</v>
      </c>
      <c r="AA161" t="s">
        <v>46</v>
      </c>
      <c r="AB161" t="s">
        <v>47</v>
      </c>
      <c r="AC161" t="s">
        <v>47</v>
      </c>
      <c r="AD161" t="s">
        <v>46</v>
      </c>
      <c r="AE161" t="s">
        <v>47</v>
      </c>
      <c r="AF161" t="s">
        <v>46</v>
      </c>
      <c r="AG161" t="s">
        <v>52</v>
      </c>
      <c r="AH161" t="s">
        <v>53</v>
      </c>
      <c r="AI161" t="s">
        <v>80</v>
      </c>
      <c r="AJ161">
        <v>4.0999999999999996</v>
      </c>
      <c r="AK161" t="s">
        <v>46</v>
      </c>
      <c r="AL161" t="s">
        <v>76</v>
      </c>
      <c r="AM161" t="s">
        <v>82</v>
      </c>
      <c r="AN161">
        <v>24</v>
      </c>
      <c r="AO161" t="s">
        <v>47</v>
      </c>
    </row>
    <row r="162" spans="1:41">
      <c r="A162" t="s">
        <v>309</v>
      </c>
      <c r="B162">
        <v>2025</v>
      </c>
      <c r="C162" s="1">
        <v>45730</v>
      </c>
      <c r="D162" t="s">
        <v>84</v>
      </c>
      <c r="E162" t="s">
        <v>218</v>
      </c>
      <c r="F162">
        <v>51</v>
      </c>
      <c r="G162" t="s">
        <v>60</v>
      </c>
      <c r="H162" t="s">
        <v>70</v>
      </c>
      <c r="I162">
        <v>0</v>
      </c>
      <c r="J162">
        <v>0</v>
      </c>
      <c r="K162" t="s">
        <v>47</v>
      </c>
      <c r="L162" t="s">
        <v>46</v>
      </c>
      <c r="M162" t="s">
        <v>47</v>
      </c>
      <c r="N162" t="s">
        <v>62</v>
      </c>
      <c r="O162" t="s">
        <v>63</v>
      </c>
      <c r="P162">
        <v>25.5</v>
      </c>
      <c r="Q162" t="s">
        <v>48</v>
      </c>
      <c r="R162" t="s">
        <v>47</v>
      </c>
      <c r="S162" t="s">
        <v>47</v>
      </c>
      <c r="T162" t="s">
        <v>47</v>
      </c>
      <c r="U162" t="s">
        <v>47</v>
      </c>
      <c r="V162" t="s">
        <v>64</v>
      </c>
      <c r="W162" t="s">
        <v>47</v>
      </c>
      <c r="X162" t="s">
        <v>47</v>
      </c>
      <c r="Y162" t="s">
        <v>47</v>
      </c>
      <c r="Z162" t="s">
        <v>47</v>
      </c>
      <c r="AA162" t="s">
        <v>46</v>
      </c>
      <c r="AB162" t="s">
        <v>47</v>
      </c>
      <c r="AC162" t="s">
        <v>47</v>
      </c>
      <c r="AD162" t="s">
        <v>47</v>
      </c>
      <c r="AE162" t="s">
        <v>47</v>
      </c>
      <c r="AF162" t="s">
        <v>47</v>
      </c>
      <c r="AG162" t="s">
        <v>52</v>
      </c>
      <c r="AH162" t="s">
        <v>53</v>
      </c>
      <c r="AI162" t="s">
        <v>65</v>
      </c>
      <c r="AJ162">
        <v>1.6</v>
      </c>
      <c r="AK162" t="s">
        <v>47</v>
      </c>
      <c r="AL162" t="s">
        <v>72</v>
      </c>
      <c r="AM162" t="s">
        <v>82</v>
      </c>
      <c r="AN162">
        <v>44</v>
      </c>
      <c r="AO162" t="s">
        <v>46</v>
      </c>
    </row>
    <row r="163" spans="1:41">
      <c r="A163" t="s">
        <v>310</v>
      </c>
      <c r="B163">
        <v>2015</v>
      </c>
      <c r="C163" s="1">
        <v>42087</v>
      </c>
      <c r="D163" t="s">
        <v>110</v>
      </c>
      <c r="E163" t="s">
        <v>111</v>
      </c>
      <c r="F163">
        <v>42</v>
      </c>
      <c r="G163" t="s">
        <v>60</v>
      </c>
      <c r="H163" t="s">
        <v>70</v>
      </c>
      <c r="I163">
        <v>0</v>
      </c>
      <c r="J163">
        <v>0</v>
      </c>
      <c r="K163" t="s">
        <v>47</v>
      </c>
      <c r="L163" t="s">
        <v>47</v>
      </c>
      <c r="M163" t="s">
        <v>47</v>
      </c>
      <c r="N163" t="s">
        <v>48</v>
      </c>
      <c r="O163" t="s">
        <v>48</v>
      </c>
      <c r="P163">
        <v>29.5</v>
      </c>
      <c r="Q163" t="s">
        <v>62</v>
      </c>
      <c r="R163" t="s">
        <v>47</v>
      </c>
      <c r="S163" t="s">
        <v>47</v>
      </c>
      <c r="T163" t="s">
        <v>46</v>
      </c>
      <c r="U163" t="s">
        <v>47</v>
      </c>
      <c r="V163" t="s">
        <v>51</v>
      </c>
      <c r="W163" t="s">
        <v>46</v>
      </c>
      <c r="X163" t="s">
        <v>47</v>
      </c>
      <c r="Y163" t="s">
        <v>46</v>
      </c>
      <c r="Z163" t="s">
        <v>47</v>
      </c>
      <c r="AA163" t="s">
        <v>46</v>
      </c>
      <c r="AB163" t="s">
        <v>47</v>
      </c>
      <c r="AC163" t="s">
        <v>46</v>
      </c>
      <c r="AD163" t="s">
        <v>47</v>
      </c>
      <c r="AE163" t="s">
        <v>47</v>
      </c>
      <c r="AF163" t="s">
        <v>47</v>
      </c>
      <c r="AG163" t="s">
        <v>52</v>
      </c>
      <c r="AH163" t="s">
        <v>90</v>
      </c>
      <c r="AI163" t="s">
        <v>65</v>
      </c>
      <c r="AJ163">
        <v>1.8</v>
      </c>
      <c r="AK163" t="s">
        <v>47</v>
      </c>
      <c r="AL163" t="s">
        <v>72</v>
      </c>
      <c r="AM163" t="s">
        <v>73</v>
      </c>
      <c r="AN163">
        <v>72</v>
      </c>
      <c r="AO163" t="s">
        <v>46</v>
      </c>
    </row>
    <row r="164" spans="1:41">
      <c r="A164" t="s">
        <v>311</v>
      </c>
      <c r="B164">
        <v>2023</v>
      </c>
      <c r="C164" s="1">
        <v>45133</v>
      </c>
      <c r="D164" t="s">
        <v>84</v>
      </c>
      <c r="E164" t="s">
        <v>126</v>
      </c>
      <c r="F164">
        <v>66</v>
      </c>
      <c r="G164" t="s">
        <v>44</v>
      </c>
      <c r="H164" t="s">
        <v>45</v>
      </c>
      <c r="I164">
        <v>13</v>
      </c>
      <c r="J164">
        <v>30</v>
      </c>
      <c r="K164" t="s">
        <v>46</v>
      </c>
      <c r="L164" t="s">
        <v>46</v>
      </c>
      <c r="M164" t="s">
        <v>47</v>
      </c>
      <c r="N164" t="s">
        <v>48</v>
      </c>
      <c r="O164" t="s">
        <v>48</v>
      </c>
      <c r="P164">
        <v>32.5</v>
      </c>
      <c r="Q164" t="s">
        <v>48</v>
      </c>
      <c r="R164" t="s">
        <v>46</v>
      </c>
      <c r="S164" t="s">
        <v>46</v>
      </c>
      <c r="T164" t="s">
        <v>47</v>
      </c>
      <c r="U164" t="s">
        <v>47</v>
      </c>
      <c r="V164" t="s">
        <v>51</v>
      </c>
      <c r="W164" t="s">
        <v>46</v>
      </c>
      <c r="X164" t="s">
        <v>47</v>
      </c>
      <c r="Y164" t="s">
        <v>46</v>
      </c>
      <c r="Z164" t="s">
        <v>46</v>
      </c>
      <c r="AA164" t="s">
        <v>46</v>
      </c>
      <c r="AB164" t="s">
        <v>47</v>
      </c>
      <c r="AC164" t="s">
        <v>47</v>
      </c>
      <c r="AD164" t="s">
        <v>46</v>
      </c>
      <c r="AE164" t="s">
        <v>47</v>
      </c>
      <c r="AF164" t="s">
        <v>47</v>
      </c>
      <c r="AG164" t="s">
        <v>52</v>
      </c>
      <c r="AH164" t="s">
        <v>90</v>
      </c>
      <c r="AI164" t="s">
        <v>80</v>
      </c>
      <c r="AJ164">
        <v>6.1</v>
      </c>
      <c r="AK164" t="s">
        <v>47</v>
      </c>
      <c r="AL164" t="s">
        <v>66</v>
      </c>
      <c r="AM164" t="s">
        <v>77</v>
      </c>
      <c r="AN164">
        <v>12</v>
      </c>
      <c r="AO164" t="s">
        <v>47</v>
      </c>
    </row>
    <row r="165" spans="1:41">
      <c r="A165" t="s">
        <v>312</v>
      </c>
      <c r="B165">
        <v>2019</v>
      </c>
      <c r="C165" s="1">
        <v>43591</v>
      </c>
      <c r="D165" t="s">
        <v>110</v>
      </c>
      <c r="E165" t="s">
        <v>227</v>
      </c>
      <c r="F165">
        <v>62</v>
      </c>
      <c r="G165" t="s">
        <v>60</v>
      </c>
      <c r="H165" t="s">
        <v>61</v>
      </c>
      <c r="I165">
        <v>3</v>
      </c>
      <c r="J165">
        <v>12</v>
      </c>
      <c r="K165" t="s">
        <v>47</v>
      </c>
      <c r="L165" t="s">
        <v>47</v>
      </c>
      <c r="M165" t="s">
        <v>47</v>
      </c>
      <c r="N165" t="s">
        <v>62</v>
      </c>
      <c r="O165" t="s">
        <v>49</v>
      </c>
      <c r="P165">
        <v>27.1</v>
      </c>
      <c r="Q165" t="s">
        <v>50</v>
      </c>
      <c r="R165" t="s">
        <v>46</v>
      </c>
      <c r="S165" t="s">
        <v>47</v>
      </c>
      <c r="T165" t="s">
        <v>47</v>
      </c>
      <c r="U165" t="s">
        <v>47</v>
      </c>
      <c r="V165" t="s">
        <v>51</v>
      </c>
      <c r="W165" t="s">
        <v>46</v>
      </c>
      <c r="X165" t="s">
        <v>47</v>
      </c>
      <c r="Y165" t="s">
        <v>47</v>
      </c>
      <c r="Z165" t="s">
        <v>47</v>
      </c>
      <c r="AA165" t="s">
        <v>46</v>
      </c>
      <c r="AB165" t="s">
        <v>46</v>
      </c>
      <c r="AC165" t="s">
        <v>47</v>
      </c>
      <c r="AD165" t="s">
        <v>47</v>
      </c>
      <c r="AE165" t="s">
        <v>47</v>
      </c>
      <c r="AF165" t="s">
        <v>47</v>
      </c>
      <c r="AG165" t="s">
        <v>52</v>
      </c>
      <c r="AH165" t="s">
        <v>53</v>
      </c>
      <c r="AI165" t="s">
        <v>87</v>
      </c>
      <c r="AJ165">
        <v>3.5</v>
      </c>
      <c r="AK165" t="s">
        <v>47</v>
      </c>
      <c r="AL165" t="s">
        <v>81</v>
      </c>
      <c r="AM165" t="s">
        <v>67</v>
      </c>
      <c r="AN165">
        <v>38</v>
      </c>
      <c r="AO165" t="s">
        <v>46</v>
      </c>
    </row>
    <row r="166" spans="1:41">
      <c r="A166" t="s">
        <v>313</v>
      </c>
      <c r="B166">
        <v>2023</v>
      </c>
      <c r="C166" s="1">
        <v>45135</v>
      </c>
      <c r="D166" t="s">
        <v>58</v>
      </c>
      <c r="E166" t="s">
        <v>150</v>
      </c>
      <c r="F166">
        <v>49</v>
      </c>
      <c r="G166" t="s">
        <v>44</v>
      </c>
      <c r="H166" t="s">
        <v>70</v>
      </c>
      <c r="I166">
        <v>0</v>
      </c>
      <c r="J166">
        <v>0</v>
      </c>
      <c r="K166" t="s">
        <v>46</v>
      </c>
      <c r="L166" t="s">
        <v>47</v>
      </c>
      <c r="M166" t="s">
        <v>46</v>
      </c>
      <c r="N166" t="s">
        <v>48</v>
      </c>
      <c r="O166" t="s">
        <v>49</v>
      </c>
      <c r="P166">
        <v>21.6</v>
      </c>
      <c r="Q166" t="s">
        <v>62</v>
      </c>
      <c r="R166" t="s">
        <v>47</v>
      </c>
      <c r="S166" t="s">
        <v>47</v>
      </c>
      <c r="T166" t="s">
        <v>47</v>
      </c>
      <c r="U166" t="s">
        <v>47</v>
      </c>
      <c r="V166" t="s">
        <v>86</v>
      </c>
      <c r="W166" t="s">
        <v>47</v>
      </c>
      <c r="X166" t="s">
        <v>47</v>
      </c>
      <c r="Y166" t="s">
        <v>46</v>
      </c>
      <c r="Z166" t="s">
        <v>47</v>
      </c>
      <c r="AA166" t="s">
        <v>46</v>
      </c>
      <c r="AB166" t="s">
        <v>47</v>
      </c>
      <c r="AC166" t="s">
        <v>46</v>
      </c>
      <c r="AD166" t="s">
        <v>47</v>
      </c>
      <c r="AE166" t="s">
        <v>47</v>
      </c>
      <c r="AF166" t="s">
        <v>47</v>
      </c>
      <c r="AG166" t="s">
        <v>52</v>
      </c>
      <c r="AH166" t="s">
        <v>90</v>
      </c>
      <c r="AI166" t="s">
        <v>87</v>
      </c>
      <c r="AJ166">
        <v>5.2</v>
      </c>
      <c r="AK166" t="s">
        <v>47</v>
      </c>
      <c r="AL166" t="s">
        <v>76</v>
      </c>
      <c r="AM166" t="s">
        <v>73</v>
      </c>
      <c r="AN166">
        <v>41</v>
      </c>
      <c r="AO166" t="s">
        <v>47</v>
      </c>
    </row>
    <row r="167" spans="1:41">
      <c r="A167" t="s">
        <v>314</v>
      </c>
      <c r="B167">
        <v>2025</v>
      </c>
      <c r="C167" s="1">
        <v>45877</v>
      </c>
      <c r="D167" t="s">
        <v>42</v>
      </c>
      <c r="E167" t="s">
        <v>160</v>
      </c>
      <c r="F167">
        <v>79</v>
      </c>
      <c r="G167" t="s">
        <v>60</v>
      </c>
      <c r="H167" t="s">
        <v>70</v>
      </c>
      <c r="I167">
        <v>0</v>
      </c>
      <c r="J167">
        <v>0</v>
      </c>
      <c r="K167" t="s">
        <v>47</v>
      </c>
      <c r="L167" t="s">
        <v>46</v>
      </c>
      <c r="M167" t="s">
        <v>47</v>
      </c>
      <c r="N167" t="s">
        <v>62</v>
      </c>
      <c r="O167" t="s">
        <v>49</v>
      </c>
      <c r="P167">
        <v>27.7</v>
      </c>
      <c r="Q167" t="s">
        <v>48</v>
      </c>
      <c r="R167" t="s">
        <v>47</v>
      </c>
      <c r="S167" t="s">
        <v>47</v>
      </c>
      <c r="T167" t="s">
        <v>46</v>
      </c>
      <c r="U167" t="s">
        <v>47</v>
      </c>
      <c r="V167" t="s">
        <v>151</v>
      </c>
      <c r="W167" t="s">
        <v>47</v>
      </c>
      <c r="X167" t="s">
        <v>47</v>
      </c>
      <c r="Y167" t="s">
        <v>47</v>
      </c>
      <c r="Z167" t="s">
        <v>47</v>
      </c>
      <c r="AA167" t="s">
        <v>46</v>
      </c>
      <c r="AB167" t="s">
        <v>47</v>
      </c>
      <c r="AC167" t="s">
        <v>46</v>
      </c>
      <c r="AD167" t="s">
        <v>47</v>
      </c>
      <c r="AE167" t="s">
        <v>47</v>
      </c>
      <c r="AF167" t="s">
        <v>47</v>
      </c>
      <c r="AG167" t="s">
        <v>121</v>
      </c>
      <c r="AH167" t="s">
        <v>122</v>
      </c>
      <c r="AI167" t="s">
        <v>65</v>
      </c>
      <c r="AJ167">
        <v>1.8</v>
      </c>
      <c r="AK167" t="s">
        <v>47</v>
      </c>
      <c r="AL167" t="s">
        <v>76</v>
      </c>
      <c r="AM167" t="s">
        <v>103</v>
      </c>
      <c r="AN167">
        <v>70</v>
      </c>
      <c r="AO167" t="s">
        <v>46</v>
      </c>
    </row>
    <row r="168" spans="1:41">
      <c r="A168" t="s">
        <v>315</v>
      </c>
      <c r="B168">
        <v>2022</v>
      </c>
      <c r="C168" s="1">
        <v>44785</v>
      </c>
      <c r="D168" t="s">
        <v>84</v>
      </c>
      <c r="E168" t="s">
        <v>184</v>
      </c>
      <c r="F168">
        <v>73</v>
      </c>
      <c r="G168" t="s">
        <v>60</v>
      </c>
      <c r="H168" t="s">
        <v>45</v>
      </c>
      <c r="I168">
        <v>20</v>
      </c>
      <c r="J168">
        <v>34</v>
      </c>
      <c r="K168" t="s">
        <v>47</v>
      </c>
      <c r="L168" t="s">
        <v>47</v>
      </c>
      <c r="M168" t="s">
        <v>46</v>
      </c>
      <c r="N168" t="s">
        <v>62</v>
      </c>
      <c r="O168" t="s">
        <v>63</v>
      </c>
      <c r="P168">
        <v>31.5</v>
      </c>
      <c r="Q168" t="s">
        <v>48</v>
      </c>
      <c r="R168" t="s">
        <v>47</v>
      </c>
      <c r="S168" t="s">
        <v>47</v>
      </c>
      <c r="T168" t="s">
        <v>47</v>
      </c>
      <c r="U168" t="s">
        <v>47</v>
      </c>
      <c r="V168" t="s">
        <v>51</v>
      </c>
      <c r="W168" t="s">
        <v>46</v>
      </c>
      <c r="X168" t="s">
        <v>47</v>
      </c>
      <c r="Y168" t="s">
        <v>47</v>
      </c>
      <c r="Z168" t="s">
        <v>46</v>
      </c>
      <c r="AA168" t="s">
        <v>46</v>
      </c>
      <c r="AB168" t="s">
        <v>47</v>
      </c>
      <c r="AC168" t="s">
        <v>46</v>
      </c>
      <c r="AD168" t="s">
        <v>47</v>
      </c>
      <c r="AE168" t="s">
        <v>47</v>
      </c>
      <c r="AF168" t="s">
        <v>47</v>
      </c>
      <c r="AG168" t="s">
        <v>121</v>
      </c>
      <c r="AH168" t="s">
        <v>122</v>
      </c>
      <c r="AI168" t="s">
        <v>80</v>
      </c>
      <c r="AJ168">
        <v>3</v>
      </c>
      <c r="AK168" t="s">
        <v>47</v>
      </c>
      <c r="AL168" t="s">
        <v>100</v>
      </c>
      <c r="AM168" t="s">
        <v>56</v>
      </c>
      <c r="AN168">
        <v>21</v>
      </c>
      <c r="AO168" t="s">
        <v>47</v>
      </c>
    </row>
    <row r="169" spans="1:41">
      <c r="A169" t="s">
        <v>316</v>
      </c>
      <c r="B169">
        <v>2021</v>
      </c>
      <c r="C169" s="1">
        <v>44294</v>
      </c>
      <c r="D169" t="s">
        <v>84</v>
      </c>
      <c r="E169" t="s">
        <v>218</v>
      </c>
      <c r="F169">
        <v>65</v>
      </c>
      <c r="G169" t="s">
        <v>60</v>
      </c>
      <c r="H169" t="s">
        <v>70</v>
      </c>
      <c r="I169">
        <v>0</v>
      </c>
      <c r="J169">
        <v>0</v>
      </c>
      <c r="K169" t="s">
        <v>47</v>
      </c>
      <c r="L169" t="s">
        <v>47</v>
      </c>
      <c r="M169" t="s">
        <v>46</v>
      </c>
      <c r="N169" t="s">
        <v>62</v>
      </c>
      <c r="O169" t="s">
        <v>48</v>
      </c>
      <c r="P169">
        <v>25.9</v>
      </c>
      <c r="Q169" t="s">
        <v>48</v>
      </c>
      <c r="R169" t="s">
        <v>47</v>
      </c>
      <c r="S169" t="s">
        <v>46</v>
      </c>
      <c r="T169" t="s">
        <v>47</v>
      </c>
      <c r="U169" t="s">
        <v>47</v>
      </c>
      <c r="V169" t="s">
        <v>92</v>
      </c>
      <c r="W169" t="s">
        <v>47</v>
      </c>
      <c r="X169" t="s">
        <v>46</v>
      </c>
      <c r="Y169" t="s">
        <v>46</v>
      </c>
      <c r="Z169" t="s">
        <v>47</v>
      </c>
      <c r="AA169" t="s">
        <v>46</v>
      </c>
      <c r="AB169" t="s">
        <v>47</v>
      </c>
      <c r="AC169" t="s">
        <v>47</v>
      </c>
      <c r="AD169" t="s">
        <v>47</v>
      </c>
      <c r="AE169" t="s">
        <v>47</v>
      </c>
      <c r="AF169" t="s">
        <v>47</v>
      </c>
      <c r="AG169" t="s">
        <v>52</v>
      </c>
      <c r="AH169" t="s">
        <v>53</v>
      </c>
      <c r="AI169" t="s">
        <v>65</v>
      </c>
      <c r="AJ169">
        <v>3</v>
      </c>
      <c r="AK169" t="s">
        <v>47</v>
      </c>
      <c r="AL169" t="s">
        <v>156</v>
      </c>
      <c r="AM169" t="s">
        <v>103</v>
      </c>
      <c r="AN169">
        <v>54</v>
      </c>
      <c r="AO169" t="s">
        <v>46</v>
      </c>
    </row>
    <row r="170" spans="1:41">
      <c r="A170" t="s">
        <v>317</v>
      </c>
      <c r="B170">
        <v>2025</v>
      </c>
      <c r="C170" s="1">
        <v>45968</v>
      </c>
      <c r="D170" t="s">
        <v>84</v>
      </c>
      <c r="E170" t="s">
        <v>102</v>
      </c>
      <c r="F170">
        <v>58</v>
      </c>
      <c r="G170" t="s">
        <v>44</v>
      </c>
      <c r="H170" t="s">
        <v>45</v>
      </c>
      <c r="I170">
        <v>22</v>
      </c>
      <c r="J170">
        <v>32</v>
      </c>
      <c r="K170" t="s">
        <v>47</v>
      </c>
      <c r="L170" t="s">
        <v>47</v>
      </c>
      <c r="M170" t="s">
        <v>47</v>
      </c>
      <c r="N170" t="s">
        <v>62</v>
      </c>
      <c r="O170" t="s">
        <v>48</v>
      </c>
      <c r="P170">
        <v>27</v>
      </c>
      <c r="Q170" t="s">
        <v>50</v>
      </c>
      <c r="R170" t="s">
        <v>47</v>
      </c>
      <c r="S170" t="s">
        <v>47</v>
      </c>
      <c r="T170" t="s">
        <v>47</v>
      </c>
      <c r="U170" t="s">
        <v>47</v>
      </c>
      <c r="V170" t="s">
        <v>128</v>
      </c>
      <c r="W170" t="s">
        <v>46</v>
      </c>
      <c r="X170" t="s">
        <v>46</v>
      </c>
      <c r="Y170" t="s">
        <v>46</v>
      </c>
      <c r="Z170" t="s">
        <v>47</v>
      </c>
      <c r="AA170" t="s">
        <v>47</v>
      </c>
      <c r="AB170" t="s">
        <v>46</v>
      </c>
      <c r="AC170" t="s">
        <v>47</v>
      </c>
      <c r="AD170" t="s">
        <v>47</v>
      </c>
      <c r="AE170" t="s">
        <v>47</v>
      </c>
      <c r="AF170" t="s">
        <v>46</v>
      </c>
      <c r="AG170" t="s">
        <v>52</v>
      </c>
      <c r="AH170" t="s">
        <v>71</v>
      </c>
      <c r="AI170" t="s">
        <v>54</v>
      </c>
      <c r="AJ170">
        <v>7.1</v>
      </c>
      <c r="AK170" t="s">
        <v>46</v>
      </c>
      <c r="AL170" t="s">
        <v>156</v>
      </c>
      <c r="AM170" t="s">
        <v>118</v>
      </c>
      <c r="AN170">
        <v>5</v>
      </c>
      <c r="AO170" t="s">
        <v>47</v>
      </c>
    </row>
    <row r="171" spans="1:41">
      <c r="A171" t="s">
        <v>318</v>
      </c>
      <c r="B171">
        <v>2021</v>
      </c>
      <c r="C171" s="1">
        <v>44356</v>
      </c>
      <c r="D171" t="s">
        <v>84</v>
      </c>
      <c r="E171" t="s">
        <v>85</v>
      </c>
      <c r="F171">
        <v>54</v>
      </c>
      <c r="G171" t="s">
        <v>60</v>
      </c>
      <c r="H171" t="s">
        <v>70</v>
      </c>
      <c r="I171">
        <v>0</v>
      </c>
      <c r="J171">
        <v>0</v>
      </c>
      <c r="K171" t="s">
        <v>46</v>
      </c>
      <c r="L171" t="s">
        <v>47</v>
      </c>
      <c r="M171" t="s">
        <v>47</v>
      </c>
      <c r="N171" t="s">
        <v>62</v>
      </c>
      <c r="O171" t="s">
        <v>63</v>
      </c>
      <c r="P171">
        <v>30.4</v>
      </c>
      <c r="Q171" t="s">
        <v>50</v>
      </c>
      <c r="R171" t="s">
        <v>47</v>
      </c>
      <c r="S171" t="s">
        <v>47</v>
      </c>
      <c r="T171" t="s">
        <v>47</v>
      </c>
      <c r="U171" t="s">
        <v>47</v>
      </c>
      <c r="V171" t="s">
        <v>51</v>
      </c>
      <c r="W171" t="s">
        <v>47</v>
      </c>
      <c r="X171" t="s">
        <v>46</v>
      </c>
      <c r="Y171" t="s">
        <v>47</v>
      </c>
      <c r="Z171" t="s">
        <v>46</v>
      </c>
      <c r="AA171" t="s">
        <v>47</v>
      </c>
      <c r="AB171" t="s">
        <v>47</v>
      </c>
      <c r="AC171" t="s">
        <v>47</v>
      </c>
      <c r="AD171" t="s">
        <v>47</v>
      </c>
      <c r="AE171" t="s">
        <v>47</v>
      </c>
      <c r="AF171" t="s">
        <v>46</v>
      </c>
      <c r="AG171" t="s">
        <v>52</v>
      </c>
      <c r="AH171" t="s">
        <v>90</v>
      </c>
      <c r="AI171" t="s">
        <v>87</v>
      </c>
      <c r="AJ171">
        <v>3.8</v>
      </c>
      <c r="AK171" t="s">
        <v>47</v>
      </c>
      <c r="AL171" t="s">
        <v>76</v>
      </c>
      <c r="AM171" t="s">
        <v>73</v>
      </c>
      <c r="AN171">
        <v>46</v>
      </c>
      <c r="AO171" t="s">
        <v>47</v>
      </c>
    </row>
    <row r="172" spans="1:41">
      <c r="A172" t="s">
        <v>319</v>
      </c>
      <c r="B172">
        <v>2025</v>
      </c>
      <c r="C172" s="1">
        <v>45789</v>
      </c>
      <c r="D172" t="s">
        <v>95</v>
      </c>
      <c r="E172" t="s">
        <v>147</v>
      </c>
      <c r="F172">
        <v>58</v>
      </c>
      <c r="G172" t="s">
        <v>60</v>
      </c>
      <c r="H172" t="s">
        <v>45</v>
      </c>
      <c r="I172">
        <v>8</v>
      </c>
      <c r="J172">
        <v>30</v>
      </c>
      <c r="K172" t="s">
        <v>47</v>
      </c>
      <c r="L172" t="s">
        <v>47</v>
      </c>
      <c r="M172" t="s">
        <v>47</v>
      </c>
      <c r="N172" t="s">
        <v>48</v>
      </c>
      <c r="O172" t="s">
        <v>48</v>
      </c>
      <c r="P172">
        <v>20.3</v>
      </c>
      <c r="Q172" t="s">
        <v>48</v>
      </c>
      <c r="R172" t="s">
        <v>47</v>
      </c>
      <c r="S172" t="s">
        <v>47</v>
      </c>
      <c r="T172" t="s">
        <v>47</v>
      </c>
      <c r="U172" t="s">
        <v>47</v>
      </c>
      <c r="V172" t="s">
        <v>64</v>
      </c>
      <c r="W172" t="s">
        <v>46</v>
      </c>
      <c r="X172" t="s">
        <v>47</v>
      </c>
      <c r="Y172" t="s">
        <v>46</v>
      </c>
      <c r="Z172" t="s">
        <v>47</v>
      </c>
      <c r="AA172" t="s">
        <v>46</v>
      </c>
      <c r="AB172" t="s">
        <v>47</v>
      </c>
      <c r="AC172" t="s">
        <v>46</v>
      </c>
      <c r="AD172" t="s">
        <v>46</v>
      </c>
      <c r="AE172" t="s">
        <v>47</v>
      </c>
      <c r="AF172" t="s">
        <v>47</v>
      </c>
      <c r="AG172" t="s">
        <v>121</v>
      </c>
      <c r="AH172" t="s">
        <v>122</v>
      </c>
      <c r="AI172" t="s">
        <v>80</v>
      </c>
      <c r="AJ172">
        <v>3.7</v>
      </c>
      <c r="AK172" t="s">
        <v>46</v>
      </c>
      <c r="AL172" t="s">
        <v>100</v>
      </c>
      <c r="AM172" t="s">
        <v>67</v>
      </c>
      <c r="AN172">
        <v>21</v>
      </c>
      <c r="AO172" t="s">
        <v>47</v>
      </c>
    </row>
    <row r="173" spans="1:41">
      <c r="A173" t="s">
        <v>320</v>
      </c>
      <c r="B173">
        <v>2019</v>
      </c>
      <c r="C173" s="1">
        <v>43668</v>
      </c>
      <c r="D173" t="s">
        <v>110</v>
      </c>
      <c r="E173" t="s">
        <v>116</v>
      </c>
      <c r="F173">
        <v>50</v>
      </c>
      <c r="G173" t="s">
        <v>44</v>
      </c>
      <c r="H173" t="s">
        <v>70</v>
      </c>
      <c r="I173">
        <v>0</v>
      </c>
      <c r="J173">
        <v>0</v>
      </c>
      <c r="K173" t="s">
        <v>47</v>
      </c>
      <c r="L173" t="s">
        <v>47</v>
      </c>
      <c r="M173" t="s">
        <v>47</v>
      </c>
      <c r="N173" t="s">
        <v>62</v>
      </c>
      <c r="O173" t="s">
        <v>63</v>
      </c>
      <c r="P173">
        <v>26.8</v>
      </c>
      <c r="Q173" t="s">
        <v>48</v>
      </c>
      <c r="R173" t="s">
        <v>47</v>
      </c>
      <c r="S173" t="s">
        <v>47</v>
      </c>
      <c r="T173" t="s">
        <v>47</v>
      </c>
      <c r="U173" t="s">
        <v>47</v>
      </c>
      <c r="V173" t="s">
        <v>86</v>
      </c>
      <c r="W173" t="s">
        <v>47</v>
      </c>
      <c r="X173" t="s">
        <v>47</v>
      </c>
      <c r="Y173" t="s">
        <v>47</v>
      </c>
      <c r="Z173" t="s">
        <v>46</v>
      </c>
      <c r="AA173" t="s">
        <v>46</v>
      </c>
      <c r="AB173" t="s">
        <v>47</v>
      </c>
      <c r="AC173" t="s">
        <v>47</v>
      </c>
      <c r="AD173" t="s">
        <v>47</v>
      </c>
      <c r="AE173" t="s">
        <v>47</v>
      </c>
      <c r="AF173" t="s">
        <v>47</v>
      </c>
      <c r="AG173" t="s">
        <v>52</v>
      </c>
      <c r="AH173" t="s">
        <v>53</v>
      </c>
      <c r="AI173" t="s">
        <v>87</v>
      </c>
      <c r="AJ173">
        <v>2.9</v>
      </c>
      <c r="AK173" t="s">
        <v>47</v>
      </c>
      <c r="AL173" t="s">
        <v>76</v>
      </c>
      <c r="AM173" t="s">
        <v>82</v>
      </c>
      <c r="AN173">
        <v>31</v>
      </c>
      <c r="AO173" t="s">
        <v>46</v>
      </c>
    </row>
    <row r="174" spans="1:41">
      <c r="A174" t="s">
        <v>321</v>
      </c>
      <c r="B174">
        <v>2024</v>
      </c>
      <c r="C174" s="1">
        <v>45444</v>
      </c>
      <c r="D174" t="s">
        <v>58</v>
      </c>
      <c r="E174" t="s">
        <v>169</v>
      </c>
      <c r="F174">
        <v>60</v>
      </c>
      <c r="G174" t="s">
        <v>60</v>
      </c>
      <c r="H174" t="s">
        <v>45</v>
      </c>
      <c r="I174">
        <v>24</v>
      </c>
      <c r="J174">
        <v>31</v>
      </c>
      <c r="K174" t="s">
        <v>47</v>
      </c>
      <c r="L174" t="s">
        <v>47</v>
      </c>
      <c r="M174" t="s">
        <v>47</v>
      </c>
      <c r="N174" t="s">
        <v>50</v>
      </c>
      <c r="O174" t="s">
        <v>48</v>
      </c>
      <c r="P174">
        <v>29.2</v>
      </c>
      <c r="Q174" t="s">
        <v>62</v>
      </c>
      <c r="R174" t="s">
        <v>47</v>
      </c>
      <c r="S174" t="s">
        <v>47</v>
      </c>
      <c r="T174" t="s">
        <v>47</v>
      </c>
      <c r="U174" t="s">
        <v>47</v>
      </c>
      <c r="V174" t="s">
        <v>51</v>
      </c>
      <c r="W174" t="s">
        <v>47</v>
      </c>
      <c r="X174" t="s">
        <v>46</v>
      </c>
      <c r="Y174" t="s">
        <v>46</v>
      </c>
      <c r="Z174" t="s">
        <v>46</v>
      </c>
      <c r="AA174" t="s">
        <v>47</v>
      </c>
      <c r="AB174" t="s">
        <v>46</v>
      </c>
      <c r="AC174" t="s">
        <v>46</v>
      </c>
      <c r="AD174" t="s">
        <v>47</v>
      </c>
      <c r="AE174" t="s">
        <v>46</v>
      </c>
      <c r="AF174" t="s">
        <v>47</v>
      </c>
      <c r="AG174" t="s">
        <v>52</v>
      </c>
      <c r="AH174" t="s">
        <v>71</v>
      </c>
      <c r="AI174" t="s">
        <v>80</v>
      </c>
      <c r="AJ174">
        <v>3.7</v>
      </c>
      <c r="AK174" t="s">
        <v>47</v>
      </c>
      <c r="AL174" t="s">
        <v>156</v>
      </c>
      <c r="AM174" t="s">
        <v>67</v>
      </c>
      <c r="AN174">
        <v>24</v>
      </c>
      <c r="AO174" t="s">
        <v>47</v>
      </c>
    </row>
    <row r="175" spans="1:41">
      <c r="A175" t="s">
        <v>322</v>
      </c>
      <c r="B175">
        <v>2022</v>
      </c>
      <c r="C175" s="1">
        <v>44687</v>
      </c>
      <c r="D175" t="s">
        <v>58</v>
      </c>
      <c r="E175" t="s">
        <v>163</v>
      </c>
      <c r="F175">
        <v>49</v>
      </c>
      <c r="G175" t="s">
        <v>44</v>
      </c>
      <c r="H175" t="s">
        <v>70</v>
      </c>
      <c r="I175">
        <v>0</v>
      </c>
      <c r="J175">
        <v>0</v>
      </c>
      <c r="K175" t="s">
        <v>46</v>
      </c>
      <c r="L175" t="s">
        <v>46</v>
      </c>
      <c r="M175" t="s">
        <v>47</v>
      </c>
      <c r="N175" t="s">
        <v>50</v>
      </c>
      <c r="O175" t="s">
        <v>48</v>
      </c>
      <c r="P175">
        <v>26.5</v>
      </c>
      <c r="Q175" t="s">
        <v>48</v>
      </c>
      <c r="R175" t="s">
        <v>46</v>
      </c>
      <c r="S175" t="s">
        <v>47</v>
      </c>
      <c r="T175" t="s">
        <v>47</v>
      </c>
      <c r="U175" t="s">
        <v>47</v>
      </c>
      <c r="V175" t="s">
        <v>86</v>
      </c>
      <c r="W175" t="s">
        <v>47</v>
      </c>
      <c r="X175" t="s">
        <v>47</v>
      </c>
      <c r="Y175" t="s">
        <v>46</v>
      </c>
      <c r="Z175" t="s">
        <v>47</v>
      </c>
      <c r="AA175" t="s">
        <v>46</v>
      </c>
      <c r="AB175" t="s">
        <v>47</v>
      </c>
      <c r="AC175" t="s">
        <v>46</v>
      </c>
      <c r="AD175" t="s">
        <v>47</v>
      </c>
      <c r="AE175" t="s">
        <v>47</v>
      </c>
      <c r="AF175" t="s">
        <v>47</v>
      </c>
      <c r="AG175" t="s">
        <v>52</v>
      </c>
      <c r="AH175" t="s">
        <v>53</v>
      </c>
      <c r="AI175" t="s">
        <v>87</v>
      </c>
      <c r="AJ175">
        <v>4.3</v>
      </c>
      <c r="AK175" t="s">
        <v>47</v>
      </c>
      <c r="AL175" t="s">
        <v>76</v>
      </c>
      <c r="AM175" t="s">
        <v>67</v>
      </c>
      <c r="AN175">
        <v>42</v>
      </c>
      <c r="AO175" t="s">
        <v>46</v>
      </c>
    </row>
    <row r="176" spans="1:41">
      <c r="A176" t="s">
        <v>323</v>
      </c>
      <c r="B176">
        <v>2022</v>
      </c>
      <c r="C176" s="1">
        <v>44683</v>
      </c>
      <c r="D176" t="s">
        <v>42</v>
      </c>
      <c r="E176" t="s">
        <v>69</v>
      </c>
      <c r="F176">
        <v>54</v>
      </c>
      <c r="G176" t="s">
        <v>44</v>
      </c>
      <c r="H176" t="s">
        <v>70</v>
      </c>
      <c r="I176">
        <v>0</v>
      </c>
      <c r="J176">
        <v>0</v>
      </c>
      <c r="K176" t="s">
        <v>46</v>
      </c>
      <c r="L176" t="s">
        <v>47</v>
      </c>
      <c r="M176" t="s">
        <v>46</v>
      </c>
      <c r="N176" t="s">
        <v>48</v>
      </c>
      <c r="O176" t="s">
        <v>48</v>
      </c>
      <c r="P176">
        <v>27.4</v>
      </c>
      <c r="Q176" t="s">
        <v>48</v>
      </c>
      <c r="R176" t="s">
        <v>47</v>
      </c>
      <c r="S176" t="s">
        <v>47</v>
      </c>
      <c r="T176" t="s">
        <v>47</v>
      </c>
      <c r="U176" t="s">
        <v>47</v>
      </c>
      <c r="V176" t="s">
        <v>117</v>
      </c>
      <c r="W176" t="s">
        <v>46</v>
      </c>
      <c r="X176" t="s">
        <v>46</v>
      </c>
      <c r="Y176" t="s">
        <v>47</v>
      </c>
      <c r="Z176" t="s">
        <v>47</v>
      </c>
      <c r="AA176" t="s">
        <v>46</v>
      </c>
      <c r="AB176" t="s">
        <v>47</v>
      </c>
      <c r="AC176" t="s">
        <v>47</v>
      </c>
      <c r="AD176" t="s">
        <v>47</v>
      </c>
      <c r="AE176" t="s">
        <v>47</v>
      </c>
      <c r="AF176" t="s">
        <v>46</v>
      </c>
      <c r="AG176" t="s">
        <v>52</v>
      </c>
      <c r="AH176" t="s">
        <v>53</v>
      </c>
      <c r="AI176" t="s">
        <v>54</v>
      </c>
      <c r="AJ176">
        <v>8.6</v>
      </c>
      <c r="AK176" t="s">
        <v>46</v>
      </c>
      <c r="AL176" t="s">
        <v>100</v>
      </c>
      <c r="AM176" t="s">
        <v>265</v>
      </c>
      <c r="AN176">
        <v>4</v>
      </c>
      <c r="AO176" t="s">
        <v>46</v>
      </c>
    </row>
    <row r="177" spans="1:41">
      <c r="A177" t="s">
        <v>324</v>
      </c>
      <c r="B177">
        <v>2016</v>
      </c>
      <c r="C177" s="1">
        <v>42657</v>
      </c>
      <c r="D177" t="s">
        <v>42</v>
      </c>
      <c r="E177" t="s">
        <v>136</v>
      </c>
      <c r="F177">
        <v>63</v>
      </c>
      <c r="G177" t="s">
        <v>60</v>
      </c>
      <c r="H177" t="s">
        <v>70</v>
      </c>
      <c r="I177">
        <v>0</v>
      </c>
      <c r="J177">
        <v>0</v>
      </c>
      <c r="K177" t="s">
        <v>46</v>
      </c>
      <c r="L177" t="s">
        <v>47</v>
      </c>
      <c r="M177" t="s">
        <v>47</v>
      </c>
      <c r="N177" t="s">
        <v>62</v>
      </c>
      <c r="O177" t="s">
        <v>63</v>
      </c>
      <c r="P177">
        <v>17.2</v>
      </c>
      <c r="Q177" t="s">
        <v>50</v>
      </c>
      <c r="R177" t="s">
        <v>47</v>
      </c>
      <c r="S177" t="s">
        <v>47</v>
      </c>
      <c r="T177" t="s">
        <v>47</v>
      </c>
      <c r="U177" t="s">
        <v>47</v>
      </c>
      <c r="V177" t="s">
        <v>171</v>
      </c>
      <c r="W177" t="s">
        <v>46</v>
      </c>
      <c r="X177" t="s">
        <v>47</v>
      </c>
      <c r="Y177" t="s">
        <v>47</v>
      </c>
      <c r="Z177" t="s">
        <v>47</v>
      </c>
      <c r="AA177" t="s">
        <v>46</v>
      </c>
      <c r="AB177" t="s">
        <v>47</v>
      </c>
      <c r="AC177" t="s">
        <v>47</v>
      </c>
      <c r="AD177" t="s">
        <v>46</v>
      </c>
      <c r="AE177" t="s">
        <v>47</v>
      </c>
      <c r="AF177" t="s">
        <v>47</v>
      </c>
      <c r="AG177" t="s">
        <v>52</v>
      </c>
      <c r="AH177" t="s">
        <v>53</v>
      </c>
      <c r="AI177" t="s">
        <v>54</v>
      </c>
      <c r="AJ177">
        <v>7.8</v>
      </c>
      <c r="AK177" t="s">
        <v>46</v>
      </c>
      <c r="AL177" t="s">
        <v>76</v>
      </c>
      <c r="AM177" t="s">
        <v>82</v>
      </c>
      <c r="AN177">
        <v>12</v>
      </c>
      <c r="AO177" t="s">
        <v>47</v>
      </c>
    </row>
    <row r="178" spans="1:41">
      <c r="A178" t="s">
        <v>325</v>
      </c>
      <c r="B178">
        <v>2025</v>
      </c>
      <c r="C178" s="1">
        <v>46017</v>
      </c>
      <c r="D178" t="s">
        <v>110</v>
      </c>
      <c r="E178" t="s">
        <v>111</v>
      </c>
      <c r="F178">
        <v>58</v>
      </c>
      <c r="G178" t="s">
        <v>60</v>
      </c>
      <c r="H178" t="s">
        <v>45</v>
      </c>
      <c r="I178">
        <v>10</v>
      </c>
      <c r="J178">
        <v>19</v>
      </c>
      <c r="K178" t="s">
        <v>46</v>
      </c>
      <c r="L178" t="s">
        <v>47</v>
      </c>
      <c r="M178" t="s">
        <v>47</v>
      </c>
      <c r="N178" t="s">
        <v>48</v>
      </c>
      <c r="O178" t="s">
        <v>48</v>
      </c>
      <c r="P178">
        <v>24.9</v>
      </c>
      <c r="Q178" t="s">
        <v>62</v>
      </c>
      <c r="R178" t="s">
        <v>47</v>
      </c>
      <c r="S178" t="s">
        <v>47</v>
      </c>
      <c r="T178" t="s">
        <v>47</v>
      </c>
      <c r="U178" t="s">
        <v>47</v>
      </c>
      <c r="V178" t="s">
        <v>117</v>
      </c>
      <c r="W178" t="s">
        <v>46</v>
      </c>
      <c r="X178" t="s">
        <v>47</v>
      </c>
      <c r="Y178" t="s">
        <v>46</v>
      </c>
      <c r="Z178" t="s">
        <v>46</v>
      </c>
      <c r="AA178" t="s">
        <v>46</v>
      </c>
      <c r="AB178" t="s">
        <v>47</v>
      </c>
      <c r="AC178" t="s">
        <v>47</v>
      </c>
      <c r="AD178" t="s">
        <v>46</v>
      </c>
      <c r="AE178" t="s">
        <v>47</v>
      </c>
      <c r="AF178" t="s">
        <v>47</v>
      </c>
      <c r="AG178" t="s">
        <v>52</v>
      </c>
      <c r="AH178" t="s">
        <v>53</v>
      </c>
      <c r="AI178" t="s">
        <v>54</v>
      </c>
      <c r="AJ178">
        <v>3.5</v>
      </c>
      <c r="AK178" t="s">
        <v>46</v>
      </c>
      <c r="AL178" t="s">
        <v>100</v>
      </c>
      <c r="AM178" t="s">
        <v>118</v>
      </c>
      <c r="AN178">
        <v>11</v>
      </c>
      <c r="AO178" t="s">
        <v>47</v>
      </c>
    </row>
    <row r="179" spans="1:41">
      <c r="A179" t="s">
        <v>326</v>
      </c>
      <c r="B179">
        <v>2024</v>
      </c>
      <c r="C179" s="1">
        <v>45493</v>
      </c>
      <c r="D179" t="s">
        <v>58</v>
      </c>
      <c r="E179" t="s">
        <v>220</v>
      </c>
      <c r="F179">
        <v>60</v>
      </c>
      <c r="G179" t="s">
        <v>44</v>
      </c>
      <c r="H179" t="s">
        <v>70</v>
      </c>
      <c r="I179">
        <v>0</v>
      </c>
      <c r="J179">
        <v>0</v>
      </c>
      <c r="K179" t="s">
        <v>47</v>
      </c>
      <c r="L179" t="s">
        <v>47</v>
      </c>
      <c r="M179" t="s">
        <v>47</v>
      </c>
      <c r="N179" t="s">
        <v>50</v>
      </c>
      <c r="O179" t="s">
        <v>48</v>
      </c>
      <c r="P179">
        <v>31.9</v>
      </c>
      <c r="Q179" t="s">
        <v>48</v>
      </c>
      <c r="R179" t="s">
        <v>47</v>
      </c>
      <c r="S179" t="s">
        <v>47</v>
      </c>
      <c r="T179" t="s">
        <v>47</v>
      </c>
      <c r="U179" t="s">
        <v>47</v>
      </c>
      <c r="V179" t="s">
        <v>51</v>
      </c>
      <c r="W179" t="s">
        <v>47</v>
      </c>
      <c r="X179" t="s">
        <v>47</v>
      </c>
      <c r="Y179" t="s">
        <v>47</v>
      </c>
      <c r="Z179" t="s">
        <v>46</v>
      </c>
      <c r="AA179" t="s">
        <v>46</v>
      </c>
      <c r="AB179" t="s">
        <v>47</v>
      </c>
      <c r="AC179" t="s">
        <v>47</v>
      </c>
      <c r="AD179" t="s">
        <v>47</v>
      </c>
      <c r="AE179" t="s">
        <v>47</v>
      </c>
      <c r="AF179" t="s">
        <v>46</v>
      </c>
      <c r="AG179" t="s">
        <v>52</v>
      </c>
      <c r="AH179" t="s">
        <v>53</v>
      </c>
      <c r="AI179" t="s">
        <v>65</v>
      </c>
      <c r="AJ179">
        <v>3</v>
      </c>
      <c r="AK179" t="s">
        <v>47</v>
      </c>
      <c r="AL179" t="s">
        <v>66</v>
      </c>
      <c r="AM179" t="s">
        <v>73</v>
      </c>
      <c r="AN179">
        <v>55</v>
      </c>
      <c r="AO179" t="s">
        <v>46</v>
      </c>
    </row>
    <row r="180" spans="1:41">
      <c r="A180" t="s">
        <v>327</v>
      </c>
      <c r="B180">
        <v>2019</v>
      </c>
      <c r="C180" s="1">
        <v>43509</v>
      </c>
      <c r="D180" t="s">
        <v>58</v>
      </c>
      <c r="E180" t="s">
        <v>163</v>
      </c>
      <c r="F180">
        <v>56</v>
      </c>
      <c r="G180" t="s">
        <v>44</v>
      </c>
      <c r="H180" t="s">
        <v>70</v>
      </c>
      <c r="I180">
        <v>0</v>
      </c>
      <c r="J180">
        <v>0</v>
      </c>
      <c r="K180" t="s">
        <v>47</v>
      </c>
      <c r="L180" t="s">
        <v>47</v>
      </c>
      <c r="M180" t="s">
        <v>46</v>
      </c>
      <c r="N180" t="s">
        <v>48</v>
      </c>
      <c r="O180" t="s">
        <v>63</v>
      </c>
      <c r="P180">
        <v>32</v>
      </c>
      <c r="Q180" t="s">
        <v>50</v>
      </c>
      <c r="R180" t="s">
        <v>47</v>
      </c>
      <c r="S180" t="s">
        <v>47</v>
      </c>
      <c r="T180" t="s">
        <v>47</v>
      </c>
      <c r="U180" t="s">
        <v>47</v>
      </c>
      <c r="V180" t="s">
        <v>193</v>
      </c>
      <c r="W180" t="s">
        <v>47</v>
      </c>
      <c r="X180" t="s">
        <v>47</v>
      </c>
      <c r="Y180" t="s">
        <v>47</v>
      </c>
      <c r="Z180" t="s">
        <v>47</v>
      </c>
      <c r="AA180" t="s">
        <v>46</v>
      </c>
      <c r="AB180" t="s">
        <v>47</v>
      </c>
      <c r="AC180" t="s">
        <v>47</v>
      </c>
      <c r="AD180" t="s">
        <v>46</v>
      </c>
      <c r="AE180" t="s">
        <v>47</v>
      </c>
      <c r="AF180" t="s">
        <v>47</v>
      </c>
      <c r="AG180" t="s">
        <v>52</v>
      </c>
      <c r="AH180" t="s">
        <v>53</v>
      </c>
      <c r="AI180" t="s">
        <v>87</v>
      </c>
      <c r="AJ180">
        <v>3.4</v>
      </c>
      <c r="AK180" t="s">
        <v>47</v>
      </c>
      <c r="AL180" t="s">
        <v>81</v>
      </c>
      <c r="AM180" t="s">
        <v>77</v>
      </c>
      <c r="AN180">
        <v>25</v>
      </c>
      <c r="AO180" t="s">
        <v>46</v>
      </c>
    </row>
    <row r="181" spans="1:41">
      <c r="A181" t="s">
        <v>328</v>
      </c>
      <c r="B181">
        <v>2024</v>
      </c>
      <c r="C181" s="1">
        <v>45391</v>
      </c>
      <c r="D181" t="s">
        <v>42</v>
      </c>
      <c r="E181" t="s">
        <v>43</v>
      </c>
      <c r="F181">
        <v>62</v>
      </c>
      <c r="G181" t="s">
        <v>44</v>
      </c>
      <c r="H181" t="s">
        <v>70</v>
      </c>
      <c r="I181">
        <v>0</v>
      </c>
      <c r="J181">
        <v>0</v>
      </c>
      <c r="K181" t="s">
        <v>46</v>
      </c>
      <c r="L181" t="s">
        <v>47</v>
      </c>
      <c r="M181" t="s">
        <v>47</v>
      </c>
      <c r="N181" t="s">
        <v>48</v>
      </c>
      <c r="O181" t="s">
        <v>48</v>
      </c>
      <c r="P181">
        <v>25.3</v>
      </c>
      <c r="Q181" t="s">
        <v>50</v>
      </c>
      <c r="R181" t="s">
        <v>47</v>
      </c>
      <c r="S181" t="s">
        <v>47</v>
      </c>
      <c r="T181" t="s">
        <v>47</v>
      </c>
      <c r="U181" t="s">
        <v>46</v>
      </c>
      <c r="V181" t="s">
        <v>117</v>
      </c>
      <c r="W181" t="s">
        <v>47</v>
      </c>
      <c r="X181" t="s">
        <v>47</v>
      </c>
      <c r="Y181" t="s">
        <v>47</v>
      </c>
      <c r="Z181" t="s">
        <v>47</v>
      </c>
      <c r="AA181" t="s">
        <v>47</v>
      </c>
      <c r="AB181" t="s">
        <v>47</v>
      </c>
      <c r="AC181" t="s">
        <v>47</v>
      </c>
      <c r="AD181" t="s">
        <v>47</v>
      </c>
      <c r="AE181" t="s">
        <v>47</v>
      </c>
      <c r="AF181" t="s">
        <v>47</v>
      </c>
      <c r="AG181" t="s">
        <v>52</v>
      </c>
      <c r="AH181" t="s">
        <v>53</v>
      </c>
      <c r="AI181" t="s">
        <v>65</v>
      </c>
      <c r="AJ181">
        <v>2.1</v>
      </c>
      <c r="AK181" t="s">
        <v>47</v>
      </c>
      <c r="AL181" t="s">
        <v>76</v>
      </c>
      <c r="AM181" t="s">
        <v>73</v>
      </c>
      <c r="AN181">
        <v>59</v>
      </c>
      <c r="AO181" t="s">
        <v>46</v>
      </c>
    </row>
    <row r="182" spans="1:41">
      <c r="A182" t="s">
        <v>329</v>
      </c>
      <c r="B182">
        <v>2015</v>
      </c>
      <c r="C182" s="1">
        <v>42352</v>
      </c>
      <c r="D182" t="s">
        <v>58</v>
      </c>
      <c r="E182" t="s">
        <v>150</v>
      </c>
      <c r="F182">
        <v>38</v>
      </c>
      <c r="G182" t="s">
        <v>60</v>
      </c>
      <c r="H182" t="s">
        <v>70</v>
      </c>
      <c r="I182">
        <v>0</v>
      </c>
      <c r="J182">
        <v>0</v>
      </c>
      <c r="K182" t="s">
        <v>47</v>
      </c>
      <c r="L182" t="s">
        <v>47</v>
      </c>
      <c r="M182" t="s">
        <v>47</v>
      </c>
      <c r="N182" t="s">
        <v>50</v>
      </c>
      <c r="O182" t="s">
        <v>48</v>
      </c>
      <c r="P182">
        <v>21.3</v>
      </c>
      <c r="Q182" t="s">
        <v>50</v>
      </c>
      <c r="R182" t="s">
        <v>46</v>
      </c>
      <c r="S182" t="s">
        <v>47</v>
      </c>
      <c r="T182" t="s">
        <v>47</v>
      </c>
      <c r="U182" t="s">
        <v>47</v>
      </c>
      <c r="V182" t="s">
        <v>86</v>
      </c>
      <c r="W182" t="s">
        <v>47</v>
      </c>
      <c r="X182" t="s">
        <v>47</v>
      </c>
      <c r="Y182" t="s">
        <v>47</v>
      </c>
      <c r="Z182" t="s">
        <v>47</v>
      </c>
      <c r="AA182" t="s">
        <v>46</v>
      </c>
      <c r="AB182" t="s">
        <v>47</v>
      </c>
      <c r="AC182" t="s">
        <v>47</v>
      </c>
      <c r="AD182" t="s">
        <v>46</v>
      </c>
      <c r="AE182" t="s">
        <v>47</v>
      </c>
      <c r="AF182" t="s">
        <v>47</v>
      </c>
      <c r="AG182" t="s">
        <v>52</v>
      </c>
      <c r="AH182" t="s">
        <v>53</v>
      </c>
      <c r="AI182" t="s">
        <v>87</v>
      </c>
      <c r="AJ182">
        <v>4</v>
      </c>
      <c r="AK182" t="s">
        <v>47</v>
      </c>
      <c r="AL182" t="s">
        <v>72</v>
      </c>
      <c r="AM182" t="s">
        <v>67</v>
      </c>
      <c r="AN182">
        <v>47</v>
      </c>
      <c r="AO182" t="s">
        <v>47</v>
      </c>
    </row>
    <row r="183" spans="1:41">
      <c r="A183" t="s">
        <v>330</v>
      </c>
      <c r="B183">
        <v>2020</v>
      </c>
      <c r="C183" s="1">
        <v>44100</v>
      </c>
      <c r="D183" t="s">
        <v>84</v>
      </c>
      <c r="E183" t="s">
        <v>89</v>
      </c>
      <c r="F183">
        <v>59</v>
      </c>
      <c r="G183" t="s">
        <v>60</v>
      </c>
      <c r="H183" t="s">
        <v>70</v>
      </c>
      <c r="I183">
        <v>0</v>
      </c>
      <c r="J183">
        <v>0</v>
      </c>
      <c r="K183" t="s">
        <v>47</v>
      </c>
      <c r="L183" t="s">
        <v>46</v>
      </c>
      <c r="M183" t="s">
        <v>47</v>
      </c>
      <c r="N183" t="s">
        <v>62</v>
      </c>
      <c r="O183" t="s">
        <v>63</v>
      </c>
      <c r="P183">
        <v>21.3</v>
      </c>
      <c r="Q183" t="s">
        <v>62</v>
      </c>
      <c r="R183" t="s">
        <v>46</v>
      </c>
      <c r="S183" t="s">
        <v>47</v>
      </c>
      <c r="T183" t="s">
        <v>47</v>
      </c>
      <c r="U183" t="s">
        <v>47</v>
      </c>
      <c r="V183" t="s">
        <v>51</v>
      </c>
      <c r="W183" t="s">
        <v>47</v>
      </c>
      <c r="X183" t="s">
        <v>46</v>
      </c>
      <c r="Y183" t="s">
        <v>47</v>
      </c>
      <c r="Z183" t="s">
        <v>47</v>
      </c>
      <c r="AA183" t="s">
        <v>46</v>
      </c>
      <c r="AB183" t="s">
        <v>47</v>
      </c>
      <c r="AC183" t="s">
        <v>47</v>
      </c>
      <c r="AD183" t="s">
        <v>47</v>
      </c>
      <c r="AE183" t="s">
        <v>47</v>
      </c>
      <c r="AF183" t="s">
        <v>47</v>
      </c>
      <c r="AG183" t="s">
        <v>121</v>
      </c>
      <c r="AH183" t="s">
        <v>122</v>
      </c>
      <c r="AI183" t="s">
        <v>87</v>
      </c>
      <c r="AJ183">
        <v>3.5</v>
      </c>
      <c r="AK183" t="s">
        <v>47</v>
      </c>
      <c r="AL183" t="s">
        <v>76</v>
      </c>
      <c r="AM183" t="s">
        <v>77</v>
      </c>
      <c r="AN183">
        <v>48</v>
      </c>
      <c r="AO183" t="s">
        <v>46</v>
      </c>
    </row>
    <row r="184" spans="1:41">
      <c r="A184" t="s">
        <v>331</v>
      </c>
      <c r="B184">
        <v>2017</v>
      </c>
      <c r="C184" s="1">
        <v>43063</v>
      </c>
      <c r="D184" t="s">
        <v>42</v>
      </c>
      <c r="E184" t="s">
        <v>160</v>
      </c>
      <c r="F184">
        <v>55</v>
      </c>
      <c r="G184" t="s">
        <v>60</v>
      </c>
      <c r="H184" t="s">
        <v>45</v>
      </c>
      <c r="I184">
        <v>31</v>
      </c>
      <c r="J184">
        <v>30</v>
      </c>
      <c r="K184" t="s">
        <v>47</v>
      </c>
      <c r="L184" t="s">
        <v>46</v>
      </c>
      <c r="M184" t="s">
        <v>47</v>
      </c>
      <c r="N184" t="s">
        <v>50</v>
      </c>
      <c r="O184" t="s">
        <v>48</v>
      </c>
      <c r="P184">
        <v>26.3</v>
      </c>
      <c r="Q184" t="s">
        <v>48</v>
      </c>
      <c r="R184" t="s">
        <v>47</v>
      </c>
      <c r="S184" t="s">
        <v>47</v>
      </c>
      <c r="T184" t="s">
        <v>47</v>
      </c>
      <c r="U184" t="s">
        <v>47</v>
      </c>
      <c r="V184" t="s">
        <v>51</v>
      </c>
      <c r="W184" t="s">
        <v>47</v>
      </c>
      <c r="X184" t="s">
        <v>46</v>
      </c>
      <c r="Y184" t="s">
        <v>46</v>
      </c>
      <c r="Z184" t="s">
        <v>47</v>
      </c>
      <c r="AA184" t="s">
        <v>46</v>
      </c>
      <c r="AB184" t="s">
        <v>46</v>
      </c>
      <c r="AC184" t="s">
        <v>46</v>
      </c>
      <c r="AD184" t="s">
        <v>47</v>
      </c>
      <c r="AE184" t="s">
        <v>47</v>
      </c>
      <c r="AF184" t="s">
        <v>46</v>
      </c>
      <c r="AG184" t="s">
        <v>52</v>
      </c>
      <c r="AH184" t="s">
        <v>71</v>
      </c>
      <c r="AI184" t="s">
        <v>54</v>
      </c>
      <c r="AJ184">
        <v>5.0999999999999996</v>
      </c>
      <c r="AK184" t="s">
        <v>46</v>
      </c>
      <c r="AL184" t="s">
        <v>100</v>
      </c>
      <c r="AM184" t="s">
        <v>82</v>
      </c>
      <c r="AN184">
        <v>4</v>
      </c>
      <c r="AO184" t="s">
        <v>47</v>
      </c>
    </row>
    <row r="185" spans="1:41">
      <c r="A185" t="s">
        <v>332</v>
      </c>
      <c r="B185">
        <v>2020</v>
      </c>
      <c r="C185" s="1">
        <v>43996</v>
      </c>
      <c r="D185" t="s">
        <v>42</v>
      </c>
      <c r="E185" t="s">
        <v>69</v>
      </c>
      <c r="F185">
        <v>69</v>
      </c>
      <c r="G185" t="s">
        <v>60</v>
      </c>
      <c r="H185" t="s">
        <v>45</v>
      </c>
      <c r="I185">
        <v>23</v>
      </c>
      <c r="J185">
        <v>33</v>
      </c>
      <c r="K185" t="s">
        <v>47</v>
      </c>
      <c r="L185" t="s">
        <v>46</v>
      </c>
      <c r="M185" t="s">
        <v>47</v>
      </c>
      <c r="N185" t="s">
        <v>62</v>
      </c>
      <c r="O185" t="s">
        <v>48</v>
      </c>
      <c r="P185">
        <v>20.9</v>
      </c>
      <c r="Q185" t="s">
        <v>48</v>
      </c>
      <c r="R185" t="s">
        <v>46</v>
      </c>
      <c r="S185" t="s">
        <v>47</v>
      </c>
      <c r="T185" t="s">
        <v>47</v>
      </c>
      <c r="U185" t="s">
        <v>47</v>
      </c>
      <c r="V185" t="s">
        <v>51</v>
      </c>
      <c r="W185" t="s">
        <v>46</v>
      </c>
      <c r="X185" t="s">
        <v>46</v>
      </c>
      <c r="Y185" t="s">
        <v>47</v>
      </c>
      <c r="Z185" t="s">
        <v>47</v>
      </c>
      <c r="AA185" t="s">
        <v>46</v>
      </c>
      <c r="AB185" t="s">
        <v>47</v>
      </c>
      <c r="AC185" t="s">
        <v>47</v>
      </c>
      <c r="AD185" t="s">
        <v>47</v>
      </c>
      <c r="AE185" t="s">
        <v>46</v>
      </c>
      <c r="AF185" t="s">
        <v>47</v>
      </c>
      <c r="AG185" t="s">
        <v>121</v>
      </c>
      <c r="AH185" t="s">
        <v>122</v>
      </c>
      <c r="AI185" t="s">
        <v>87</v>
      </c>
      <c r="AJ185">
        <v>2.5</v>
      </c>
      <c r="AK185" t="s">
        <v>47</v>
      </c>
      <c r="AL185" t="s">
        <v>76</v>
      </c>
      <c r="AM185" t="s">
        <v>118</v>
      </c>
      <c r="AN185">
        <v>6</v>
      </c>
      <c r="AO185" t="s">
        <v>46</v>
      </c>
    </row>
    <row r="186" spans="1:41">
      <c r="A186" t="s">
        <v>333</v>
      </c>
      <c r="B186">
        <v>2019</v>
      </c>
      <c r="C186" s="1">
        <v>43780</v>
      </c>
      <c r="D186" t="s">
        <v>95</v>
      </c>
      <c r="E186" t="s">
        <v>255</v>
      </c>
      <c r="F186">
        <v>58</v>
      </c>
      <c r="G186" t="s">
        <v>44</v>
      </c>
      <c r="H186" t="s">
        <v>70</v>
      </c>
      <c r="I186">
        <v>0</v>
      </c>
      <c r="J186">
        <v>0</v>
      </c>
      <c r="K186" t="s">
        <v>46</v>
      </c>
      <c r="L186" t="s">
        <v>47</v>
      </c>
      <c r="M186" t="s">
        <v>47</v>
      </c>
      <c r="N186" t="s">
        <v>50</v>
      </c>
      <c r="O186" t="s">
        <v>49</v>
      </c>
      <c r="P186">
        <v>26.6</v>
      </c>
      <c r="Q186" t="s">
        <v>62</v>
      </c>
      <c r="R186" t="s">
        <v>47</v>
      </c>
      <c r="S186" t="s">
        <v>47</v>
      </c>
      <c r="T186" t="s">
        <v>47</v>
      </c>
      <c r="U186" t="s">
        <v>47</v>
      </c>
      <c r="V186" t="s">
        <v>128</v>
      </c>
      <c r="W186" t="s">
        <v>46</v>
      </c>
      <c r="X186" t="s">
        <v>47</v>
      </c>
      <c r="Y186" t="s">
        <v>47</v>
      </c>
      <c r="Z186" t="s">
        <v>47</v>
      </c>
      <c r="AA186" t="s">
        <v>47</v>
      </c>
      <c r="AB186" t="s">
        <v>47</v>
      </c>
      <c r="AC186" t="s">
        <v>47</v>
      </c>
      <c r="AD186" t="s">
        <v>46</v>
      </c>
      <c r="AE186" t="s">
        <v>47</v>
      </c>
      <c r="AF186" t="s">
        <v>47</v>
      </c>
      <c r="AG186" t="s">
        <v>121</v>
      </c>
      <c r="AH186" t="s">
        <v>122</v>
      </c>
      <c r="AI186" t="s">
        <v>54</v>
      </c>
      <c r="AJ186">
        <v>3.5</v>
      </c>
      <c r="AK186" t="s">
        <v>46</v>
      </c>
      <c r="AL186" t="s">
        <v>81</v>
      </c>
      <c r="AM186" t="s">
        <v>82</v>
      </c>
      <c r="AN186">
        <v>2</v>
      </c>
      <c r="AO186" t="s">
        <v>47</v>
      </c>
    </row>
    <row r="187" spans="1:41">
      <c r="A187" t="s">
        <v>334</v>
      </c>
      <c r="B187">
        <v>2015</v>
      </c>
      <c r="C187" s="1">
        <v>42177</v>
      </c>
      <c r="D187" t="s">
        <v>42</v>
      </c>
      <c r="E187" t="s">
        <v>69</v>
      </c>
      <c r="F187">
        <v>60</v>
      </c>
      <c r="G187" t="s">
        <v>60</v>
      </c>
      <c r="H187" t="s">
        <v>70</v>
      </c>
      <c r="I187">
        <v>0</v>
      </c>
      <c r="J187">
        <v>0</v>
      </c>
      <c r="K187" t="s">
        <v>47</v>
      </c>
      <c r="L187" t="s">
        <v>47</v>
      </c>
      <c r="M187" t="s">
        <v>47</v>
      </c>
      <c r="N187" t="s">
        <v>48</v>
      </c>
      <c r="O187" t="s">
        <v>48</v>
      </c>
      <c r="P187">
        <v>25.9</v>
      </c>
      <c r="Q187" t="s">
        <v>50</v>
      </c>
      <c r="R187" t="s">
        <v>47</v>
      </c>
      <c r="S187" t="s">
        <v>47</v>
      </c>
      <c r="T187" t="s">
        <v>47</v>
      </c>
      <c r="U187" t="s">
        <v>47</v>
      </c>
      <c r="V187" t="s">
        <v>92</v>
      </c>
      <c r="W187" t="s">
        <v>47</v>
      </c>
      <c r="X187" t="s">
        <v>46</v>
      </c>
      <c r="Y187" t="s">
        <v>46</v>
      </c>
      <c r="Z187" t="s">
        <v>47</v>
      </c>
      <c r="AA187" t="s">
        <v>46</v>
      </c>
      <c r="AB187" t="s">
        <v>47</v>
      </c>
      <c r="AC187" t="s">
        <v>47</v>
      </c>
      <c r="AD187" t="s">
        <v>46</v>
      </c>
      <c r="AE187" t="s">
        <v>47</v>
      </c>
      <c r="AF187" t="s">
        <v>47</v>
      </c>
      <c r="AG187" t="s">
        <v>52</v>
      </c>
      <c r="AH187" t="s">
        <v>53</v>
      </c>
      <c r="AI187" t="s">
        <v>87</v>
      </c>
      <c r="AJ187">
        <v>5.6</v>
      </c>
      <c r="AK187" t="s">
        <v>47</v>
      </c>
      <c r="AL187" t="s">
        <v>81</v>
      </c>
      <c r="AM187" t="s">
        <v>77</v>
      </c>
      <c r="AN187">
        <v>42</v>
      </c>
      <c r="AO187" t="s">
        <v>47</v>
      </c>
    </row>
    <row r="188" spans="1:41">
      <c r="A188" t="s">
        <v>335</v>
      </c>
      <c r="B188">
        <v>2025</v>
      </c>
      <c r="C188" s="1">
        <v>46001</v>
      </c>
      <c r="D188" t="s">
        <v>95</v>
      </c>
      <c r="E188" t="s">
        <v>147</v>
      </c>
      <c r="F188">
        <v>50</v>
      </c>
      <c r="G188" t="s">
        <v>60</v>
      </c>
      <c r="H188" t="s">
        <v>70</v>
      </c>
      <c r="I188">
        <v>0</v>
      </c>
      <c r="J188">
        <v>0</v>
      </c>
      <c r="K188" t="s">
        <v>47</v>
      </c>
      <c r="L188" t="s">
        <v>47</v>
      </c>
      <c r="M188" t="s">
        <v>47</v>
      </c>
      <c r="N188" t="s">
        <v>50</v>
      </c>
      <c r="O188" t="s">
        <v>48</v>
      </c>
      <c r="P188">
        <v>30.3</v>
      </c>
      <c r="Q188" t="s">
        <v>48</v>
      </c>
      <c r="R188" t="s">
        <v>47</v>
      </c>
      <c r="S188" t="s">
        <v>47</v>
      </c>
      <c r="T188" t="s">
        <v>47</v>
      </c>
      <c r="U188" t="s">
        <v>47</v>
      </c>
      <c r="V188" t="s">
        <v>86</v>
      </c>
      <c r="W188" t="s">
        <v>47</v>
      </c>
      <c r="X188" t="s">
        <v>47</v>
      </c>
      <c r="Y188" t="s">
        <v>47</v>
      </c>
      <c r="Z188" t="s">
        <v>46</v>
      </c>
      <c r="AA188" t="s">
        <v>46</v>
      </c>
      <c r="AB188" t="s">
        <v>47</v>
      </c>
      <c r="AC188" t="s">
        <v>47</v>
      </c>
      <c r="AD188" t="s">
        <v>47</v>
      </c>
      <c r="AE188" t="s">
        <v>47</v>
      </c>
      <c r="AF188" t="s">
        <v>47</v>
      </c>
      <c r="AG188" t="s">
        <v>52</v>
      </c>
      <c r="AH188" t="s">
        <v>53</v>
      </c>
      <c r="AI188" t="s">
        <v>80</v>
      </c>
      <c r="AJ188">
        <v>5.8</v>
      </c>
      <c r="AK188" t="s">
        <v>46</v>
      </c>
      <c r="AL188" t="s">
        <v>76</v>
      </c>
      <c r="AM188" t="s">
        <v>67</v>
      </c>
      <c r="AN188">
        <v>34</v>
      </c>
      <c r="AO188" t="s">
        <v>47</v>
      </c>
    </row>
    <row r="189" spans="1:41">
      <c r="A189" t="s">
        <v>336</v>
      </c>
      <c r="B189">
        <v>2022</v>
      </c>
      <c r="C189" s="1">
        <v>44703</v>
      </c>
      <c r="D189" t="s">
        <v>98</v>
      </c>
      <c r="E189" t="s">
        <v>249</v>
      </c>
      <c r="F189">
        <v>59</v>
      </c>
      <c r="G189" t="s">
        <v>60</v>
      </c>
      <c r="H189" t="s">
        <v>70</v>
      </c>
      <c r="I189">
        <v>0</v>
      </c>
      <c r="J189">
        <v>0</v>
      </c>
      <c r="K189" t="s">
        <v>46</v>
      </c>
      <c r="L189" t="s">
        <v>47</v>
      </c>
      <c r="M189" t="s">
        <v>46</v>
      </c>
      <c r="N189" t="s">
        <v>48</v>
      </c>
      <c r="O189" t="s">
        <v>49</v>
      </c>
      <c r="P189">
        <v>25</v>
      </c>
      <c r="Q189" t="s">
        <v>48</v>
      </c>
      <c r="R189" t="s">
        <v>47</v>
      </c>
      <c r="S189" t="s">
        <v>47</v>
      </c>
      <c r="T189" t="s">
        <v>47</v>
      </c>
      <c r="U189" t="s">
        <v>47</v>
      </c>
      <c r="V189" t="s">
        <v>51</v>
      </c>
      <c r="W189" t="s">
        <v>47</v>
      </c>
      <c r="X189" t="s">
        <v>47</v>
      </c>
      <c r="Y189" t="s">
        <v>47</v>
      </c>
      <c r="Z189" t="s">
        <v>46</v>
      </c>
      <c r="AA189" t="s">
        <v>47</v>
      </c>
      <c r="AB189" t="s">
        <v>47</v>
      </c>
      <c r="AC189" t="s">
        <v>47</v>
      </c>
      <c r="AD189" t="s">
        <v>46</v>
      </c>
      <c r="AE189" t="s">
        <v>46</v>
      </c>
      <c r="AF189" t="s">
        <v>47</v>
      </c>
      <c r="AG189" t="s">
        <v>52</v>
      </c>
      <c r="AH189" t="s">
        <v>53</v>
      </c>
      <c r="AI189" t="s">
        <v>87</v>
      </c>
      <c r="AJ189">
        <v>4.8</v>
      </c>
      <c r="AK189" t="s">
        <v>47</v>
      </c>
      <c r="AL189" t="s">
        <v>66</v>
      </c>
      <c r="AM189" t="s">
        <v>103</v>
      </c>
      <c r="AN189">
        <v>15</v>
      </c>
      <c r="AO189" t="s">
        <v>46</v>
      </c>
    </row>
    <row r="190" spans="1:41">
      <c r="A190" t="s">
        <v>337</v>
      </c>
      <c r="B190">
        <v>2018</v>
      </c>
      <c r="C190" s="1">
        <v>43264</v>
      </c>
      <c r="D190" t="s">
        <v>42</v>
      </c>
      <c r="E190" t="s">
        <v>247</v>
      </c>
      <c r="F190">
        <v>67</v>
      </c>
      <c r="G190" t="s">
        <v>60</v>
      </c>
      <c r="H190" t="s">
        <v>61</v>
      </c>
      <c r="I190">
        <v>16</v>
      </c>
      <c r="J190">
        <v>17</v>
      </c>
      <c r="K190" t="s">
        <v>47</v>
      </c>
      <c r="L190" t="s">
        <v>47</v>
      </c>
      <c r="M190" t="s">
        <v>46</v>
      </c>
      <c r="N190" t="s">
        <v>62</v>
      </c>
      <c r="O190" t="s">
        <v>48</v>
      </c>
      <c r="P190">
        <v>21</v>
      </c>
      <c r="Q190" t="s">
        <v>62</v>
      </c>
      <c r="R190" t="s">
        <v>46</v>
      </c>
      <c r="S190" t="s">
        <v>47</v>
      </c>
      <c r="T190" t="s">
        <v>47</v>
      </c>
      <c r="U190" t="s">
        <v>47</v>
      </c>
      <c r="V190" t="s">
        <v>151</v>
      </c>
      <c r="W190" t="s">
        <v>46</v>
      </c>
      <c r="X190" t="s">
        <v>46</v>
      </c>
      <c r="Y190" t="s">
        <v>46</v>
      </c>
      <c r="Z190" t="s">
        <v>47</v>
      </c>
      <c r="AA190" t="s">
        <v>46</v>
      </c>
      <c r="AB190" t="s">
        <v>47</v>
      </c>
      <c r="AC190" t="s">
        <v>47</v>
      </c>
      <c r="AD190" t="s">
        <v>46</v>
      </c>
      <c r="AE190" t="s">
        <v>47</v>
      </c>
      <c r="AF190" t="s">
        <v>47</v>
      </c>
      <c r="AG190" t="s">
        <v>52</v>
      </c>
      <c r="AH190" t="s">
        <v>71</v>
      </c>
      <c r="AI190" t="s">
        <v>80</v>
      </c>
      <c r="AJ190">
        <v>4.8</v>
      </c>
      <c r="AK190" t="s">
        <v>47</v>
      </c>
      <c r="AL190" t="s">
        <v>76</v>
      </c>
      <c r="AM190" t="s">
        <v>103</v>
      </c>
      <c r="AN190">
        <v>20</v>
      </c>
      <c r="AO190" t="s">
        <v>47</v>
      </c>
    </row>
    <row r="191" spans="1:41">
      <c r="A191" t="s">
        <v>338</v>
      </c>
      <c r="B191">
        <v>2023</v>
      </c>
      <c r="C191" s="1">
        <v>45174</v>
      </c>
      <c r="D191" t="s">
        <v>42</v>
      </c>
      <c r="E191" t="s">
        <v>160</v>
      </c>
      <c r="F191">
        <v>83</v>
      </c>
      <c r="G191" t="s">
        <v>60</v>
      </c>
      <c r="H191" t="s">
        <v>70</v>
      </c>
      <c r="I191">
        <v>0</v>
      </c>
      <c r="J191">
        <v>0</v>
      </c>
      <c r="K191" t="s">
        <v>46</v>
      </c>
      <c r="L191" t="s">
        <v>47</v>
      </c>
      <c r="M191" t="s">
        <v>47</v>
      </c>
      <c r="N191" t="s">
        <v>48</v>
      </c>
      <c r="O191" t="s">
        <v>63</v>
      </c>
      <c r="P191">
        <v>22.5</v>
      </c>
      <c r="Q191" t="s">
        <v>48</v>
      </c>
      <c r="R191" t="s">
        <v>47</v>
      </c>
      <c r="S191" t="s">
        <v>47</v>
      </c>
      <c r="T191" t="s">
        <v>47</v>
      </c>
      <c r="U191" t="s">
        <v>47</v>
      </c>
      <c r="V191" t="s">
        <v>171</v>
      </c>
      <c r="W191" t="s">
        <v>47</v>
      </c>
      <c r="X191" t="s">
        <v>47</v>
      </c>
      <c r="Y191" t="s">
        <v>47</v>
      </c>
      <c r="Z191" t="s">
        <v>46</v>
      </c>
      <c r="AA191" t="s">
        <v>47</v>
      </c>
      <c r="AB191" t="s">
        <v>47</v>
      </c>
      <c r="AC191" t="s">
        <v>47</v>
      </c>
      <c r="AD191" t="s">
        <v>46</v>
      </c>
      <c r="AE191" t="s">
        <v>47</v>
      </c>
      <c r="AF191" t="s">
        <v>47</v>
      </c>
      <c r="AG191" t="s">
        <v>52</v>
      </c>
      <c r="AH191" t="s">
        <v>71</v>
      </c>
      <c r="AI191" t="s">
        <v>65</v>
      </c>
      <c r="AJ191">
        <v>2.5</v>
      </c>
      <c r="AK191" t="s">
        <v>47</v>
      </c>
      <c r="AL191" t="s">
        <v>76</v>
      </c>
      <c r="AM191" t="s">
        <v>82</v>
      </c>
      <c r="AN191">
        <v>47</v>
      </c>
      <c r="AO191" t="s">
        <v>46</v>
      </c>
    </row>
    <row r="192" spans="1:41">
      <c r="A192" t="s">
        <v>339</v>
      </c>
      <c r="B192">
        <v>2020</v>
      </c>
      <c r="C192" s="1">
        <v>44034</v>
      </c>
      <c r="D192" t="s">
        <v>42</v>
      </c>
      <c r="E192" t="s">
        <v>79</v>
      </c>
      <c r="F192">
        <v>40</v>
      </c>
      <c r="G192" t="s">
        <v>44</v>
      </c>
      <c r="H192" t="s">
        <v>70</v>
      </c>
      <c r="I192">
        <v>0</v>
      </c>
      <c r="J192">
        <v>0</v>
      </c>
      <c r="K192" t="s">
        <v>47</v>
      </c>
      <c r="L192" t="s">
        <v>47</v>
      </c>
      <c r="M192" t="s">
        <v>47</v>
      </c>
      <c r="N192" t="s">
        <v>62</v>
      </c>
      <c r="O192" t="s">
        <v>49</v>
      </c>
      <c r="P192">
        <v>31.8</v>
      </c>
      <c r="Q192" t="s">
        <v>62</v>
      </c>
      <c r="R192" t="s">
        <v>47</v>
      </c>
      <c r="S192" t="s">
        <v>47</v>
      </c>
      <c r="T192" t="s">
        <v>47</v>
      </c>
      <c r="U192" t="s">
        <v>47</v>
      </c>
      <c r="V192" t="s">
        <v>51</v>
      </c>
      <c r="W192" t="s">
        <v>46</v>
      </c>
      <c r="X192" t="s">
        <v>46</v>
      </c>
      <c r="Y192" t="s">
        <v>47</v>
      </c>
      <c r="Z192" t="s">
        <v>46</v>
      </c>
      <c r="AA192" t="s">
        <v>47</v>
      </c>
      <c r="AB192" t="s">
        <v>46</v>
      </c>
      <c r="AC192" t="s">
        <v>47</v>
      </c>
      <c r="AD192" t="s">
        <v>47</v>
      </c>
      <c r="AE192" t="s">
        <v>47</v>
      </c>
      <c r="AF192" t="s">
        <v>47</v>
      </c>
      <c r="AG192" t="s">
        <v>52</v>
      </c>
      <c r="AH192" t="s">
        <v>53</v>
      </c>
      <c r="AI192" t="s">
        <v>65</v>
      </c>
      <c r="AJ192">
        <v>3.6</v>
      </c>
      <c r="AK192" t="s">
        <v>47</v>
      </c>
      <c r="AL192" t="s">
        <v>76</v>
      </c>
      <c r="AM192" t="s">
        <v>73</v>
      </c>
      <c r="AN192">
        <v>81</v>
      </c>
      <c r="AO192" t="s">
        <v>47</v>
      </c>
    </row>
    <row r="193" spans="1:41">
      <c r="A193" t="s">
        <v>340</v>
      </c>
      <c r="B193">
        <v>2025</v>
      </c>
      <c r="C193" s="1">
        <v>45985</v>
      </c>
      <c r="D193" t="s">
        <v>42</v>
      </c>
      <c r="E193" t="s">
        <v>166</v>
      </c>
      <c r="F193">
        <v>59</v>
      </c>
      <c r="G193" t="s">
        <v>60</v>
      </c>
      <c r="H193" t="s">
        <v>70</v>
      </c>
      <c r="I193">
        <v>0</v>
      </c>
      <c r="J193">
        <v>0</v>
      </c>
      <c r="K193" t="s">
        <v>47</v>
      </c>
      <c r="L193" t="s">
        <v>47</v>
      </c>
      <c r="M193" t="s">
        <v>46</v>
      </c>
      <c r="N193" t="s">
        <v>62</v>
      </c>
      <c r="O193" t="s">
        <v>48</v>
      </c>
      <c r="P193">
        <v>23.5</v>
      </c>
      <c r="Q193" t="s">
        <v>50</v>
      </c>
      <c r="R193" t="s">
        <v>47</v>
      </c>
      <c r="S193" t="s">
        <v>46</v>
      </c>
      <c r="T193" t="s">
        <v>47</v>
      </c>
      <c r="U193" t="s">
        <v>47</v>
      </c>
      <c r="V193" t="s">
        <v>64</v>
      </c>
      <c r="W193" t="s">
        <v>47</v>
      </c>
      <c r="X193" t="s">
        <v>47</v>
      </c>
      <c r="Y193" t="s">
        <v>47</v>
      </c>
      <c r="Z193" t="s">
        <v>47</v>
      </c>
      <c r="AA193" t="s">
        <v>47</v>
      </c>
      <c r="AB193" t="s">
        <v>47</v>
      </c>
      <c r="AC193" t="s">
        <v>46</v>
      </c>
      <c r="AD193" t="s">
        <v>47</v>
      </c>
      <c r="AE193" t="s">
        <v>47</v>
      </c>
      <c r="AF193" t="s">
        <v>46</v>
      </c>
      <c r="AG193" t="s">
        <v>52</v>
      </c>
      <c r="AH193" t="s">
        <v>90</v>
      </c>
      <c r="AI193" t="s">
        <v>65</v>
      </c>
      <c r="AJ193">
        <v>2.2999999999999998</v>
      </c>
      <c r="AK193" t="s">
        <v>47</v>
      </c>
      <c r="AL193" t="s">
        <v>66</v>
      </c>
      <c r="AM193" t="s">
        <v>118</v>
      </c>
      <c r="AN193">
        <v>56</v>
      </c>
      <c r="AO193" t="s">
        <v>47</v>
      </c>
    </row>
    <row r="194" spans="1:41">
      <c r="A194" t="s">
        <v>341</v>
      </c>
      <c r="B194">
        <v>2022</v>
      </c>
      <c r="C194" s="1">
        <v>44853</v>
      </c>
      <c r="D194" t="s">
        <v>98</v>
      </c>
      <c r="E194" t="s">
        <v>196</v>
      </c>
      <c r="F194">
        <v>58</v>
      </c>
      <c r="G194" t="s">
        <v>60</v>
      </c>
      <c r="H194" t="s">
        <v>61</v>
      </c>
      <c r="I194">
        <v>28</v>
      </c>
      <c r="J194">
        <v>17</v>
      </c>
      <c r="K194" t="s">
        <v>46</v>
      </c>
      <c r="L194" t="s">
        <v>47</v>
      </c>
      <c r="M194" t="s">
        <v>46</v>
      </c>
      <c r="N194" t="s">
        <v>48</v>
      </c>
      <c r="O194" t="s">
        <v>49</v>
      </c>
      <c r="P194">
        <v>22.4</v>
      </c>
      <c r="Q194" t="s">
        <v>48</v>
      </c>
      <c r="R194" t="s">
        <v>47</v>
      </c>
      <c r="S194" t="s">
        <v>47</v>
      </c>
      <c r="T194" t="s">
        <v>47</v>
      </c>
      <c r="U194" t="s">
        <v>47</v>
      </c>
      <c r="V194" t="s">
        <v>86</v>
      </c>
      <c r="W194" t="s">
        <v>46</v>
      </c>
      <c r="X194" t="s">
        <v>47</v>
      </c>
      <c r="Y194" t="s">
        <v>46</v>
      </c>
      <c r="Z194" t="s">
        <v>46</v>
      </c>
      <c r="AA194" t="s">
        <v>47</v>
      </c>
      <c r="AB194" t="s">
        <v>47</v>
      </c>
      <c r="AC194" t="s">
        <v>47</v>
      </c>
      <c r="AD194" t="s">
        <v>46</v>
      </c>
      <c r="AE194" t="s">
        <v>46</v>
      </c>
      <c r="AF194" t="s">
        <v>47</v>
      </c>
      <c r="AG194" t="s">
        <v>52</v>
      </c>
      <c r="AH194" t="s">
        <v>71</v>
      </c>
      <c r="AI194" t="s">
        <v>80</v>
      </c>
      <c r="AJ194">
        <v>6.6</v>
      </c>
      <c r="AK194" t="s">
        <v>46</v>
      </c>
      <c r="AL194" t="s">
        <v>100</v>
      </c>
      <c r="AM194" t="s">
        <v>103</v>
      </c>
      <c r="AN194">
        <v>21</v>
      </c>
      <c r="AO194" t="s">
        <v>46</v>
      </c>
    </row>
    <row r="195" spans="1:41">
      <c r="A195" t="s">
        <v>342</v>
      </c>
      <c r="B195">
        <v>2021</v>
      </c>
      <c r="C195" s="1">
        <v>44395</v>
      </c>
      <c r="D195" t="s">
        <v>58</v>
      </c>
      <c r="E195" t="s">
        <v>150</v>
      </c>
      <c r="F195">
        <v>57</v>
      </c>
      <c r="G195" t="s">
        <v>44</v>
      </c>
      <c r="H195" t="s">
        <v>70</v>
      </c>
      <c r="I195">
        <v>0</v>
      </c>
      <c r="J195">
        <v>0</v>
      </c>
      <c r="K195" t="s">
        <v>47</v>
      </c>
      <c r="L195" t="s">
        <v>46</v>
      </c>
      <c r="M195" t="s">
        <v>47</v>
      </c>
      <c r="N195" t="s">
        <v>50</v>
      </c>
      <c r="O195" t="s">
        <v>63</v>
      </c>
      <c r="P195">
        <v>21.6</v>
      </c>
      <c r="Q195" t="s">
        <v>50</v>
      </c>
      <c r="R195" t="s">
        <v>47</v>
      </c>
      <c r="S195" t="s">
        <v>47</v>
      </c>
      <c r="T195" t="s">
        <v>47</v>
      </c>
      <c r="U195" t="s">
        <v>47</v>
      </c>
      <c r="V195" t="s">
        <v>86</v>
      </c>
      <c r="W195" t="s">
        <v>47</v>
      </c>
      <c r="X195" t="s">
        <v>47</v>
      </c>
      <c r="Y195" t="s">
        <v>47</v>
      </c>
      <c r="Z195" t="s">
        <v>47</v>
      </c>
      <c r="AA195" t="s">
        <v>46</v>
      </c>
      <c r="AB195" t="s">
        <v>47</v>
      </c>
      <c r="AC195" t="s">
        <v>46</v>
      </c>
      <c r="AD195" t="s">
        <v>47</v>
      </c>
      <c r="AE195" t="s">
        <v>47</v>
      </c>
      <c r="AF195" t="s">
        <v>47</v>
      </c>
      <c r="AG195" t="s">
        <v>52</v>
      </c>
      <c r="AH195" t="s">
        <v>53</v>
      </c>
      <c r="AI195" t="s">
        <v>87</v>
      </c>
      <c r="AJ195">
        <v>3.3</v>
      </c>
      <c r="AK195" t="s">
        <v>47</v>
      </c>
      <c r="AL195" t="s">
        <v>81</v>
      </c>
      <c r="AM195" t="s">
        <v>67</v>
      </c>
      <c r="AN195">
        <v>27</v>
      </c>
      <c r="AO195" t="s">
        <v>47</v>
      </c>
    </row>
    <row r="196" spans="1:41">
      <c r="A196" t="s">
        <v>343</v>
      </c>
      <c r="B196">
        <v>2022</v>
      </c>
      <c r="C196" s="1">
        <v>44691</v>
      </c>
      <c r="D196" t="s">
        <v>58</v>
      </c>
      <c r="E196" t="s">
        <v>59</v>
      </c>
      <c r="F196">
        <v>58</v>
      </c>
      <c r="G196" t="s">
        <v>44</v>
      </c>
      <c r="H196" t="s">
        <v>70</v>
      </c>
      <c r="I196">
        <v>0</v>
      </c>
      <c r="J196">
        <v>0</v>
      </c>
      <c r="K196" t="s">
        <v>46</v>
      </c>
      <c r="L196" t="s">
        <v>46</v>
      </c>
      <c r="M196" t="s">
        <v>47</v>
      </c>
      <c r="N196" t="s">
        <v>48</v>
      </c>
      <c r="O196" t="s">
        <v>48</v>
      </c>
      <c r="P196">
        <v>29.3</v>
      </c>
      <c r="Q196" t="s">
        <v>62</v>
      </c>
      <c r="R196" t="s">
        <v>47</v>
      </c>
      <c r="S196" t="s">
        <v>47</v>
      </c>
      <c r="T196" t="s">
        <v>47</v>
      </c>
      <c r="U196" t="s">
        <v>47</v>
      </c>
      <c r="V196" t="s">
        <v>117</v>
      </c>
      <c r="W196" t="s">
        <v>47</v>
      </c>
      <c r="X196" t="s">
        <v>47</v>
      </c>
      <c r="Y196" t="s">
        <v>47</v>
      </c>
      <c r="Z196" t="s">
        <v>47</v>
      </c>
      <c r="AA196" t="s">
        <v>46</v>
      </c>
      <c r="AB196" t="s">
        <v>46</v>
      </c>
      <c r="AC196" t="s">
        <v>47</v>
      </c>
      <c r="AD196" t="s">
        <v>47</v>
      </c>
      <c r="AE196" t="s">
        <v>47</v>
      </c>
      <c r="AF196" t="s">
        <v>47</v>
      </c>
      <c r="AG196" t="s">
        <v>121</v>
      </c>
      <c r="AH196" t="s">
        <v>122</v>
      </c>
      <c r="AI196" t="s">
        <v>54</v>
      </c>
      <c r="AJ196">
        <v>10.6</v>
      </c>
      <c r="AK196" t="s">
        <v>46</v>
      </c>
      <c r="AL196" t="s">
        <v>76</v>
      </c>
      <c r="AM196" t="s">
        <v>265</v>
      </c>
      <c r="AN196">
        <v>5</v>
      </c>
      <c r="AO196" t="s">
        <v>47</v>
      </c>
    </row>
    <row r="197" spans="1:41">
      <c r="A197" t="s">
        <v>344</v>
      </c>
      <c r="B197">
        <v>2024</v>
      </c>
      <c r="C197" s="1">
        <v>45499</v>
      </c>
      <c r="D197" t="s">
        <v>95</v>
      </c>
      <c r="E197" t="s">
        <v>255</v>
      </c>
      <c r="F197">
        <v>89</v>
      </c>
      <c r="G197" t="s">
        <v>60</v>
      </c>
      <c r="H197" t="s">
        <v>45</v>
      </c>
      <c r="I197">
        <v>22</v>
      </c>
      <c r="J197">
        <v>42</v>
      </c>
      <c r="K197" t="s">
        <v>47</v>
      </c>
      <c r="L197" t="s">
        <v>46</v>
      </c>
      <c r="M197" t="s">
        <v>47</v>
      </c>
      <c r="N197" t="s">
        <v>50</v>
      </c>
      <c r="O197" t="s">
        <v>49</v>
      </c>
      <c r="P197">
        <v>29.2</v>
      </c>
      <c r="Q197" t="s">
        <v>48</v>
      </c>
      <c r="R197" t="s">
        <v>47</v>
      </c>
      <c r="S197" t="s">
        <v>47</v>
      </c>
      <c r="T197" t="s">
        <v>47</v>
      </c>
      <c r="U197" t="s">
        <v>47</v>
      </c>
      <c r="V197" t="s">
        <v>171</v>
      </c>
      <c r="W197" t="s">
        <v>47</v>
      </c>
      <c r="X197" t="s">
        <v>46</v>
      </c>
      <c r="Y197" t="s">
        <v>47</v>
      </c>
      <c r="Z197" t="s">
        <v>46</v>
      </c>
      <c r="AA197" t="s">
        <v>46</v>
      </c>
      <c r="AB197" t="s">
        <v>47</v>
      </c>
      <c r="AC197" t="s">
        <v>46</v>
      </c>
      <c r="AD197" t="s">
        <v>47</v>
      </c>
      <c r="AE197" t="s">
        <v>47</v>
      </c>
      <c r="AF197" t="s">
        <v>46</v>
      </c>
      <c r="AG197" t="s">
        <v>121</v>
      </c>
      <c r="AH197" t="s">
        <v>122</v>
      </c>
      <c r="AI197" t="s">
        <v>80</v>
      </c>
      <c r="AJ197">
        <v>6.7</v>
      </c>
      <c r="AK197" t="s">
        <v>47</v>
      </c>
      <c r="AL197" t="s">
        <v>76</v>
      </c>
      <c r="AM197" t="s">
        <v>77</v>
      </c>
      <c r="AN197">
        <v>9</v>
      </c>
      <c r="AO197" t="s">
        <v>46</v>
      </c>
    </row>
    <row r="198" spans="1:41">
      <c r="A198" t="s">
        <v>345</v>
      </c>
      <c r="B198">
        <v>2022</v>
      </c>
      <c r="C198" s="1">
        <v>44855</v>
      </c>
      <c r="D198" t="s">
        <v>95</v>
      </c>
      <c r="E198" t="s">
        <v>107</v>
      </c>
      <c r="F198">
        <v>69</v>
      </c>
      <c r="G198" t="s">
        <v>60</v>
      </c>
      <c r="H198" t="s">
        <v>70</v>
      </c>
      <c r="I198">
        <v>0</v>
      </c>
      <c r="J198">
        <v>0</v>
      </c>
      <c r="K198" t="s">
        <v>46</v>
      </c>
      <c r="L198" t="s">
        <v>47</v>
      </c>
      <c r="M198" t="s">
        <v>47</v>
      </c>
      <c r="N198" t="s">
        <v>48</v>
      </c>
      <c r="O198" t="s">
        <v>49</v>
      </c>
      <c r="P198">
        <v>22.1</v>
      </c>
      <c r="Q198" t="s">
        <v>62</v>
      </c>
      <c r="R198" t="s">
        <v>47</v>
      </c>
      <c r="S198" t="s">
        <v>47</v>
      </c>
      <c r="T198" t="s">
        <v>47</v>
      </c>
      <c r="U198" t="s">
        <v>47</v>
      </c>
      <c r="V198" t="s">
        <v>86</v>
      </c>
      <c r="W198" t="s">
        <v>47</v>
      </c>
      <c r="X198" t="s">
        <v>46</v>
      </c>
      <c r="Y198" t="s">
        <v>47</v>
      </c>
      <c r="Z198" t="s">
        <v>47</v>
      </c>
      <c r="AA198" t="s">
        <v>46</v>
      </c>
      <c r="AB198" t="s">
        <v>47</v>
      </c>
      <c r="AC198" t="s">
        <v>47</v>
      </c>
      <c r="AD198" t="s">
        <v>46</v>
      </c>
      <c r="AE198" t="s">
        <v>47</v>
      </c>
      <c r="AF198" t="s">
        <v>47</v>
      </c>
      <c r="AG198" t="s">
        <v>52</v>
      </c>
      <c r="AH198" t="s">
        <v>53</v>
      </c>
      <c r="AI198" t="s">
        <v>87</v>
      </c>
      <c r="AJ198">
        <v>3.2</v>
      </c>
      <c r="AK198" t="s">
        <v>47</v>
      </c>
      <c r="AL198" t="s">
        <v>76</v>
      </c>
      <c r="AM198" t="s">
        <v>67</v>
      </c>
      <c r="AN198">
        <v>26</v>
      </c>
      <c r="AO198" t="s">
        <v>46</v>
      </c>
    </row>
    <row r="199" spans="1:41">
      <c r="A199" t="s">
        <v>346</v>
      </c>
      <c r="B199">
        <v>2022</v>
      </c>
      <c r="C199" s="1">
        <v>44788</v>
      </c>
      <c r="D199" t="s">
        <v>58</v>
      </c>
      <c r="E199" t="s">
        <v>252</v>
      </c>
      <c r="F199">
        <v>49</v>
      </c>
      <c r="G199" t="s">
        <v>60</v>
      </c>
      <c r="H199" t="s">
        <v>70</v>
      </c>
      <c r="I199">
        <v>0</v>
      </c>
      <c r="J199">
        <v>0</v>
      </c>
      <c r="K199" t="s">
        <v>47</v>
      </c>
      <c r="L199" t="s">
        <v>47</v>
      </c>
      <c r="M199" t="s">
        <v>47</v>
      </c>
      <c r="N199" t="s">
        <v>50</v>
      </c>
      <c r="O199" t="s">
        <v>48</v>
      </c>
      <c r="P199">
        <v>31.4</v>
      </c>
      <c r="Q199" t="s">
        <v>48</v>
      </c>
      <c r="R199" t="s">
        <v>47</v>
      </c>
      <c r="S199" t="s">
        <v>47</v>
      </c>
      <c r="T199" t="s">
        <v>47</v>
      </c>
      <c r="U199" t="s">
        <v>47</v>
      </c>
      <c r="V199" t="s">
        <v>128</v>
      </c>
      <c r="W199" t="s">
        <v>47</v>
      </c>
      <c r="X199" t="s">
        <v>46</v>
      </c>
      <c r="Y199" t="s">
        <v>46</v>
      </c>
      <c r="Z199" t="s">
        <v>47</v>
      </c>
      <c r="AA199" t="s">
        <v>46</v>
      </c>
      <c r="AB199" t="s">
        <v>47</v>
      </c>
      <c r="AC199" t="s">
        <v>47</v>
      </c>
      <c r="AD199" t="s">
        <v>47</v>
      </c>
      <c r="AE199" t="s">
        <v>47</v>
      </c>
      <c r="AF199" t="s">
        <v>47</v>
      </c>
      <c r="AG199" t="s">
        <v>52</v>
      </c>
      <c r="AH199" t="s">
        <v>53</v>
      </c>
      <c r="AI199" t="s">
        <v>65</v>
      </c>
      <c r="AJ199">
        <v>2.9</v>
      </c>
      <c r="AK199" t="s">
        <v>47</v>
      </c>
      <c r="AL199" t="s">
        <v>66</v>
      </c>
      <c r="AM199" t="s">
        <v>73</v>
      </c>
      <c r="AN199">
        <v>60</v>
      </c>
      <c r="AO199" t="s">
        <v>46</v>
      </c>
    </row>
    <row r="200" spans="1:41">
      <c r="A200" t="s">
        <v>347</v>
      </c>
      <c r="B200">
        <v>2023</v>
      </c>
      <c r="C200" s="1">
        <v>45237</v>
      </c>
      <c r="D200" t="s">
        <v>98</v>
      </c>
      <c r="E200" t="s">
        <v>175</v>
      </c>
      <c r="F200">
        <v>38</v>
      </c>
      <c r="G200" t="s">
        <v>44</v>
      </c>
      <c r="H200" t="s">
        <v>61</v>
      </c>
      <c r="I200">
        <v>9</v>
      </c>
      <c r="J200">
        <v>8</v>
      </c>
      <c r="K200" t="s">
        <v>47</v>
      </c>
      <c r="L200" t="s">
        <v>47</v>
      </c>
      <c r="M200" t="s">
        <v>47</v>
      </c>
      <c r="N200" t="s">
        <v>62</v>
      </c>
      <c r="O200" t="s">
        <v>48</v>
      </c>
      <c r="P200">
        <v>16</v>
      </c>
      <c r="Q200" t="s">
        <v>62</v>
      </c>
      <c r="R200" t="s">
        <v>46</v>
      </c>
      <c r="S200" t="s">
        <v>47</v>
      </c>
      <c r="T200" t="s">
        <v>47</v>
      </c>
      <c r="U200" t="s">
        <v>47</v>
      </c>
      <c r="V200" t="s">
        <v>51</v>
      </c>
      <c r="W200" t="s">
        <v>46</v>
      </c>
      <c r="X200" t="s">
        <v>46</v>
      </c>
      <c r="Y200" t="s">
        <v>47</v>
      </c>
      <c r="Z200" t="s">
        <v>46</v>
      </c>
      <c r="AA200" t="s">
        <v>47</v>
      </c>
      <c r="AB200" t="s">
        <v>47</v>
      </c>
      <c r="AC200" t="s">
        <v>47</v>
      </c>
      <c r="AD200" t="s">
        <v>46</v>
      </c>
      <c r="AE200" t="s">
        <v>46</v>
      </c>
      <c r="AF200" t="s">
        <v>47</v>
      </c>
      <c r="AG200" t="s">
        <v>121</v>
      </c>
      <c r="AH200" t="s">
        <v>122</v>
      </c>
      <c r="AI200" t="s">
        <v>87</v>
      </c>
      <c r="AJ200">
        <v>2.9</v>
      </c>
      <c r="AK200" t="s">
        <v>47</v>
      </c>
      <c r="AL200" t="s">
        <v>100</v>
      </c>
      <c r="AM200" t="s">
        <v>77</v>
      </c>
      <c r="AN200">
        <v>39</v>
      </c>
      <c r="AO200" t="s">
        <v>47</v>
      </c>
    </row>
    <row r="201" spans="1:41">
      <c r="A201" t="s">
        <v>348</v>
      </c>
      <c r="B201">
        <v>2018</v>
      </c>
      <c r="C201" s="1">
        <v>43338</v>
      </c>
      <c r="D201" t="s">
        <v>42</v>
      </c>
      <c r="E201" t="s">
        <v>166</v>
      </c>
      <c r="F201">
        <v>64</v>
      </c>
      <c r="G201" t="s">
        <v>60</v>
      </c>
      <c r="H201" t="s">
        <v>70</v>
      </c>
      <c r="I201">
        <v>0</v>
      </c>
      <c r="J201">
        <v>0</v>
      </c>
      <c r="K201" t="s">
        <v>47</v>
      </c>
      <c r="L201" t="s">
        <v>47</v>
      </c>
      <c r="M201" t="s">
        <v>47</v>
      </c>
      <c r="N201" t="s">
        <v>62</v>
      </c>
      <c r="O201" t="s">
        <v>48</v>
      </c>
      <c r="P201">
        <v>17.2</v>
      </c>
      <c r="Q201" t="s">
        <v>48</v>
      </c>
      <c r="R201" t="s">
        <v>47</v>
      </c>
      <c r="S201" t="s">
        <v>47</v>
      </c>
      <c r="T201" t="s">
        <v>47</v>
      </c>
      <c r="U201" t="s">
        <v>47</v>
      </c>
      <c r="V201" t="s">
        <v>64</v>
      </c>
      <c r="W201" t="s">
        <v>47</v>
      </c>
      <c r="X201" t="s">
        <v>47</v>
      </c>
      <c r="Y201" t="s">
        <v>47</v>
      </c>
      <c r="Z201" t="s">
        <v>47</v>
      </c>
      <c r="AA201" t="s">
        <v>46</v>
      </c>
      <c r="AB201" t="s">
        <v>47</v>
      </c>
      <c r="AC201" t="s">
        <v>46</v>
      </c>
      <c r="AD201" t="s">
        <v>46</v>
      </c>
      <c r="AE201" t="s">
        <v>47</v>
      </c>
      <c r="AF201" t="s">
        <v>47</v>
      </c>
      <c r="AG201" t="s">
        <v>52</v>
      </c>
      <c r="AH201" t="s">
        <v>53</v>
      </c>
      <c r="AI201" t="s">
        <v>80</v>
      </c>
      <c r="AJ201">
        <v>5.7</v>
      </c>
      <c r="AK201" t="s">
        <v>47</v>
      </c>
      <c r="AL201" t="s">
        <v>76</v>
      </c>
      <c r="AM201" t="s">
        <v>118</v>
      </c>
      <c r="AN201">
        <v>20</v>
      </c>
      <c r="AO201" t="s">
        <v>47</v>
      </c>
    </row>
    <row r="202" spans="1:41">
      <c r="A202" t="s">
        <v>349</v>
      </c>
      <c r="B202">
        <v>2021</v>
      </c>
      <c r="C202" s="1">
        <v>44503</v>
      </c>
      <c r="D202" t="s">
        <v>84</v>
      </c>
      <c r="E202" t="s">
        <v>184</v>
      </c>
      <c r="F202">
        <v>63</v>
      </c>
      <c r="G202" t="s">
        <v>60</v>
      </c>
      <c r="H202" t="s">
        <v>70</v>
      </c>
      <c r="I202">
        <v>0</v>
      </c>
      <c r="J202">
        <v>0</v>
      </c>
      <c r="K202" t="s">
        <v>47</v>
      </c>
      <c r="L202" t="s">
        <v>47</v>
      </c>
      <c r="M202" t="s">
        <v>47</v>
      </c>
      <c r="N202" t="s">
        <v>50</v>
      </c>
      <c r="O202" t="s">
        <v>48</v>
      </c>
      <c r="P202">
        <v>21</v>
      </c>
      <c r="Q202" t="s">
        <v>48</v>
      </c>
      <c r="R202" t="s">
        <v>47</v>
      </c>
      <c r="S202" t="s">
        <v>47</v>
      </c>
      <c r="T202" t="s">
        <v>46</v>
      </c>
      <c r="U202" t="s">
        <v>47</v>
      </c>
      <c r="V202" t="s">
        <v>86</v>
      </c>
      <c r="W202" t="s">
        <v>46</v>
      </c>
      <c r="X202" t="s">
        <v>47</v>
      </c>
      <c r="Y202" t="s">
        <v>46</v>
      </c>
      <c r="Z202" t="s">
        <v>47</v>
      </c>
      <c r="AA202" t="s">
        <v>46</v>
      </c>
      <c r="AB202" t="s">
        <v>46</v>
      </c>
      <c r="AC202" t="s">
        <v>47</v>
      </c>
      <c r="AD202" t="s">
        <v>47</v>
      </c>
      <c r="AE202" t="s">
        <v>47</v>
      </c>
      <c r="AF202" t="s">
        <v>47</v>
      </c>
      <c r="AG202" t="s">
        <v>52</v>
      </c>
      <c r="AH202" t="s">
        <v>53</v>
      </c>
      <c r="AI202" t="s">
        <v>65</v>
      </c>
      <c r="AJ202">
        <v>3.4</v>
      </c>
      <c r="AK202" t="s">
        <v>47</v>
      </c>
      <c r="AL202" t="s">
        <v>72</v>
      </c>
      <c r="AM202" t="s">
        <v>73</v>
      </c>
      <c r="AN202">
        <v>45</v>
      </c>
      <c r="AO202" t="s">
        <v>47</v>
      </c>
    </row>
    <row r="203" spans="1:41">
      <c r="A203" t="s">
        <v>350</v>
      </c>
      <c r="B203">
        <v>2016</v>
      </c>
      <c r="C203" s="1">
        <v>42635</v>
      </c>
      <c r="D203" t="s">
        <v>58</v>
      </c>
      <c r="E203" t="s">
        <v>163</v>
      </c>
      <c r="F203">
        <v>63</v>
      </c>
      <c r="G203" t="s">
        <v>44</v>
      </c>
      <c r="H203" t="s">
        <v>45</v>
      </c>
      <c r="I203">
        <v>28</v>
      </c>
      <c r="J203">
        <v>35</v>
      </c>
      <c r="K203" t="s">
        <v>46</v>
      </c>
      <c r="L203" t="s">
        <v>47</v>
      </c>
      <c r="M203" t="s">
        <v>47</v>
      </c>
      <c r="N203" t="s">
        <v>50</v>
      </c>
      <c r="O203" t="s">
        <v>48</v>
      </c>
      <c r="P203">
        <v>21.6</v>
      </c>
      <c r="Q203" t="s">
        <v>50</v>
      </c>
      <c r="R203" t="s">
        <v>47</v>
      </c>
      <c r="S203" t="s">
        <v>47</v>
      </c>
      <c r="T203" t="s">
        <v>47</v>
      </c>
      <c r="U203" t="s">
        <v>47</v>
      </c>
      <c r="V203" t="s">
        <v>171</v>
      </c>
      <c r="W203" t="s">
        <v>47</v>
      </c>
      <c r="X203" t="s">
        <v>46</v>
      </c>
      <c r="Y203" t="s">
        <v>46</v>
      </c>
      <c r="Z203" t="s">
        <v>47</v>
      </c>
      <c r="AA203" t="s">
        <v>46</v>
      </c>
      <c r="AB203" t="s">
        <v>47</v>
      </c>
      <c r="AC203" t="s">
        <v>47</v>
      </c>
      <c r="AD203" t="s">
        <v>47</v>
      </c>
      <c r="AE203" t="s">
        <v>47</v>
      </c>
      <c r="AF203" t="s">
        <v>47</v>
      </c>
      <c r="AG203" t="s">
        <v>52</v>
      </c>
      <c r="AH203" t="s">
        <v>71</v>
      </c>
      <c r="AI203" t="s">
        <v>80</v>
      </c>
      <c r="AJ203">
        <v>5.3</v>
      </c>
      <c r="AK203" t="s">
        <v>47</v>
      </c>
      <c r="AL203" t="s">
        <v>66</v>
      </c>
      <c r="AM203" t="s">
        <v>67</v>
      </c>
      <c r="AN203">
        <v>25</v>
      </c>
      <c r="AO203" t="s">
        <v>47</v>
      </c>
    </row>
    <row r="204" spans="1:41">
      <c r="A204" t="s">
        <v>351</v>
      </c>
      <c r="B204">
        <v>2022</v>
      </c>
      <c r="C204" s="1">
        <v>44715</v>
      </c>
      <c r="D204" t="s">
        <v>110</v>
      </c>
      <c r="E204" t="s">
        <v>236</v>
      </c>
      <c r="F204">
        <v>54</v>
      </c>
      <c r="G204" t="s">
        <v>44</v>
      </c>
      <c r="H204" t="s">
        <v>70</v>
      </c>
      <c r="I204">
        <v>0</v>
      </c>
      <c r="J204">
        <v>0</v>
      </c>
      <c r="K204" t="s">
        <v>47</v>
      </c>
      <c r="L204" t="s">
        <v>46</v>
      </c>
      <c r="M204" t="s">
        <v>46</v>
      </c>
      <c r="N204" t="s">
        <v>62</v>
      </c>
      <c r="O204" t="s">
        <v>49</v>
      </c>
      <c r="P204">
        <v>27</v>
      </c>
      <c r="Q204" t="s">
        <v>48</v>
      </c>
      <c r="R204" t="s">
        <v>47</v>
      </c>
      <c r="S204" t="s">
        <v>47</v>
      </c>
      <c r="T204" t="s">
        <v>47</v>
      </c>
      <c r="U204" t="s">
        <v>47</v>
      </c>
      <c r="V204" t="s">
        <v>86</v>
      </c>
      <c r="W204" t="s">
        <v>46</v>
      </c>
      <c r="X204" t="s">
        <v>47</v>
      </c>
      <c r="Y204" t="s">
        <v>46</v>
      </c>
      <c r="Z204" t="s">
        <v>47</v>
      </c>
      <c r="AA204" t="s">
        <v>46</v>
      </c>
      <c r="AB204" t="s">
        <v>47</v>
      </c>
      <c r="AC204" t="s">
        <v>47</v>
      </c>
      <c r="AD204" t="s">
        <v>47</v>
      </c>
      <c r="AE204" t="s">
        <v>47</v>
      </c>
      <c r="AF204" t="s">
        <v>47</v>
      </c>
      <c r="AG204" t="s">
        <v>52</v>
      </c>
      <c r="AH204" t="s">
        <v>53</v>
      </c>
      <c r="AI204" t="s">
        <v>65</v>
      </c>
      <c r="AJ204">
        <v>2</v>
      </c>
      <c r="AK204" t="s">
        <v>47</v>
      </c>
      <c r="AL204" t="s">
        <v>156</v>
      </c>
      <c r="AM204" t="s">
        <v>67</v>
      </c>
      <c r="AN204">
        <v>19</v>
      </c>
      <c r="AO204" t="s">
        <v>46</v>
      </c>
    </row>
    <row r="205" spans="1:41">
      <c r="A205" t="s">
        <v>352</v>
      </c>
      <c r="B205">
        <v>2023</v>
      </c>
      <c r="C205" s="1">
        <v>45240</v>
      </c>
      <c r="D205" t="s">
        <v>42</v>
      </c>
      <c r="E205" t="s">
        <v>160</v>
      </c>
      <c r="F205">
        <v>66</v>
      </c>
      <c r="G205" t="s">
        <v>60</v>
      </c>
      <c r="H205" t="s">
        <v>70</v>
      </c>
      <c r="I205">
        <v>0</v>
      </c>
      <c r="J205">
        <v>0</v>
      </c>
      <c r="K205" t="s">
        <v>46</v>
      </c>
      <c r="L205" t="s">
        <v>47</v>
      </c>
      <c r="M205" t="s">
        <v>47</v>
      </c>
      <c r="N205" t="s">
        <v>62</v>
      </c>
      <c r="O205" t="s">
        <v>63</v>
      </c>
      <c r="P205">
        <v>32.5</v>
      </c>
      <c r="Q205" t="s">
        <v>50</v>
      </c>
      <c r="R205" t="s">
        <v>46</v>
      </c>
      <c r="S205" t="s">
        <v>47</v>
      </c>
      <c r="T205" t="s">
        <v>47</v>
      </c>
      <c r="U205" t="s">
        <v>47</v>
      </c>
      <c r="V205" t="s">
        <v>64</v>
      </c>
      <c r="W205" t="s">
        <v>46</v>
      </c>
      <c r="X205" t="s">
        <v>47</v>
      </c>
      <c r="Y205" t="s">
        <v>47</v>
      </c>
      <c r="Z205" t="s">
        <v>47</v>
      </c>
      <c r="AA205" t="s">
        <v>46</v>
      </c>
      <c r="AB205" t="s">
        <v>47</v>
      </c>
      <c r="AC205" t="s">
        <v>46</v>
      </c>
      <c r="AD205" t="s">
        <v>47</v>
      </c>
      <c r="AE205" t="s">
        <v>47</v>
      </c>
      <c r="AF205" t="s">
        <v>47</v>
      </c>
      <c r="AG205" t="s">
        <v>121</v>
      </c>
      <c r="AH205" t="s">
        <v>122</v>
      </c>
      <c r="AI205" t="s">
        <v>80</v>
      </c>
      <c r="AJ205">
        <v>4.2</v>
      </c>
      <c r="AK205" t="s">
        <v>47</v>
      </c>
      <c r="AL205" t="s">
        <v>100</v>
      </c>
      <c r="AM205" t="s">
        <v>82</v>
      </c>
      <c r="AN205">
        <v>7</v>
      </c>
      <c r="AO205" t="s">
        <v>47</v>
      </c>
    </row>
    <row r="206" spans="1:41">
      <c r="A206" t="s">
        <v>353</v>
      </c>
      <c r="B206">
        <v>2023</v>
      </c>
      <c r="C206" s="1">
        <v>45021</v>
      </c>
      <c r="D206" t="s">
        <v>110</v>
      </c>
      <c r="E206" t="s">
        <v>177</v>
      </c>
      <c r="F206">
        <v>63</v>
      </c>
      <c r="G206" t="s">
        <v>60</v>
      </c>
      <c r="H206" t="s">
        <v>70</v>
      </c>
      <c r="I206">
        <v>0</v>
      </c>
      <c r="J206">
        <v>0</v>
      </c>
      <c r="K206" t="s">
        <v>46</v>
      </c>
      <c r="L206" t="s">
        <v>47</v>
      </c>
      <c r="M206" t="s">
        <v>46</v>
      </c>
      <c r="N206" t="s">
        <v>48</v>
      </c>
      <c r="O206" t="s">
        <v>49</v>
      </c>
      <c r="P206">
        <v>24.6</v>
      </c>
      <c r="Q206" t="s">
        <v>48</v>
      </c>
      <c r="R206" t="s">
        <v>46</v>
      </c>
      <c r="S206" t="s">
        <v>47</v>
      </c>
      <c r="T206" t="s">
        <v>47</v>
      </c>
      <c r="U206" t="s">
        <v>47</v>
      </c>
      <c r="V206" t="s">
        <v>171</v>
      </c>
      <c r="W206" t="s">
        <v>47</v>
      </c>
      <c r="X206" t="s">
        <v>47</v>
      </c>
      <c r="Y206" t="s">
        <v>47</v>
      </c>
      <c r="Z206" t="s">
        <v>46</v>
      </c>
      <c r="AA206" t="s">
        <v>47</v>
      </c>
      <c r="AB206" t="s">
        <v>47</v>
      </c>
      <c r="AC206" t="s">
        <v>46</v>
      </c>
      <c r="AD206" t="s">
        <v>46</v>
      </c>
      <c r="AE206" t="s">
        <v>47</v>
      </c>
      <c r="AF206" t="s">
        <v>47</v>
      </c>
      <c r="AG206" t="s">
        <v>52</v>
      </c>
      <c r="AH206" t="s">
        <v>53</v>
      </c>
      <c r="AI206" t="s">
        <v>65</v>
      </c>
      <c r="AJ206">
        <v>1.4</v>
      </c>
      <c r="AK206" t="s">
        <v>47</v>
      </c>
      <c r="AL206" t="s">
        <v>72</v>
      </c>
      <c r="AM206" t="s">
        <v>67</v>
      </c>
      <c r="AN206">
        <v>64</v>
      </c>
      <c r="AO206" t="s">
        <v>47</v>
      </c>
    </row>
    <row r="207" spans="1:41">
      <c r="A207" t="s">
        <v>354</v>
      </c>
      <c r="B207">
        <v>2023</v>
      </c>
      <c r="C207" s="1">
        <v>44934</v>
      </c>
      <c r="D207" t="s">
        <v>58</v>
      </c>
      <c r="E207" t="s">
        <v>252</v>
      </c>
      <c r="F207">
        <v>68</v>
      </c>
      <c r="G207" t="s">
        <v>60</v>
      </c>
      <c r="H207" t="s">
        <v>61</v>
      </c>
      <c r="I207">
        <v>9</v>
      </c>
      <c r="J207">
        <v>31</v>
      </c>
      <c r="K207" t="s">
        <v>46</v>
      </c>
      <c r="L207" t="s">
        <v>47</v>
      </c>
      <c r="M207" t="s">
        <v>47</v>
      </c>
      <c r="N207" t="s">
        <v>48</v>
      </c>
      <c r="O207" t="s">
        <v>49</v>
      </c>
      <c r="P207">
        <v>23.1</v>
      </c>
      <c r="Q207" t="s">
        <v>48</v>
      </c>
      <c r="R207" t="s">
        <v>46</v>
      </c>
      <c r="S207" t="s">
        <v>47</v>
      </c>
      <c r="T207" t="s">
        <v>47</v>
      </c>
      <c r="U207" t="s">
        <v>47</v>
      </c>
      <c r="V207" t="s">
        <v>64</v>
      </c>
      <c r="W207" t="s">
        <v>47</v>
      </c>
      <c r="X207" t="s">
        <v>47</v>
      </c>
      <c r="Y207" t="s">
        <v>46</v>
      </c>
      <c r="Z207" t="s">
        <v>47</v>
      </c>
      <c r="AA207" t="s">
        <v>46</v>
      </c>
      <c r="AB207" t="s">
        <v>47</v>
      </c>
      <c r="AC207" t="s">
        <v>47</v>
      </c>
      <c r="AD207" t="s">
        <v>47</v>
      </c>
      <c r="AE207" t="s">
        <v>47</v>
      </c>
      <c r="AF207" t="s">
        <v>47</v>
      </c>
      <c r="AG207" t="s">
        <v>52</v>
      </c>
      <c r="AH207" t="s">
        <v>53</v>
      </c>
      <c r="AI207" t="s">
        <v>80</v>
      </c>
      <c r="AJ207">
        <v>3.8</v>
      </c>
      <c r="AK207" t="s">
        <v>46</v>
      </c>
      <c r="AL207" t="s">
        <v>66</v>
      </c>
      <c r="AM207" t="s">
        <v>82</v>
      </c>
      <c r="AN207">
        <v>11</v>
      </c>
      <c r="AO207" t="s">
        <v>47</v>
      </c>
    </row>
    <row r="208" spans="1:41">
      <c r="A208" t="s">
        <v>355</v>
      </c>
      <c r="B208">
        <v>2019</v>
      </c>
      <c r="C208" s="1">
        <v>43766</v>
      </c>
      <c r="D208" t="s">
        <v>42</v>
      </c>
      <c r="E208" t="s">
        <v>69</v>
      </c>
      <c r="F208">
        <v>30</v>
      </c>
      <c r="G208" t="s">
        <v>44</v>
      </c>
      <c r="H208" t="s">
        <v>45</v>
      </c>
      <c r="I208">
        <v>36</v>
      </c>
      <c r="J208">
        <v>12</v>
      </c>
      <c r="K208" t="s">
        <v>46</v>
      </c>
      <c r="L208" t="s">
        <v>47</v>
      </c>
      <c r="M208" t="s">
        <v>46</v>
      </c>
      <c r="N208" t="s">
        <v>62</v>
      </c>
      <c r="O208" t="s">
        <v>48</v>
      </c>
      <c r="P208">
        <v>29.2</v>
      </c>
      <c r="Q208" t="s">
        <v>50</v>
      </c>
      <c r="R208" t="s">
        <v>47</v>
      </c>
      <c r="S208" t="s">
        <v>47</v>
      </c>
      <c r="T208" t="s">
        <v>47</v>
      </c>
      <c r="U208" t="s">
        <v>46</v>
      </c>
      <c r="V208" t="s">
        <v>51</v>
      </c>
      <c r="W208" t="s">
        <v>46</v>
      </c>
      <c r="X208" t="s">
        <v>46</v>
      </c>
      <c r="Y208" t="s">
        <v>46</v>
      </c>
      <c r="Z208" t="s">
        <v>46</v>
      </c>
      <c r="AA208" t="s">
        <v>46</v>
      </c>
      <c r="AB208" t="s">
        <v>47</v>
      </c>
      <c r="AC208" t="s">
        <v>46</v>
      </c>
      <c r="AD208" t="s">
        <v>46</v>
      </c>
      <c r="AE208" t="s">
        <v>46</v>
      </c>
      <c r="AF208" t="s">
        <v>47</v>
      </c>
      <c r="AG208" t="s">
        <v>121</v>
      </c>
      <c r="AH208" t="s">
        <v>122</v>
      </c>
      <c r="AI208" t="s">
        <v>87</v>
      </c>
      <c r="AJ208">
        <v>3.5</v>
      </c>
      <c r="AK208" t="s">
        <v>47</v>
      </c>
      <c r="AL208" t="s">
        <v>76</v>
      </c>
      <c r="AM208" t="s">
        <v>67</v>
      </c>
      <c r="AN208">
        <v>15</v>
      </c>
      <c r="AO208" t="s">
        <v>47</v>
      </c>
    </row>
    <row r="209" spans="1:41">
      <c r="A209" t="s">
        <v>356</v>
      </c>
      <c r="B209">
        <v>2025</v>
      </c>
      <c r="C209" s="1">
        <v>45883</v>
      </c>
      <c r="D209" t="s">
        <v>42</v>
      </c>
      <c r="E209" t="s">
        <v>154</v>
      </c>
      <c r="F209">
        <v>50</v>
      </c>
      <c r="G209" t="s">
        <v>60</v>
      </c>
      <c r="H209" t="s">
        <v>61</v>
      </c>
      <c r="I209">
        <v>3</v>
      </c>
      <c r="J209">
        <v>10</v>
      </c>
      <c r="K209" t="s">
        <v>47</v>
      </c>
      <c r="L209" t="s">
        <v>47</v>
      </c>
      <c r="M209" t="s">
        <v>47</v>
      </c>
      <c r="N209" t="s">
        <v>62</v>
      </c>
      <c r="O209" t="s">
        <v>49</v>
      </c>
      <c r="P209">
        <v>33.299999999999997</v>
      </c>
      <c r="Q209" t="s">
        <v>50</v>
      </c>
      <c r="R209" t="s">
        <v>47</v>
      </c>
      <c r="S209" t="s">
        <v>47</v>
      </c>
      <c r="T209" t="s">
        <v>47</v>
      </c>
      <c r="U209" t="s">
        <v>47</v>
      </c>
      <c r="V209" t="s">
        <v>151</v>
      </c>
      <c r="W209" t="s">
        <v>47</v>
      </c>
      <c r="X209" t="s">
        <v>47</v>
      </c>
      <c r="Y209" t="s">
        <v>46</v>
      </c>
      <c r="Z209" t="s">
        <v>47</v>
      </c>
      <c r="AA209" t="s">
        <v>46</v>
      </c>
      <c r="AB209" t="s">
        <v>47</v>
      </c>
      <c r="AC209" t="s">
        <v>46</v>
      </c>
      <c r="AD209" t="s">
        <v>47</v>
      </c>
      <c r="AE209" t="s">
        <v>47</v>
      </c>
      <c r="AF209" t="s">
        <v>47</v>
      </c>
      <c r="AG209" t="s">
        <v>52</v>
      </c>
      <c r="AH209" t="s">
        <v>53</v>
      </c>
      <c r="AI209" t="s">
        <v>65</v>
      </c>
      <c r="AJ209">
        <v>2.5</v>
      </c>
      <c r="AK209" t="s">
        <v>47</v>
      </c>
      <c r="AL209" t="s">
        <v>72</v>
      </c>
      <c r="AM209" t="s">
        <v>73</v>
      </c>
      <c r="AN209">
        <v>77</v>
      </c>
      <c r="AO209" t="s">
        <v>46</v>
      </c>
    </row>
    <row r="210" spans="1:41">
      <c r="A210" t="s">
        <v>357</v>
      </c>
      <c r="B210">
        <v>2020</v>
      </c>
      <c r="C210" s="1">
        <v>43944</v>
      </c>
      <c r="D210" t="s">
        <v>95</v>
      </c>
      <c r="E210" t="s">
        <v>145</v>
      </c>
      <c r="F210">
        <v>60</v>
      </c>
      <c r="G210" t="s">
        <v>60</v>
      </c>
      <c r="H210" t="s">
        <v>45</v>
      </c>
      <c r="I210">
        <v>21</v>
      </c>
      <c r="J210">
        <v>15</v>
      </c>
      <c r="K210" t="s">
        <v>47</v>
      </c>
      <c r="L210" t="s">
        <v>46</v>
      </c>
      <c r="M210" t="s">
        <v>47</v>
      </c>
      <c r="N210" t="s">
        <v>48</v>
      </c>
      <c r="O210" t="s">
        <v>49</v>
      </c>
      <c r="P210">
        <v>30.6</v>
      </c>
      <c r="Q210" t="s">
        <v>62</v>
      </c>
      <c r="R210" t="s">
        <v>46</v>
      </c>
      <c r="S210" t="s">
        <v>47</v>
      </c>
      <c r="T210" t="s">
        <v>47</v>
      </c>
      <c r="U210" t="s">
        <v>47</v>
      </c>
      <c r="V210" t="s">
        <v>151</v>
      </c>
      <c r="W210" t="s">
        <v>46</v>
      </c>
      <c r="X210" t="s">
        <v>46</v>
      </c>
      <c r="Y210" t="s">
        <v>47</v>
      </c>
      <c r="Z210" t="s">
        <v>46</v>
      </c>
      <c r="AA210" t="s">
        <v>46</v>
      </c>
      <c r="AB210" t="s">
        <v>46</v>
      </c>
      <c r="AC210" t="s">
        <v>47</v>
      </c>
      <c r="AD210" t="s">
        <v>47</v>
      </c>
      <c r="AE210" t="s">
        <v>46</v>
      </c>
      <c r="AF210" t="s">
        <v>47</v>
      </c>
      <c r="AG210" t="s">
        <v>52</v>
      </c>
      <c r="AH210" t="s">
        <v>53</v>
      </c>
      <c r="AI210" t="s">
        <v>80</v>
      </c>
      <c r="AJ210">
        <v>5.5</v>
      </c>
      <c r="AK210" t="s">
        <v>47</v>
      </c>
      <c r="AL210" t="s">
        <v>100</v>
      </c>
      <c r="AM210" t="s">
        <v>77</v>
      </c>
      <c r="AN210">
        <v>29</v>
      </c>
      <c r="AO210" t="s">
        <v>47</v>
      </c>
    </row>
    <row r="211" spans="1:41">
      <c r="A211" t="s">
        <v>358</v>
      </c>
      <c r="B211">
        <v>2024</v>
      </c>
      <c r="C211" s="1">
        <v>45517</v>
      </c>
      <c r="D211" t="s">
        <v>42</v>
      </c>
      <c r="E211" t="s">
        <v>160</v>
      </c>
      <c r="F211">
        <v>68</v>
      </c>
      <c r="G211" t="s">
        <v>60</v>
      </c>
      <c r="H211" t="s">
        <v>70</v>
      </c>
      <c r="I211">
        <v>0</v>
      </c>
      <c r="J211">
        <v>0</v>
      </c>
      <c r="K211" t="s">
        <v>46</v>
      </c>
      <c r="L211" t="s">
        <v>47</v>
      </c>
      <c r="M211" t="s">
        <v>47</v>
      </c>
      <c r="N211" t="s">
        <v>50</v>
      </c>
      <c r="O211" t="s">
        <v>63</v>
      </c>
      <c r="P211">
        <v>25.2</v>
      </c>
      <c r="Q211" t="s">
        <v>50</v>
      </c>
      <c r="R211" t="s">
        <v>47</v>
      </c>
      <c r="S211" t="s">
        <v>47</v>
      </c>
      <c r="T211" t="s">
        <v>47</v>
      </c>
      <c r="U211" t="s">
        <v>47</v>
      </c>
      <c r="V211" t="s">
        <v>171</v>
      </c>
      <c r="W211" t="s">
        <v>47</v>
      </c>
      <c r="X211" t="s">
        <v>46</v>
      </c>
      <c r="Y211" t="s">
        <v>46</v>
      </c>
      <c r="Z211" t="s">
        <v>47</v>
      </c>
      <c r="AA211" t="s">
        <v>47</v>
      </c>
      <c r="AB211" t="s">
        <v>46</v>
      </c>
      <c r="AC211" t="s">
        <v>46</v>
      </c>
      <c r="AD211" t="s">
        <v>47</v>
      </c>
      <c r="AE211" t="s">
        <v>47</v>
      </c>
      <c r="AF211" t="s">
        <v>47</v>
      </c>
      <c r="AG211" t="s">
        <v>52</v>
      </c>
      <c r="AH211" t="s">
        <v>53</v>
      </c>
      <c r="AI211" t="s">
        <v>54</v>
      </c>
      <c r="AJ211">
        <v>8</v>
      </c>
      <c r="AK211" t="s">
        <v>46</v>
      </c>
      <c r="AL211" t="s">
        <v>76</v>
      </c>
      <c r="AM211" t="s">
        <v>265</v>
      </c>
      <c r="AN211">
        <v>9</v>
      </c>
      <c r="AO211" t="s">
        <v>47</v>
      </c>
    </row>
    <row r="212" spans="1:41">
      <c r="A212" t="s">
        <v>359</v>
      </c>
      <c r="B212">
        <v>2024</v>
      </c>
      <c r="C212" s="1">
        <v>45372</v>
      </c>
      <c r="D212" t="s">
        <v>42</v>
      </c>
      <c r="E212" t="s">
        <v>43</v>
      </c>
      <c r="F212">
        <v>50</v>
      </c>
      <c r="G212" t="s">
        <v>60</v>
      </c>
      <c r="H212" t="s">
        <v>45</v>
      </c>
      <c r="I212">
        <v>16</v>
      </c>
      <c r="J212">
        <v>32</v>
      </c>
      <c r="K212" t="s">
        <v>46</v>
      </c>
      <c r="L212" t="s">
        <v>47</v>
      </c>
      <c r="M212" t="s">
        <v>47</v>
      </c>
      <c r="N212" t="s">
        <v>62</v>
      </c>
      <c r="O212" t="s">
        <v>63</v>
      </c>
      <c r="P212">
        <v>27.7</v>
      </c>
      <c r="Q212" t="s">
        <v>50</v>
      </c>
      <c r="R212" t="s">
        <v>47</v>
      </c>
      <c r="S212" t="s">
        <v>47</v>
      </c>
      <c r="T212" t="s">
        <v>47</v>
      </c>
      <c r="U212" t="s">
        <v>47</v>
      </c>
      <c r="V212" t="s">
        <v>51</v>
      </c>
      <c r="W212" t="s">
        <v>46</v>
      </c>
      <c r="X212" t="s">
        <v>47</v>
      </c>
      <c r="Y212" t="s">
        <v>46</v>
      </c>
      <c r="Z212" t="s">
        <v>47</v>
      </c>
      <c r="AA212" t="s">
        <v>46</v>
      </c>
      <c r="AB212" t="s">
        <v>47</v>
      </c>
      <c r="AC212" t="s">
        <v>47</v>
      </c>
      <c r="AD212" t="s">
        <v>47</v>
      </c>
      <c r="AE212" t="s">
        <v>47</v>
      </c>
      <c r="AF212" t="s">
        <v>47</v>
      </c>
      <c r="AG212" t="s">
        <v>52</v>
      </c>
      <c r="AH212" t="s">
        <v>90</v>
      </c>
      <c r="AI212" t="s">
        <v>80</v>
      </c>
      <c r="AJ212">
        <v>5.6</v>
      </c>
      <c r="AK212" t="s">
        <v>46</v>
      </c>
      <c r="AL212" t="s">
        <v>76</v>
      </c>
      <c r="AM212" t="s">
        <v>56</v>
      </c>
      <c r="AN212">
        <v>14</v>
      </c>
      <c r="AO212" t="s">
        <v>47</v>
      </c>
    </row>
    <row r="213" spans="1:41">
      <c r="A213" t="s">
        <v>360</v>
      </c>
      <c r="B213">
        <v>2020</v>
      </c>
      <c r="C213" s="1">
        <v>43886</v>
      </c>
      <c r="D213" t="s">
        <v>42</v>
      </c>
      <c r="E213" t="s">
        <v>79</v>
      </c>
      <c r="F213">
        <v>47</v>
      </c>
      <c r="G213" t="s">
        <v>44</v>
      </c>
      <c r="H213" t="s">
        <v>70</v>
      </c>
      <c r="I213">
        <v>0</v>
      </c>
      <c r="J213">
        <v>0</v>
      </c>
      <c r="K213" t="s">
        <v>46</v>
      </c>
      <c r="L213" t="s">
        <v>46</v>
      </c>
      <c r="M213" t="s">
        <v>47</v>
      </c>
      <c r="N213" t="s">
        <v>62</v>
      </c>
      <c r="O213" t="s">
        <v>48</v>
      </c>
      <c r="P213">
        <v>28.2</v>
      </c>
      <c r="Q213" t="s">
        <v>48</v>
      </c>
      <c r="R213" t="s">
        <v>47</v>
      </c>
      <c r="S213" t="s">
        <v>47</v>
      </c>
      <c r="T213" t="s">
        <v>47</v>
      </c>
      <c r="U213" t="s">
        <v>47</v>
      </c>
      <c r="V213" t="s">
        <v>171</v>
      </c>
      <c r="W213" t="s">
        <v>47</v>
      </c>
      <c r="X213" t="s">
        <v>47</v>
      </c>
      <c r="Y213" t="s">
        <v>47</v>
      </c>
      <c r="Z213" t="s">
        <v>47</v>
      </c>
      <c r="AA213" t="s">
        <v>47</v>
      </c>
      <c r="AB213" t="s">
        <v>47</v>
      </c>
      <c r="AC213" t="s">
        <v>47</v>
      </c>
      <c r="AD213" t="s">
        <v>46</v>
      </c>
      <c r="AE213" t="s">
        <v>47</v>
      </c>
      <c r="AF213" t="s">
        <v>46</v>
      </c>
      <c r="AG213" t="s">
        <v>52</v>
      </c>
      <c r="AH213" t="s">
        <v>53</v>
      </c>
      <c r="AI213" t="s">
        <v>87</v>
      </c>
      <c r="AJ213">
        <v>5.4</v>
      </c>
      <c r="AK213" t="s">
        <v>47</v>
      </c>
      <c r="AL213" t="s">
        <v>156</v>
      </c>
      <c r="AM213" t="s">
        <v>67</v>
      </c>
      <c r="AN213">
        <v>49</v>
      </c>
      <c r="AO213" t="s">
        <v>46</v>
      </c>
    </row>
    <row r="214" spans="1:41">
      <c r="A214" t="s">
        <v>361</v>
      </c>
      <c r="B214">
        <v>2022</v>
      </c>
      <c r="C214" s="1">
        <v>44657</v>
      </c>
      <c r="D214" t="s">
        <v>110</v>
      </c>
      <c r="E214" t="s">
        <v>116</v>
      </c>
      <c r="F214">
        <v>66</v>
      </c>
      <c r="G214" t="s">
        <v>44</v>
      </c>
      <c r="H214" t="s">
        <v>45</v>
      </c>
      <c r="I214">
        <v>14</v>
      </c>
      <c r="J214">
        <v>28</v>
      </c>
      <c r="K214" t="s">
        <v>47</v>
      </c>
      <c r="L214" t="s">
        <v>46</v>
      </c>
      <c r="M214" t="s">
        <v>47</v>
      </c>
      <c r="N214" t="s">
        <v>62</v>
      </c>
      <c r="O214" t="s">
        <v>48</v>
      </c>
      <c r="P214">
        <v>31.3</v>
      </c>
      <c r="Q214" t="s">
        <v>48</v>
      </c>
      <c r="R214" t="s">
        <v>47</v>
      </c>
      <c r="S214" t="s">
        <v>47</v>
      </c>
      <c r="T214" t="s">
        <v>47</v>
      </c>
      <c r="U214" t="s">
        <v>47</v>
      </c>
      <c r="V214" t="s">
        <v>51</v>
      </c>
      <c r="W214" t="s">
        <v>46</v>
      </c>
      <c r="X214" t="s">
        <v>46</v>
      </c>
      <c r="Y214" t="s">
        <v>46</v>
      </c>
      <c r="Z214" t="s">
        <v>47</v>
      </c>
      <c r="AA214" t="s">
        <v>46</v>
      </c>
      <c r="AB214" t="s">
        <v>46</v>
      </c>
      <c r="AC214" t="s">
        <v>47</v>
      </c>
      <c r="AD214" t="s">
        <v>47</v>
      </c>
      <c r="AE214" t="s">
        <v>47</v>
      </c>
      <c r="AF214" t="s">
        <v>47</v>
      </c>
      <c r="AG214" t="s">
        <v>52</v>
      </c>
      <c r="AH214" t="s">
        <v>71</v>
      </c>
      <c r="AI214" t="s">
        <v>65</v>
      </c>
      <c r="AJ214">
        <v>2</v>
      </c>
      <c r="AK214" t="s">
        <v>47</v>
      </c>
      <c r="AL214" t="s">
        <v>72</v>
      </c>
      <c r="AM214" t="s">
        <v>118</v>
      </c>
      <c r="AN214">
        <v>62</v>
      </c>
      <c r="AO214" t="s">
        <v>47</v>
      </c>
    </row>
    <row r="215" spans="1:41">
      <c r="A215" t="s">
        <v>362</v>
      </c>
      <c r="B215">
        <v>2015</v>
      </c>
      <c r="C215" s="1">
        <v>42218</v>
      </c>
      <c r="D215" t="s">
        <v>42</v>
      </c>
      <c r="E215" t="s">
        <v>75</v>
      </c>
      <c r="F215">
        <v>65</v>
      </c>
      <c r="G215" t="s">
        <v>60</v>
      </c>
      <c r="H215" t="s">
        <v>45</v>
      </c>
      <c r="I215">
        <v>19</v>
      </c>
      <c r="J215">
        <v>28</v>
      </c>
      <c r="K215" t="s">
        <v>47</v>
      </c>
      <c r="L215" t="s">
        <v>47</v>
      </c>
      <c r="M215" t="s">
        <v>47</v>
      </c>
      <c r="N215" t="s">
        <v>48</v>
      </c>
      <c r="O215" t="s">
        <v>49</v>
      </c>
      <c r="P215">
        <v>25.8</v>
      </c>
      <c r="Q215" t="s">
        <v>50</v>
      </c>
      <c r="R215" t="s">
        <v>47</v>
      </c>
      <c r="S215" t="s">
        <v>47</v>
      </c>
      <c r="T215" t="s">
        <v>47</v>
      </c>
      <c r="U215" t="s">
        <v>47</v>
      </c>
      <c r="V215" t="s">
        <v>51</v>
      </c>
      <c r="W215" t="s">
        <v>46</v>
      </c>
      <c r="X215" t="s">
        <v>47</v>
      </c>
      <c r="Y215" t="s">
        <v>46</v>
      </c>
      <c r="Z215" t="s">
        <v>47</v>
      </c>
      <c r="AA215" t="s">
        <v>46</v>
      </c>
      <c r="AB215" t="s">
        <v>46</v>
      </c>
      <c r="AC215" t="s">
        <v>47</v>
      </c>
      <c r="AD215" t="s">
        <v>47</v>
      </c>
      <c r="AE215" t="s">
        <v>47</v>
      </c>
      <c r="AF215" t="s">
        <v>47</v>
      </c>
      <c r="AG215" t="s">
        <v>52</v>
      </c>
      <c r="AH215" t="s">
        <v>71</v>
      </c>
      <c r="AI215" t="s">
        <v>87</v>
      </c>
      <c r="AJ215">
        <v>2</v>
      </c>
      <c r="AK215" t="s">
        <v>47</v>
      </c>
      <c r="AL215" t="s">
        <v>66</v>
      </c>
      <c r="AM215" t="s">
        <v>77</v>
      </c>
      <c r="AN215">
        <v>32</v>
      </c>
      <c r="AO215" t="s">
        <v>46</v>
      </c>
    </row>
    <row r="216" spans="1:41">
      <c r="A216" t="s">
        <v>363</v>
      </c>
      <c r="B216">
        <v>2018</v>
      </c>
      <c r="C216" s="1">
        <v>43218</v>
      </c>
      <c r="D216" t="s">
        <v>58</v>
      </c>
      <c r="E216" t="s">
        <v>169</v>
      </c>
      <c r="F216">
        <v>61</v>
      </c>
      <c r="G216" t="s">
        <v>44</v>
      </c>
      <c r="H216" t="s">
        <v>70</v>
      </c>
      <c r="I216">
        <v>0</v>
      </c>
      <c r="J216">
        <v>0</v>
      </c>
      <c r="K216" t="s">
        <v>46</v>
      </c>
      <c r="L216" t="s">
        <v>47</v>
      </c>
      <c r="M216" t="s">
        <v>47</v>
      </c>
      <c r="N216" t="s">
        <v>48</v>
      </c>
      <c r="O216" t="s">
        <v>48</v>
      </c>
      <c r="P216">
        <v>27.1</v>
      </c>
      <c r="Q216" t="s">
        <v>62</v>
      </c>
      <c r="R216" t="s">
        <v>47</v>
      </c>
      <c r="S216" t="s">
        <v>47</v>
      </c>
      <c r="T216" t="s">
        <v>47</v>
      </c>
      <c r="U216" t="s">
        <v>47</v>
      </c>
      <c r="V216" t="s">
        <v>64</v>
      </c>
      <c r="W216" t="s">
        <v>47</v>
      </c>
      <c r="X216" t="s">
        <v>47</v>
      </c>
      <c r="Y216" t="s">
        <v>47</v>
      </c>
      <c r="Z216" t="s">
        <v>47</v>
      </c>
      <c r="AA216" t="s">
        <v>46</v>
      </c>
      <c r="AB216" t="s">
        <v>47</v>
      </c>
      <c r="AC216" t="s">
        <v>47</v>
      </c>
      <c r="AD216" t="s">
        <v>46</v>
      </c>
      <c r="AE216" t="s">
        <v>47</v>
      </c>
      <c r="AF216" t="s">
        <v>47</v>
      </c>
      <c r="AG216" t="s">
        <v>52</v>
      </c>
      <c r="AH216" t="s">
        <v>53</v>
      </c>
      <c r="AI216" t="s">
        <v>65</v>
      </c>
      <c r="AJ216">
        <v>1.5</v>
      </c>
      <c r="AK216" t="s">
        <v>47</v>
      </c>
      <c r="AL216" t="s">
        <v>100</v>
      </c>
      <c r="AM216" t="s">
        <v>103</v>
      </c>
      <c r="AN216">
        <v>31</v>
      </c>
      <c r="AO216" t="s">
        <v>47</v>
      </c>
    </row>
    <row r="217" spans="1:41">
      <c r="A217" t="s">
        <v>364</v>
      </c>
      <c r="B217">
        <v>2017</v>
      </c>
      <c r="C217" s="1">
        <v>42952</v>
      </c>
      <c r="D217" t="s">
        <v>95</v>
      </c>
      <c r="E217" t="s">
        <v>96</v>
      </c>
      <c r="F217">
        <v>54</v>
      </c>
      <c r="G217" t="s">
        <v>60</v>
      </c>
      <c r="H217" t="s">
        <v>70</v>
      </c>
      <c r="I217">
        <v>0</v>
      </c>
      <c r="J217">
        <v>0</v>
      </c>
      <c r="K217" t="s">
        <v>46</v>
      </c>
      <c r="L217" t="s">
        <v>46</v>
      </c>
      <c r="M217" t="s">
        <v>46</v>
      </c>
      <c r="N217" t="s">
        <v>62</v>
      </c>
      <c r="O217" t="s">
        <v>63</v>
      </c>
      <c r="P217">
        <v>27.7</v>
      </c>
      <c r="Q217" t="s">
        <v>50</v>
      </c>
      <c r="R217" t="s">
        <v>47</v>
      </c>
      <c r="S217" t="s">
        <v>47</v>
      </c>
      <c r="T217" t="s">
        <v>47</v>
      </c>
      <c r="U217" t="s">
        <v>47</v>
      </c>
      <c r="V217" t="s">
        <v>51</v>
      </c>
      <c r="W217" t="s">
        <v>46</v>
      </c>
      <c r="X217" t="s">
        <v>47</v>
      </c>
      <c r="Y217" t="s">
        <v>47</v>
      </c>
      <c r="Z217" t="s">
        <v>47</v>
      </c>
      <c r="AA217" t="s">
        <v>46</v>
      </c>
      <c r="AB217" t="s">
        <v>46</v>
      </c>
      <c r="AC217" t="s">
        <v>47</v>
      </c>
      <c r="AD217" t="s">
        <v>47</v>
      </c>
      <c r="AE217" t="s">
        <v>47</v>
      </c>
      <c r="AF217" t="s">
        <v>47</v>
      </c>
      <c r="AG217" t="s">
        <v>52</v>
      </c>
      <c r="AH217" t="s">
        <v>53</v>
      </c>
      <c r="AI217" t="s">
        <v>54</v>
      </c>
      <c r="AJ217">
        <v>7.3</v>
      </c>
      <c r="AK217" t="s">
        <v>46</v>
      </c>
      <c r="AL217" t="s">
        <v>100</v>
      </c>
      <c r="AM217" t="s">
        <v>77</v>
      </c>
      <c r="AN217">
        <v>14</v>
      </c>
      <c r="AO217" t="s">
        <v>47</v>
      </c>
    </row>
    <row r="218" spans="1:41">
      <c r="A218" t="s">
        <v>365</v>
      </c>
      <c r="B218">
        <v>2025</v>
      </c>
      <c r="C218" s="1">
        <v>45978</v>
      </c>
      <c r="D218" t="s">
        <v>42</v>
      </c>
      <c r="E218" t="s">
        <v>75</v>
      </c>
      <c r="F218">
        <v>54</v>
      </c>
      <c r="G218" t="s">
        <v>60</v>
      </c>
      <c r="H218" t="s">
        <v>61</v>
      </c>
      <c r="I218">
        <v>27</v>
      </c>
      <c r="J218">
        <v>12</v>
      </c>
      <c r="K218" t="s">
        <v>47</v>
      </c>
      <c r="L218" t="s">
        <v>47</v>
      </c>
      <c r="M218" t="s">
        <v>47</v>
      </c>
      <c r="N218" t="s">
        <v>50</v>
      </c>
      <c r="O218" t="s">
        <v>48</v>
      </c>
      <c r="P218">
        <v>22.4</v>
      </c>
      <c r="Q218" t="s">
        <v>48</v>
      </c>
      <c r="R218" t="s">
        <v>46</v>
      </c>
      <c r="S218" t="s">
        <v>47</v>
      </c>
      <c r="T218" t="s">
        <v>47</v>
      </c>
      <c r="U218" t="s">
        <v>47</v>
      </c>
      <c r="V218" t="s">
        <v>64</v>
      </c>
      <c r="W218" t="s">
        <v>47</v>
      </c>
      <c r="X218" t="s">
        <v>46</v>
      </c>
      <c r="Y218" t="s">
        <v>46</v>
      </c>
      <c r="Z218" t="s">
        <v>47</v>
      </c>
      <c r="AA218" t="s">
        <v>46</v>
      </c>
      <c r="AB218" t="s">
        <v>46</v>
      </c>
      <c r="AC218" t="s">
        <v>46</v>
      </c>
      <c r="AD218" t="s">
        <v>46</v>
      </c>
      <c r="AE218" t="s">
        <v>46</v>
      </c>
      <c r="AF218" t="s">
        <v>47</v>
      </c>
      <c r="AG218" t="s">
        <v>52</v>
      </c>
      <c r="AH218" t="s">
        <v>53</v>
      </c>
      <c r="AI218" t="s">
        <v>87</v>
      </c>
      <c r="AJ218">
        <v>3.6</v>
      </c>
      <c r="AK218" t="s">
        <v>47</v>
      </c>
      <c r="AL218" t="s">
        <v>72</v>
      </c>
      <c r="AM218" t="s">
        <v>73</v>
      </c>
      <c r="AN218">
        <v>48</v>
      </c>
      <c r="AO218" t="s">
        <v>46</v>
      </c>
    </row>
    <row r="219" spans="1:41">
      <c r="A219" t="s">
        <v>366</v>
      </c>
      <c r="B219">
        <v>2018</v>
      </c>
      <c r="C219" s="1">
        <v>43384</v>
      </c>
      <c r="D219" t="s">
        <v>95</v>
      </c>
      <c r="E219" t="s">
        <v>96</v>
      </c>
      <c r="F219">
        <v>51</v>
      </c>
      <c r="G219" t="s">
        <v>60</v>
      </c>
      <c r="H219" t="s">
        <v>70</v>
      </c>
      <c r="I219">
        <v>0</v>
      </c>
      <c r="J219">
        <v>0</v>
      </c>
      <c r="K219" t="s">
        <v>46</v>
      </c>
      <c r="L219" t="s">
        <v>46</v>
      </c>
      <c r="M219" t="s">
        <v>47</v>
      </c>
      <c r="N219" t="s">
        <v>62</v>
      </c>
      <c r="O219" t="s">
        <v>49</v>
      </c>
      <c r="P219">
        <v>30.5</v>
      </c>
      <c r="Q219" t="s">
        <v>48</v>
      </c>
      <c r="R219" t="s">
        <v>47</v>
      </c>
      <c r="S219" t="s">
        <v>47</v>
      </c>
      <c r="T219" t="s">
        <v>46</v>
      </c>
      <c r="U219" t="s">
        <v>47</v>
      </c>
      <c r="V219" t="s">
        <v>86</v>
      </c>
      <c r="W219" t="s">
        <v>46</v>
      </c>
      <c r="X219" t="s">
        <v>47</v>
      </c>
      <c r="Y219" t="s">
        <v>46</v>
      </c>
      <c r="Z219" t="s">
        <v>47</v>
      </c>
      <c r="AA219" t="s">
        <v>46</v>
      </c>
      <c r="AB219" t="s">
        <v>47</v>
      </c>
      <c r="AC219" t="s">
        <v>47</v>
      </c>
      <c r="AD219" t="s">
        <v>47</v>
      </c>
      <c r="AE219" t="s">
        <v>47</v>
      </c>
      <c r="AF219" t="s">
        <v>47</v>
      </c>
      <c r="AG219" t="s">
        <v>52</v>
      </c>
      <c r="AH219" t="s">
        <v>53</v>
      </c>
      <c r="AI219" t="s">
        <v>65</v>
      </c>
      <c r="AJ219">
        <v>2.6</v>
      </c>
      <c r="AK219" t="s">
        <v>47</v>
      </c>
      <c r="AL219" t="s">
        <v>81</v>
      </c>
      <c r="AM219" t="s">
        <v>73</v>
      </c>
      <c r="AN219">
        <v>22</v>
      </c>
      <c r="AO219" t="s">
        <v>46</v>
      </c>
    </row>
    <row r="220" spans="1:41">
      <c r="A220" t="s">
        <v>367</v>
      </c>
      <c r="B220">
        <v>2021</v>
      </c>
      <c r="C220" s="1">
        <v>44496</v>
      </c>
      <c r="D220" t="s">
        <v>58</v>
      </c>
      <c r="E220" t="s">
        <v>220</v>
      </c>
      <c r="F220">
        <v>67</v>
      </c>
      <c r="G220" t="s">
        <v>60</v>
      </c>
      <c r="H220" t="s">
        <v>45</v>
      </c>
      <c r="I220">
        <v>38</v>
      </c>
      <c r="J220">
        <v>44</v>
      </c>
      <c r="K220" t="s">
        <v>47</v>
      </c>
      <c r="L220" t="s">
        <v>47</v>
      </c>
      <c r="M220" t="s">
        <v>46</v>
      </c>
      <c r="N220" t="s">
        <v>48</v>
      </c>
      <c r="O220" t="s">
        <v>48</v>
      </c>
      <c r="P220">
        <v>28.2</v>
      </c>
      <c r="Q220" t="s">
        <v>50</v>
      </c>
      <c r="R220" t="s">
        <v>47</v>
      </c>
      <c r="S220" t="s">
        <v>47</v>
      </c>
      <c r="T220" t="s">
        <v>47</v>
      </c>
      <c r="U220" t="s">
        <v>47</v>
      </c>
      <c r="V220" t="s">
        <v>112</v>
      </c>
      <c r="W220" t="s">
        <v>47</v>
      </c>
      <c r="X220" t="s">
        <v>47</v>
      </c>
      <c r="Y220" t="s">
        <v>47</v>
      </c>
      <c r="Z220" t="s">
        <v>47</v>
      </c>
      <c r="AA220" t="s">
        <v>46</v>
      </c>
      <c r="AB220" t="s">
        <v>47</v>
      </c>
      <c r="AC220" t="s">
        <v>46</v>
      </c>
      <c r="AD220" t="s">
        <v>47</v>
      </c>
      <c r="AE220" t="s">
        <v>47</v>
      </c>
      <c r="AF220" t="s">
        <v>47</v>
      </c>
      <c r="AG220" t="s">
        <v>52</v>
      </c>
      <c r="AH220" t="s">
        <v>71</v>
      </c>
      <c r="AI220" t="s">
        <v>65</v>
      </c>
      <c r="AJ220">
        <v>0.7</v>
      </c>
      <c r="AK220" t="s">
        <v>47</v>
      </c>
      <c r="AL220" t="s">
        <v>72</v>
      </c>
      <c r="AM220" t="s">
        <v>67</v>
      </c>
      <c r="AN220">
        <v>83</v>
      </c>
      <c r="AO220" t="s">
        <v>47</v>
      </c>
    </row>
    <row r="221" spans="1:41">
      <c r="A221" t="s">
        <v>368</v>
      </c>
      <c r="B221">
        <v>2016</v>
      </c>
      <c r="C221" s="1">
        <v>42578</v>
      </c>
      <c r="D221" t="s">
        <v>58</v>
      </c>
      <c r="E221" t="s">
        <v>220</v>
      </c>
      <c r="F221">
        <v>79</v>
      </c>
      <c r="G221" t="s">
        <v>60</v>
      </c>
      <c r="H221" t="s">
        <v>70</v>
      </c>
      <c r="I221">
        <v>0</v>
      </c>
      <c r="J221">
        <v>0</v>
      </c>
      <c r="K221" t="s">
        <v>46</v>
      </c>
      <c r="L221" t="s">
        <v>47</v>
      </c>
      <c r="M221" t="s">
        <v>46</v>
      </c>
      <c r="N221" t="s">
        <v>50</v>
      </c>
      <c r="O221" t="s">
        <v>63</v>
      </c>
      <c r="P221">
        <v>27.1</v>
      </c>
      <c r="Q221" t="s">
        <v>62</v>
      </c>
      <c r="R221" t="s">
        <v>47</v>
      </c>
      <c r="S221" t="s">
        <v>47</v>
      </c>
      <c r="T221" t="s">
        <v>47</v>
      </c>
      <c r="U221" t="s">
        <v>47</v>
      </c>
      <c r="V221" t="s">
        <v>86</v>
      </c>
      <c r="W221" t="s">
        <v>46</v>
      </c>
      <c r="X221" t="s">
        <v>47</v>
      </c>
      <c r="Y221" t="s">
        <v>47</v>
      </c>
      <c r="Z221" t="s">
        <v>47</v>
      </c>
      <c r="AA221" t="s">
        <v>46</v>
      </c>
      <c r="AB221" t="s">
        <v>46</v>
      </c>
      <c r="AC221" t="s">
        <v>47</v>
      </c>
      <c r="AD221" t="s">
        <v>47</v>
      </c>
      <c r="AE221" t="s">
        <v>47</v>
      </c>
      <c r="AF221" t="s">
        <v>47</v>
      </c>
      <c r="AG221" t="s">
        <v>52</v>
      </c>
      <c r="AH221" t="s">
        <v>71</v>
      </c>
      <c r="AI221" t="s">
        <v>80</v>
      </c>
      <c r="AJ221">
        <v>4.8</v>
      </c>
      <c r="AK221" t="s">
        <v>47</v>
      </c>
      <c r="AL221" t="s">
        <v>76</v>
      </c>
      <c r="AM221" t="s">
        <v>82</v>
      </c>
      <c r="AN221">
        <v>13</v>
      </c>
      <c r="AO221" t="s">
        <v>47</v>
      </c>
    </row>
    <row r="222" spans="1:41">
      <c r="A222" t="s">
        <v>369</v>
      </c>
      <c r="B222">
        <v>2021</v>
      </c>
      <c r="C222" s="1">
        <v>44414</v>
      </c>
      <c r="D222" t="s">
        <v>95</v>
      </c>
      <c r="E222" t="s">
        <v>96</v>
      </c>
      <c r="F222">
        <v>63</v>
      </c>
      <c r="G222" t="s">
        <v>60</v>
      </c>
      <c r="H222" t="s">
        <v>61</v>
      </c>
      <c r="I222">
        <v>12</v>
      </c>
      <c r="J222">
        <v>20</v>
      </c>
      <c r="K222" t="s">
        <v>47</v>
      </c>
      <c r="L222" t="s">
        <v>47</v>
      </c>
      <c r="M222" t="s">
        <v>47</v>
      </c>
      <c r="N222" t="s">
        <v>50</v>
      </c>
      <c r="O222" t="s">
        <v>48</v>
      </c>
      <c r="P222">
        <v>24.9</v>
      </c>
      <c r="Q222" t="s">
        <v>50</v>
      </c>
      <c r="R222" t="s">
        <v>47</v>
      </c>
      <c r="S222" t="s">
        <v>47</v>
      </c>
      <c r="T222" t="s">
        <v>47</v>
      </c>
      <c r="U222" t="s">
        <v>47</v>
      </c>
      <c r="V222" t="s">
        <v>51</v>
      </c>
      <c r="W222" t="s">
        <v>47</v>
      </c>
      <c r="X222" t="s">
        <v>46</v>
      </c>
      <c r="Y222" t="s">
        <v>47</v>
      </c>
      <c r="Z222" t="s">
        <v>47</v>
      </c>
      <c r="AA222" t="s">
        <v>47</v>
      </c>
      <c r="AB222" t="s">
        <v>47</v>
      </c>
      <c r="AC222" t="s">
        <v>47</v>
      </c>
      <c r="AD222" t="s">
        <v>47</v>
      </c>
      <c r="AE222" t="s">
        <v>47</v>
      </c>
      <c r="AF222" t="s">
        <v>47</v>
      </c>
      <c r="AG222" t="s">
        <v>52</v>
      </c>
      <c r="AH222" t="s">
        <v>71</v>
      </c>
      <c r="AI222" t="s">
        <v>54</v>
      </c>
      <c r="AJ222">
        <v>6.9</v>
      </c>
      <c r="AK222" t="s">
        <v>46</v>
      </c>
      <c r="AL222" t="s">
        <v>66</v>
      </c>
      <c r="AM222" t="s">
        <v>77</v>
      </c>
      <c r="AN222">
        <v>10</v>
      </c>
      <c r="AO222" t="s">
        <v>47</v>
      </c>
    </row>
    <row r="223" spans="1:41">
      <c r="A223" t="s">
        <v>370</v>
      </c>
      <c r="B223">
        <v>2024</v>
      </c>
      <c r="C223" s="1">
        <v>45513</v>
      </c>
      <c r="D223" t="s">
        <v>98</v>
      </c>
      <c r="E223" t="s">
        <v>212</v>
      </c>
      <c r="F223">
        <v>73</v>
      </c>
      <c r="G223" t="s">
        <v>60</v>
      </c>
      <c r="H223" t="s">
        <v>45</v>
      </c>
      <c r="I223">
        <v>29</v>
      </c>
      <c r="J223">
        <v>34</v>
      </c>
      <c r="K223" t="s">
        <v>46</v>
      </c>
      <c r="L223" t="s">
        <v>47</v>
      </c>
      <c r="M223" t="s">
        <v>47</v>
      </c>
      <c r="N223" t="s">
        <v>48</v>
      </c>
      <c r="O223" t="s">
        <v>49</v>
      </c>
      <c r="P223">
        <v>31.1</v>
      </c>
      <c r="Q223" t="s">
        <v>50</v>
      </c>
      <c r="R223" t="s">
        <v>47</v>
      </c>
      <c r="S223" t="s">
        <v>47</v>
      </c>
      <c r="T223" t="s">
        <v>47</v>
      </c>
      <c r="U223" t="s">
        <v>47</v>
      </c>
      <c r="V223" t="s">
        <v>151</v>
      </c>
      <c r="W223" t="s">
        <v>46</v>
      </c>
      <c r="X223" t="s">
        <v>46</v>
      </c>
      <c r="Y223" t="s">
        <v>47</v>
      </c>
      <c r="Z223" t="s">
        <v>47</v>
      </c>
      <c r="AA223" t="s">
        <v>46</v>
      </c>
      <c r="AB223" t="s">
        <v>46</v>
      </c>
      <c r="AC223" t="s">
        <v>46</v>
      </c>
      <c r="AD223" t="s">
        <v>47</v>
      </c>
      <c r="AE223" t="s">
        <v>47</v>
      </c>
      <c r="AF223" t="s">
        <v>47</v>
      </c>
      <c r="AG223" t="s">
        <v>52</v>
      </c>
      <c r="AH223" t="s">
        <v>53</v>
      </c>
      <c r="AI223" t="s">
        <v>87</v>
      </c>
      <c r="AJ223">
        <v>4.0999999999999996</v>
      </c>
      <c r="AK223" t="s">
        <v>47</v>
      </c>
      <c r="AL223" t="s">
        <v>66</v>
      </c>
      <c r="AM223" t="s">
        <v>73</v>
      </c>
      <c r="AN223">
        <v>17</v>
      </c>
      <c r="AO223" t="s">
        <v>47</v>
      </c>
    </row>
    <row r="224" spans="1:41">
      <c r="A224" t="s">
        <v>371</v>
      </c>
      <c r="B224">
        <v>2018</v>
      </c>
      <c r="C224" s="1">
        <v>43413</v>
      </c>
      <c r="D224" t="s">
        <v>95</v>
      </c>
      <c r="E224" t="s">
        <v>147</v>
      </c>
      <c r="F224">
        <v>67</v>
      </c>
      <c r="G224" t="s">
        <v>44</v>
      </c>
      <c r="H224" t="s">
        <v>45</v>
      </c>
      <c r="I224">
        <v>7</v>
      </c>
      <c r="J224">
        <v>23</v>
      </c>
      <c r="K224" t="s">
        <v>47</v>
      </c>
      <c r="L224" t="s">
        <v>47</v>
      </c>
      <c r="M224" t="s">
        <v>47</v>
      </c>
      <c r="N224" t="s">
        <v>48</v>
      </c>
      <c r="O224" t="s">
        <v>48</v>
      </c>
      <c r="P224">
        <v>27.3</v>
      </c>
      <c r="Q224" t="s">
        <v>48</v>
      </c>
      <c r="R224" t="s">
        <v>47</v>
      </c>
      <c r="S224" t="s">
        <v>47</v>
      </c>
      <c r="T224" t="s">
        <v>47</v>
      </c>
      <c r="U224" t="s">
        <v>47</v>
      </c>
      <c r="V224" t="s">
        <v>128</v>
      </c>
      <c r="W224" t="s">
        <v>46</v>
      </c>
      <c r="X224" t="s">
        <v>46</v>
      </c>
      <c r="Y224" t="s">
        <v>46</v>
      </c>
      <c r="Z224" t="s">
        <v>46</v>
      </c>
      <c r="AA224" t="s">
        <v>46</v>
      </c>
      <c r="AB224" t="s">
        <v>46</v>
      </c>
      <c r="AC224" t="s">
        <v>46</v>
      </c>
      <c r="AD224" t="s">
        <v>47</v>
      </c>
      <c r="AE224" t="s">
        <v>47</v>
      </c>
      <c r="AF224" t="s">
        <v>47</v>
      </c>
      <c r="AG224" t="s">
        <v>52</v>
      </c>
      <c r="AH224" t="s">
        <v>53</v>
      </c>
      <c r="AI224" t="s">
        <v>65</v>
      </c>
      <c r="AJ224">
        <v>2.4</v>
      </c>
      <c r="AK224" t="s">
        <v>47</v>
      </c>
      <c r="AL224" t="s">
        <v>66</v>
      </c>
      <c r="AM224" t="s">
        <v>103</v>
      </c>
      <c r="AN224">
        <v>49</v>
      </c>
      <c r="AO224" t="s">
        <v>46</v>
      </c>
    </row>
    <row r="225" spans="1:41">
      <c r="A225" t="s">
        <v>372</v>
      </c>
      <c r="B225">
        <v>2018</v>
      </c>
      <c r="C225" s="1">
        <v>43333</v>
      </c>
      <c r="D225" t="s">
        <v>98</v>
      </c>
      <c r="E225" t="s">
        <v>212</v>
      </c>
      <c r="F225">
        <v>55</v>
      </c>
      <c r="G225" t="s">
        <v>60</v>
      </c>
      <c r="H225" t="s">
        <v>70</v>
      </c>
      <c r="I225">
        <v>0</v>
      </c>
      <c r="J225">
        <v>0</v>
      </c>
      <c r="K225" t="s">
        <v>46</v>
      </c>
      <c r="L225" t="s">
        <v>46</v>
      </c>
      <c r="M225" t="s">
        <v>46</v>
      </c>
      <c r="N225" t="s">
        <v>48</v>
      </c>
      <c r="O225" t="s">
        <v>49</v>
      </c>
      <c r="P225">
        <v>25.1</v>
      </c>
      <c r="Q225" t="s">
        <v>62</v>
      </c>
      <c r="R225" t="s">
        <v>47</v>
      </c>
      <c r="S225" t="s">
        <v>47</v>
      </c>
      <c r="T225" t="s">
        <v>47</v>
      </c>
      <c r="U225" t="s">
        <v>46</v>
      </c>
      <c r="V225" t="s">
        <v>51</v>
      </c>
      <c r="W225" t="s">
        <v>47</v>
      </c>
      <c r="X225" t="s">
        <v>46</v>
      </c>
      <c r="Y225" t="s">
        <v>46</v>
      </c>
      <c r="Z225" t="s">
        <v>47</v>
      </c>
      <c r="AA225" t="s">
        <v>46</v>
      </c>
      <c r="AB225" t="s">
        <v>46</v>
      </c>
      <c r="AC225" t="s">
        <v>47</v>
      </c>
      <c r="AD225" t="s">
        <v>47</v>
      </c>
      <c r="AE225" t="s">
        <v>47</v>
      </c>
      <c r="AF225" t="s">
        <v>46</v>
      </c>
      <c r="AG225" t="s">
        <v>52</v>
      </c>
      <c r="AH225" t="s">
        <v>53</v>
      </c>
      <c r="AI225" t="s">
        <v>65</v>
      </c>
      <c r="AJ225">
        <v>3.2</v>
      </c>
      <c r="AK225" t="s">
        <v>47</v>
      </c>
      <c r="AL225" t="s">
        <v>156</v>
      </c>
      <c r="AM225" t="s">
        <v>73</v>
      </c>
      <c r="AN225">
        <v>37</v>
      </c>
      <c r="AO225" t="s">
        <v>47</v>
      </c>
    </row>
    <row r="226" spans="1:41">
      <c r="A226" t="s">
        <v>373</v>
      </c>
      <c r="B226">
        <v>2025</v>
      </c>
      <c r="C226" s="1">
        <v>45792</v>
      </c>
      <c r="D226" t="s">
        <v>42</v>
      </c>
      <c r="E226" t="s">
        <v>69</v>
      </c>
      <c r="F226">
        <v>58</v>
      </c>
      <c r="G226" t="s">
        <v>60</v>
      </c>
      <c r="H226" t="s">
        <v>70</v>
      </c>
      <c r="I226">
        <v>0</v>
      </c>
      <c r="J226">
        <v>0</v>
      </c>
      <c r="K226" t="s">
        <v>46</v>
      </c>
      <c r="L226" t="s">
        <v>46</v>
      </c>
      <c r="M226" t="s">
        <v>47</v>
      </c>
      <c r="N226" t="s">
        <v>48</v>
      </c>
      <c r="O226" t="s">
        <v>48</v>
      </c>
      <c r="P226">
        <v>20.100000000000001</v>
      </c>
      <c r="Q226" t="s">
        <v>50</v>
      </c>
      <c r="R226" t="s">
        <v>47</v>
      </c>
      <c r="S226" t="s">
        <v>47</v>
      </c>
      <c r="T226" t="s">
        <v>47</v>
      </c>
      <c r="U226" t="s">
        <v>47</v>
      </c>
      <c r="V226" t="s">
        <v>51</v>
      </c>
      <c r="W226" t="s">
        <v>47</v>
      </c>
      <c r="X226" t="s">
        <v>46</v>
      </c>
      <c r="Y226" t="s">
        <v>46</v>
      </c>
      <c r="Z226" t="s">
        <v>47</v>
      </c>
      <c r="AA226" t="s">
        <v>47</v>
      </c>
      <c r="AB226" t="s">
        <v>47</v>
      </c>
      <c r="AC226" t="s">
        <v>47</v>
      </c>
      <c r="AD226" t="s">
        <v>46</v>
      </c>
      <c r="AE226" t="s">
        <v>47</v>
      </c>
      <c r="AF226" t="s">
        <v>47</v>
      </c>
      <c r="AG226" t="s">
        <v>52</v>
      </c>
      <c r="AH226" t="s">
        <v>71</v>
      </c>
      <c r="AI226" t="s">
        <v>65</v>
      </c>
      <c r="AJ226">
        <v>2.1</v>
      </c>
      <c r="AK226" t="s">
        <v>47</v>
      </c>
      <c r="AL226" t="s">
        <v>76</v>
      </c>
      <c r="AM226" t="s">
        <v>82</v>
      </c>
      <c r="AN226">
        <v>60</v>
      </c>
      <c r="AO226" t="s">
        <v>46</v>
      </c>
    </row>
    <row r="227" spans="1:41">
      <c r="A227" t="s">
        <v>374</v>
      </c>
      <c r="B227">
        <v>2020</v>
      </c>
      <c r="C227" s="1">
        <v>44175</v>
      </c>
      <c r="D227" t="s">
        <v>110</v>
      </c>
      <c r="E227" t="s">
        <v>236</v>
      </c>
      <c r="F227">
        <v>70</v>
      </c>
      <c r="G227" t="s">
        <v>60</v>
      </c>
      <c r="H227" t="s">
        <v>45</v>
      </c>
      <c r="I227">
        <v>26</v>
      </c>
      <c r="J227">
        <v>35</v>
      </c>
      <c r="K227" t="s">
        <v>47</v>
      </c>
      <c r="L227" t="s">
        <v>47</v>
      </c>
      <c r="M227" t="s">
        <v>47</v>
      </c>
      <c r="N227" t="s">
        <v>48</v>
      </c>
      <c r="O227" t="s">
        <v>63</v>
      </c>
      <c r="P227">
        <v>22.2</v>
      </c>
      <c r="Q227" t="s">
        <v>62</v>
      </c>
      <c r="R227" t="s">
        <v>47</v>
      </c>
      <c r="S227" t="s">
        <v>47</v>
      </c>
      <c r="T227" t="s">
        <v>47</v>
      </c>
      <c r="U227" t="s">
        <v>47</v>
      </c>
      <c r="V227" t="s">
        <v>92</v>
      </c>
      <c r="W227" t="s">
        <v>46</v>
      </c>
      <c r="X227" t="s">
        <v>46</v>
      </c>
      <c r="Y227" t="s">
        <v>46</v>
      </c>
      <c r="Z227" t="s">
        <v>47</v>
      </c>
      <c r="AA227" t="s">
        <v>47</v>
      </c>
      <c r="AB227" t="s">
        <v>47</v>
      </c>
      <c r="AC227" t="s">
        <v>47</v>
      </c>
      <c r="AD227" t="s">
        <v>47</v>
      </c>
      <c r="AE227" t="s">
        <v>46</v>
      </c>
      <c r="AF227" t="s">
        <v>47</v>
      </c>
      <c r="AG227" t="s">
        <v>121</v>
      </c>
      <c r="AH227" t="s">
        <v>122</v>
      </c>
      <c r="AI227" t="s">
        <v>80</v>
      </c>
      <c r="AJ227">
        <v>7</v>
      </c>
      <c r="AK227" t="s">
        <v>47</v>
      </c>
      <c r="AL227" t="s">
        <v>100</v>
      </c>
      <c r="AM227" t="s">
        <v>77</v>
      </c>
      <c r="AN227">
        <v>17</v>
      </c>
      <c r="AO227" t="s">
        <v>47</v>
      </c>
    </row>
    <row r="228" spans="1:41">
      <c r="A228" t="s">
        <v>375</v>
      </c>
      <c r="B228">
        <v>2023</v>
      </c>
      <c r="C228" s="1">
        <v>45057</v>
      </c>
      <c r="D228" t="s">
        <v>42</v>
      </c>
      <c r="E228" t="s">
        <v>136</v>
      </c>
      <c r="F228">
        <v>61</v>
      </c>
      <c r="G228" t="s">
        <v>44</v>
      </c>
      <c r="H228" t="s">
        <v>70</v>
      </c>
      <c r="I228">
        <v>0</v>
      </c>
      <c r="J228">
        <v>0</v>
      </c>
      <c r="K228" t="s">
        <v>46</v>
      </c>
      <c r="L228" t="s">
        <v>47</v>
      </c>
      <c r="M228" t="s">
        <v>46</v>
      </c>
      <c r="N228" t="s">
        <v>62</v>
      </c>
      <c r="O228" t="s">
        <v>49</v>
      </c>
      <c r="P228">
        <v>16.5</v>
      </c>
      <c r="Q228" t="s">
        <v>48</v>
      </c>
      <c r="R228" t="s">
        <v>47</v>
      </c>
      <c r="S228" t="s">
        <v>47</v>
      </c>
      <c r="T228" t="s">
        <v>47</v>
      </c>
      <c r="U228" t="s">
        <v>46</v>
      </c>
      <c r="V228" t="s">
        <v>193</v>
      </c>
      <c r="W228" t="s">
        <v>47</v>
      </c>
      <c r="X228" t="s">
        <v>47</v>
      </c>
      <c r="Y228" t="s">
        <v>46</v>
      </c>
      <c r="Z228" t="s">
        <v>47</v>
      </c>
      <c r="AA228" t="s">
        <v>47</v>
      </c>
      <c r="AB228" t="s">
        <v>47</v>
      </c>
      <c r="AC228" t="s">
        <v>47</v>
      </c>
      <c r="AD228" t="s">
        <v>47</v>
      </c>
      <c r="AE228" t="s">
        <v>47</v>
      </c>
      <c r="AF228" t="s">
        <v>47</v>
      </c>
      <c r="AG228" t="s">
        <v>52</v>
      </c>
      <c r="AH228" t="s">
        <v>53</v>
      </c>
      <c r="AI228" t="s">
        <v>87</v>
      </c>
      <c r="AJ228">
        <v>3.5</v>
      </c>
      <c r="AK228" t="s">
        <v>47</v>
      </c>
      <c r="AL228" t="s">
        <v>100</v>
      </c>
      <c r="AM228" t="s">
        <v>67</v>
      </c>
      <c r="AN228">
        <v>45</v>
      </c>
      <c r="AO228" t="s">
        <v>46</v>
      </c>
    </row>
    <row r="229" spans="1:41">
      <c r="A229" t="s">
        <v>376</v>
      </c>
      <c r="B229">
        <v>2017</v>
      </c>
      <c r="C229" s="1">
        <v>42981</v>
      </c>
      <c r="D229" t="s">
        <v>110</v>
      </c>
      <c r="E229" t="s">
        <v>294</v>
      </c>
      <c r="F229">
        <v>71</v>
      </c>
      <c r="G229" t="s">
        <v>60</v>
      </c>
      <c r="H229" t="s">
        <v>70</v>
      </c>
      <c r="I229">
        <v>0</v>
      </c>
      <c r="J229">
        <v>0</v>
      </c>
      <c r="K229" t="s">
        <v>46</v>
      </c>
      <c r="L229" t="s">
        <v>47</v>
      </c>
      <c r="M229" t="s">
        <v>47</v>
      </c>
      <c r="N229" t="s">
        <v>62</v>
      </c>
      <c r="O229" t="s">
        <v>48</v>
      </c>
      <c r="P229">
        <v>23.4</v>
      </c>
      <c r="Q229" t="s">
        <v>48</v>
      </c>
      <c r="R229" t="s">
        <v>47</v>
      </c>
      <c r="S229" t="s">
        <v>47</v>
      </c>
      <c r="T229" t="s">
        <v>46</v>
      </c>
      <c r="U229" t="s">
        <v>47</v>
      </c>
      <c r="V229" t="s">
        <v>51</v>
      </c>
      <c r="W229" t="s">
        <v>47</v>
      </c>
      <c r="X229" t="s">
        <v>47</v>
      </c>
      <c r="Y229" t="s">
        <v>47</v>
      </c>
      <c r="Z229" t="s">
        <v>47</v>
      </c>
      <c r="AA229" t="s">
        <v>46</v>
      </c>
      <c r="AB229" t="s">
        <v>47</v>
      </c>
      <c r="AC229" t="s">
        <v>47</v>
      </c>
      <c r="AD229" t="s">
        <v>47</v>
      </c>
      <c r="AE229" t="s">
        <v>47</v>
      </c>
      <c r="AF229" t="s">
        <v>47</v>
      </c>
      <c r="AG229" t="s">
        <v>52</v>
      </c>
      <c r="AH229" t="s">
        <v>53</v>
      </c>
      <c r="AI229" t="s">
        <v>80</v>
      </c>
      <c r="AJ229">
        <v>7</v>
      </c>
      <c r="AK229" t="s">
        <v>47</v>
      </c>
      <c r="AL229" t="s">
        <v>76</v>
      </c>
      <c r="AM229" t="s">
        <v>82</v>
      </c>
      <c r="AN229">
        <v>16</v>
      </c>
      <c r="AO229" t="s">
        <v>47</v>
      </c>
    </row>
    <row r="230" spans="1:41">
      <c r="A230" t="s">
        <v>377</v>
      </c>
      <c r="B230">
        <v>2016</v>
      </c>
      <c r="C230" s="1">
        <v>42437</v>
      </c>
      <c r="D230" t="s">
        <v>110</v>
      </c>
      <c r="E230" t="s">
        <v>231</v>
      </c>
      <c r="F230">
        <v>70</v>
      </c>
      <c r="G230" t="s">
        <v>44</v>
      </c>
      <c r="H230" t="s">
        <v>45</v>
      </c>
      <c r="I230">
        <v>25</v>
      </c>
      <c r="J230">
        <v>19</v>
      </c>
      <c r="K230" t="s">
        <v>47</v>
      </c>
      <c r="L230" t="s">
        <v>47</v>
      </c>
      <c r="M230" t="s">
        <v>47</v>
      </c>
      <c r="N230" t="s">
        <v>62</v>
      </c>
      <c r="O230" t="s">
        <v>49</v>
      </c>
      <c r="P230">
        <v>29.4</v>
      </c>
      <c r="Q230" t="s">
        <v>50</v>
      </c>
      <c r="R230" t="s">
        <v>47</v>
      </c>
      <c r="S230" t="s">
        <v>47</v>
      </c>
      <c r="T230" t="s">
        <v>47</v>
      </c>
      <c r="U230" t="s">
        <v>47</v>
      </c>
      <c r="V230" t="s">
        <v>151</v>
      </c>
      <c r="W230" t="s">
        <v>46</v>
      </c>
      <c r="X230" t="s">
        <v>46</v>
      </c>
      <c r="Y230" t="s">
        <v>47</v>
      </c>
      <c r="Z230" t="s">
        <v>47</v>
      </c>
      <c r="AA230" t="s">
        <v>46</v>
      </c>
      <c r="AB230" t="s">
        <v>46</v>
      </c>
      <c r="AC230" t="s">
        <v>47</v>
      </c>
      <c r="AD230" t="s">
        <v>47</v>
      </c>
      <c r="AE230" t="s">
        <v>47</v>
      </c>
      <c r="AF230" t="s">
        <v>46</v>
      </c>
      <c r="AG230" t="s">
        <v>52</v>
      </c>
      <c r="AH230" t="s">
        <v>53</v>
      </c>
      <c r="AI230" t="s">
        <v>87</v>
      </c>
      <c r="AJ230">
        <v>5.4</v>
      </c>
      <c r="AK230" t="s">
        <v>47</v>
      </c>
      <c r="AL230" t="s">
        <v>100</v>
      </c>
      <c r="AM230" t="s">
        <v>67</v>
      </c>
      <c r="AN230">
        <v>10</v>
      </c>
      <c r="AO230" t="s">
        <v>46</v>
      </c>
    </row>
    <row r="231" spans="1:41">
      <c r="A231" t="s">
        <v>378</v>
      </c>
      <c r="B231">
        <v>2018</v>
      </c>
      <c r="C231" s="1">
        <v>43439</v>
      </c>
      <c r="D231" t="s">
        <v>58</v>
      </c>
      <c r="E231" t="s">
        <v>59</v>
      </c>
      <c r="F231">
        <v>38</v>
      </c>
      <c r="G231" t="s">
        <v>44</v>
      </c>
      <c r="H231" t="s">
        <v>45</v>
      </c>
      <c r="I231">
        <v>10</v>
      </c>
      <c r="J231">
        <v>20</v>
      </c>
      <c r="K231" t="s">
        <v>47</v>
      </c>
      <c r="L231" t="s">
        <v>47</v>
      </c>
      <c r="M231" t="s">
        <v>46</v>
      </c>
      <c r="N231" t="s">
        <v>50</v>
      </c>
      <c r="O231" t="s">
        <v>63</v>
      </c>
      <c r="P231">
        <v>26.1</v>
      </c>
      <c r="Q231" t="s">
        <v>62</v>
      </c>
      <c r="R231" t="s">
        <v>46</v>
      </c>
      <c r="S231" t="s">
        <v>47</v>
      </c>
      <c r="T231" t="s">
        <v>47</v>
      </c>
      <c r="U231" t="s">
        <v>46</v>
      </c>
      <c r="V231" t="s">
        <v>64</v>
      </c>
      <c r="W231" t="s">
        <v>46</v>
      </c>
      <c r="X231" t="s">
        <v>47</v>
      </c>
      <c r="Y231" t="s">
        <v>46</v>
      </c>
      <c r="Z231" t="s">
        <v>46</v>
      </c>
      <c r="AA231" t="s">
        <v>46</v>
      </c>
      <c r="AB231" t="s">
        <v>47</v>
      </c>
      <c r="AC231" t="s">
        <v>46</v>
      </c>
      <c r="AD231" t="s">
        <v>47</v>
      </c>
      <c r="AE231" t="s">
        <v>47</v>
      </c>
      <c r="AF231" t="s">
        <v>47</v>
      </c>
      <c r="AG231" t="s">
        <v>52</v>
      </c>
      <c r="AH231" t="s">
        <v>53</v>
      </c>
      <c r="AI231" t="s">
        <v>87</v>
      </c>
      <c r="AJ231">
        <v>5</v>
      </c>
      <c r="AK231" t="s">
        <v>47</v>
      </c>
      <c r="AL231" t="s">
        <v>76</v>
      </c>
      <c r="AM231" t="s">
        <v>73</v>
      </c>
      <c r="AN231">
        <v>18</v>
      </c>
      <c r="AO231" t="s">
        <v>46</v>
      </c>
    </row>
    <row r="232" spans="1:41">
      <c r="A232" t="s">
        <v>379</v>
      </c>
      <c r="B232">
        <v>2022</v>
      </c>
      <c r="C232" s="1">
        <v>44606</v>
      </c>
      <c r="D232" t="s">
        <v>42</v>
      </c>
      <c r="E232" t="s">
        <v>79</v>
      </c>
      <c r="F232">
        <v>88</v>
      </c>
      <c r="G232" t="s">
        <v>60</v>
      </c>
      <c r="H232" t="s">
        <v>70</v>
      </c>
      <c r="I232">
        <v>0</v>
      </c>
      <c r="J232">
        <v>0</v>
      </c>
      <c r="K232" t="s">
        <v>47</v>
      </c>
      <c r="L232" t="s">
        <v>47</v>
      </c>
      <c r="M232" t="s">
        <v>47</v>
      </c>
      <c r="N232" t="s">
        <v>48</v>
      </c>
      <c r="O232" t="s">
        <v>48</v>
      </c>
      <c r="P232">
        <v>22.5</v>
      </c>
      <c r="Q232" t="s">
        <v>48</v>
      </c>
      <c r="R232" t="s">
        <v>47</v>
      </c>
      <c r="S232" t="s">
        <v>47</v>
      </c>
      <c r="T232" t="s">
        <v>47</v>
      </c>
      <c r="U232" t="s">
        <v>47</v>
      </c>
      <c r="V232" t="s">
        <v>117</v>
      </c>
      <c r="W232" t="s">
        <v>47</v>
      </c>
      <c r="X232" t="s">
        <v>47</v>
      </c>
      <c r="Y232" t="s">
        <v>47</v>
      </c>
      <c r="Z232" t="s">
        <v>47</v>
      </c>
      <c r="AA232" t="s">
        <v>46</v>
      </c>
      <c r="AB232" t="s">
        <v>47</v>
      </c>
      <c r="AC232" t="s">
        <v>47</v>
      </c>
      <c r="AD232" t="s">
        <v>47</v>
      </c>
      <c r="AE232" t="s">
        <v>47</v>
      </c>
      <c r="AF232" t="s">
        <v>47</v>
      </c>
      <c r="AG232" t="s">
        <v>52</v>
      </c>
      <c r="AH232" t="s">
        <v>53</v>
      </c>
      <c r="AI232" t="s">
        <v>54</v>
      </c>
      <c r="AJ232">
        <v>4.5999999999999996</v>
      </c>
      <c r="AK232" t="s">
        <v>46</v>
      </c>
      <c r="AL232" t="s">
        <v>81</v>
      </c>
      <c r="AM232" t="s">
        <v>82</v>
      </c>
      <c r="AN232">
        <v>4</v>
      </c>
      <c r="AO232" t="s">
        <v>47</v>
      </c>
    </row>
    <row r="233" spans="1:41">
      <c r="A233" t="s">
        <v>380</v>
      </c>
      <c r="B233">
        <v>2017</v>
      </c>
      <c r="C233" s="1">
        <v>42904</v>
      </c>
      <c r="D233" t="s">
        <v>42</v>
      </c>
      <c r="E233" t="s">
        <v>210</v>
      </c>
      <c r="F233">
        <v>41</v>
      </c>
      <c r="G233" t="s">
        <v>60</v>
      </c>
      <c r="H233" t="s">
        <v>70</v>
      </c>
      <c r="I233">
        <v>0</v>
      </c>
      <c r="J233">
        <v>0</v>
      </c>
      <c r="K233" t="s">
        <v>46</v>
      </c>
      <c r="L233" t="s">
        <v>46</v>
      </c>
      <c r="M233" t="s">
        <v>46</v>
      </c>
      <c r="N233" t="s">
        <v>62</v>
      </c>
      <c r="O233" t="s">
        <v>48</v>
      </c>
      <c r="P233">
        <v>23</v>
      </c>
      <c r="Q233" t="s">
        <v>48</v>
      </c>
      <c r="R233" t="s">
        <v>47</v>
      </c>
      <c r="S233" t="s">
        <v>46</v>
      </c>
      <c r="T233" t="s">
        <v>47</v>
      </c>
      <c r="U233" t="s">
        <v>47</v>
      </c>
      <c r="V233" t="s">
        <v>86</v>
      </c>
      <c r="W233" t="s">
        <v>46</v>
      </c>
      <c r="X233" t="s">
        <v>46</v>
      </c>
      <c r="Y233" t="s">
        <v>46</v>
      </c>
      <c r="Z233" t="s">
        <v>47</v>
      </c>
      <c r="AA233" t="s">
        <v>46</v>
      </c>
      <c r="AB233" t="s">
        <v>46</v>
      </c>
      <c r="AC233" t="s">
        <v>46</v>
      </c>
      <c r="AD233" t="s">
        <v>47</v>
      </c>
      <c r="AE233" t="s">
        <v>47</v>
      </c>
      <c r="AF233" t="s">
        <v>47</v>
      </c>
      <c r="AG233" t="s">
        <v>52</v>
      </c>
      <c r="AH233" t="s">
        <v>53</v>
      </c>
      <c r="AI233" t="s">
        <v>87</v>
      </c>
      <c r="AJ233">
        <v>4.0999999999999996</v>
      </c>
      <c r="AK233" t="s">
        <v>47</v>
      </c>
      <c r="AL233" t="s">
        <v>76</v>
      </c>
      <c r="AM233" t="s">
        <v>77</v>
      </c>
      <c r="AN233">
        <v>49</v>
      </c>
      <c r="AO233" t="s">
        <v>46</v>
      </c>
    </row>
    <row r="234" spans="1:41">
      <c r="A234" t="s">
        <v>381</v>
      </c>
      <c r="B234">
        <v>2024</v>
      </c>
      <c r="C234" s="1">
        <v>45475</v>
      </c>
      <c r="D234" t="s">
        <v>58</v>
      </c>
      <c r="E234" t="s">
        <v>59</v>
      </c>
      <c r="F234">
        <v>57</v>
      </c>
      <c r="G234" t="s">
        <v>60</v>
      </c>
      <c r="H234" t="s">
        <v>45</v>
      </c>
      <c r="I234">
        <v>17</v>
      </c>
      <c r="J234">
        <v>8</v>
      </c>
      <c r="K234" t="s">
        <v>47</v>
      </c>
      <c r="L234" t="s">
        <v>46</v>
      </c>
      <c r="M234" t="s">
        <v>47</v>
      </c>
      <c r="N234" t="s">
        <v>50</v>
      </c>
      <c r="O234" t="s">
        <v>48</v>
      </c>
      <c r="P234">
        <v>31.9</v>
      </c>
      <c r="Q234" t="s">
        <v>50</v>
      </c>
      <c r="R234" t="s">
        <v>46</v>
      </c>
      <c r="S234" t="s">
        <v>47</v>
      </c>
      <c r="T234" t="s">
        <v>47</v>
      </c>
      <c r="U234" t="s">
        <v>47</v>
      </c>
      <c r="V234" t="s">
        <v>193</v>
      </c>
      <c r="W234" t="s">
        <v>46</v>
      </c>
      <c r="X234" t="s">
        <v>46</v>
      </c>
      <c r="Y234" t="s">
        <v>47</v>
      </c>
      <c r="Z234" t="s">
        <v>46</v>
      </c>
      <c r="AA234" t="s">
        <v>47</v>
      </c>
      <c r="AB234" t="s">
        <v>47</v>
      </c>
      <c r="AC234" t="s">
        <v>46</v>
      </c>
      <c r="AD234" t="s">
        <v>46</v>
      </c>
      <c r="AE234" t="s">
        <v>47</v>
      </c>
      <c r="AF234" t="s">
        <v>47</v>
      </c>
      <c r="AG234" t="s">
        <v>52</v>
      </c>
      <c r="AH234" t="s">
        <v>53</v>
      </c>
      <c r="AI234" t="s">
        <v>80</v>
      </c>
      <c r="AJ234">
        <v>6.8</v>
      </c>
      <c r="AK234" t="s">
        <v>47</v>
      </c>
      <c r="AL234" t="s">
        <v>76</v>
      </c>
      <c r="AM234" t="s">
        <v>56</v>
      </c>
      <c r="AN234">
        <v>11</v>
      </c>
      <c r="AO234" t="s">
        <v>47</v>
      </c>
    </row>
    <row r="235" spans="1:41">
      <c r="A235" t="s">
        <v>382</v>
      </c>
      <c r="B235">
        <v>2023</v>
      </c>
      <c r="C235" s="1">
        <v>45120</v>
      </c>
      <c r="D235" t="s">
        <v>42</v>
      </c>
      <c r="E235" t="s">
        <v>154</v>
      </c>
      <c r="F235">
        <v>60</v>
      </c>
      <c r="G235" t="s">
        <v>60</v>
      </c>
      <c r="H235" t="s">
        <v>61</v>
      </c>
      <c r="I235">
        <v>12</v>
      </c>
      <c r="J235">
        <v>12</v>
      </c>
      <c r="K235" t="s">
        <v>47</v>
      </c>
      <c r="L235" t="s">
        <v>47</v>
      </c>
      <c r="M235" t="s">
        <v>47</v>
      </c>
      <c r="N235" t="s">
        <v>48</v>
      </c>
      <c r="O235" t="s">
        <v>48</v>
      </c>
      <c r="P235">
        <v>30.4</v>
      </c>
      <c r="Q235" t="s">
        <v>50</v>
      </c>
      <c r="R235" t="s">
        <v>46</v>
      </c>
      <c r="S235" t="s">
        <v>47</v>
      </c>
      <c r="T235" t="s">
        <v>47</v>
      </c>
      <c r="U235" t="s">
        <v>47</v>
      </c>
      <c r="V235" t="s">
        <v>51</v>
      </c>
      <c r="W235" t="s">
        <v>46</v>
      </c>
      <c r="X235" t="s">
        <v>47</v>
      </c>
      <c r="Y235" t="s">
        <v>46</v>
      </c>
      <c r="Z235" t="s">
        <v>47</v>
      </c>
      <c r="AA235" t="s">
        <v>46</v>
      </c>
      <c r="AB235" t="s">
        <v>46</v>
      </c>
      <c r="AC235" t="s">
        <v>47</v>
      </c>
      <c r="AD235" t="s">
        <v>47</v>
      </c>
      <c r="AE235" t="s">
        <v>47</v>
      </c>
      <c r="AF235" t="s">
        <v>47</v>
      </c>
      <c r="AG235" t="s">
        <v>52</v>
      </c>
      <c r="AH235" t="s">
        <v>71</v>
      </c>
      <c r="AI235" t="s">
        <v>80</v>
      </c>
      <c r="AJ235">
        <v>5.8</v>
      </c>
      <c r="AK235" t="s">
        <v>47</v>
      </c>
      <c r="AL235" t="s">
        <v>72</v>
      </c>
      <c r="AM235" t="s">
        <v>77</v>
      </c>
      <c r="AN235">
        <v>26</v>
      </c>
      <c r="AO235" t="s">
        <v>47</v>
      </c>
    </row>
    <row r="236" spans="1:41">
      <c r="A236" t="s">
        <v>383</v>
      </c>
      <c r="B236">
        <v>2015</v>
      </c>
      <c r="C236" s="1">
        <v>42339</v>
      </c>
      <c r="D236" t="s">
        <v>42</v>
      </c>
      <c r="E236" t="s">
        <v>154</v>
      </c>
      <c r="F236">
        <v>50</v>
      </c>
      <c r="G236" t="s">
        <v>44</v>
      </c>
      <c r="H236" t="s">
        <v>45</v>
      </c>
      <c r="I236">
        <v>44</v>
      </c>
      <c r="J236">
        <v>22</v>
      </c>
      <c r="K236" t="s">
        <v>46</v>
      </c>
      <c r="L236" t="s">
        <v>47</v>
      </c>
      <c r="M236" t="s">
        <v>47</v>
      </c>
      <c r="N236" t="s">
        <v>50</v>
      </c>
      <c r="O236" t="s">
        <v>49</v>
      </c>
      <c r="P236">
        <v>29.8</v>
      </c>
      <c r="Q236" t="s">
        <v>50</v>
      </c>
      <c r="R236" t="s">
        <v>47</v>
      </c>
      <c r="S236" t="s">
        <v>47</v>
      </c>
      <c r="T236" t="s">
        <v>47</v>
      </c>
      <c r="U236" t="s">
        <v>47</v>
      </c>
      <c r="V236" t="s">
        <v>51</v>
      </c>
      <c r="W236" t="s">
        <v>46</v>
      </c>
      <c r="X236" t="s">
        <v>46</v>
      </c>
      <c r="Y236" t="s">
        <v>47</v>
      </c>
      <c r="Z236" t="s">
        <v>47</v>
      </c>
      <c r="AA236" t="s">
        <v>46</v>
      </c>
      <c r="AB236" t="s">
        <v>47</v>
      </c>
      <c r="AC236" t="s">
        <v>46</v>
      </c>
      <c r="AD236" t="s">
        <v>47</v>
      </c>
      <c r="AE236" t="s">
        <v>46</v>
      </c>
      <c r="AF236" t="s">
        <v>47</v>
      </c>
      <c r="AG236" t="s">
        <v>52</v>
      </c>
      <c r="AH236" t="s">
        <v>90</v>
      </c>
      <c r="AI236" t="s">
        <v>65</v>
      </c>
      <c r="AJ236">
        <v>1.6</v>
      </c>
      <c r="AK236" t="s">
        <v>47</v>
      </c>
      <c r="AL236" t="s">
        <v>72</v>
      </c>
      <c r="AM236" t="s">
        <v>73</v>
      </c>
      <c r="AN236">
        <v>37</v>
      </c>
      <c r="AO236" t="s">
        <v>46</v>
      </c>
    </row>
    <row r="237" spans="1:41">
      <c r="A237" t="s">
        <v>384</v>
      </c>
      <c r="B237">
        <v>2015</v>
      </c>
      <c r="C237" s="1">
        <v>42201</v>
      </c>
      <c r="D237" t="s">
        <v>110</v>
      </c>
      <c r="E237" t="s">
        <v>177</v>
      </c>
      <c r="F237">
        <v>69</v>
      </c>
      <c r="G237" t="s">
        <v>44</v>
      </c>
      <c r="H237" t="s">
        <v>70</v>
      </c>
      <c r="I237">
        <v>0</v>
      </c>
      <c r="J237">
        <v>0</v>
      </c>
      <c r="K237" t="s">
        <v>46</v>
      </c>
      <c r="L237" t="s">
        <v>46</v>
      </c>
      <c r="M237" t="s">
        <v>47</v>
      </c>
      <c r="N237" t="s">
        <v>62</v>
      </c>
      <c r="O237" t="s">
        <v>63</v>
      </c>
      <c r="P237">
        <v>30.3</v>
      </c>
      <c r="Q237" t="s">
        <v>48</v>
      </c>
      <c r="R237" t="s">
        <v>46</v>
      </c>
      <c r="S237" t="s">
        <v>47</v>
      </c>
      <c r="T237" t="s">
        <v>47</v>
      </c>
      <c r="U237" t="s">
        <v>47</v>
      </c>
      <c r="V237" t="s">
        <v>86</v>
      </c>
      <c r="W237" t="s">
        <v>47</v>
      </c>
      <c r="X237" t="s">
        <v>47</v>
      </c>
      <c r="Y237" t="s">
        <v>47</v>
      </c>
      <c r="Z237" t="s">
        <v>47</v>
      </c>
      <c r="AA237" t="s">
        <v>47</v>
      </c>
      <c r="AB237" t="s">
        <v>47</v>
      </c>
      <c r="AC237" t="s">
        <v>47</v>
      </c>
      <c r="AD237" t="s">
        <v>47</v>
      </c>
      <c r="AE237" t="s">
        <v>47</v>
      </c>
      <c r="AF237" t="s">
        <v>47</v>
      </c>
      <c r="AG237" t="s">
        <v>121</v>
      </c>
      <c r="AH237" t="s">
        <v>122</v>
      </c>
      <c r="AI237" t="s">
        <v>80</v>
      </c>
      <c r="AJ237">
        <v>3</v>
      </c>
      <c r="AK237" t="s">
        <v>47</v>
      </c>
      <c r="AL237" t="s">
        <v>81</v>
      </c>
      <c r="AM237" t="s">
        <v>67</v>
      </c>
      <c r="AN237">
        <v>35</v>
      </c>
      <c r="AO237" t="s">
        <v>47</v>
      </c>
    </row>
    <row r="238" spans="1:41">
      <c r="A238" t="s">
        <v>385</v>
      </c>
      <c r="B238">
        <v>2022</v>
      </c>
      <c r="C238" s="1">
        <v>44722</v>
      </c>
      <c r="D238" t="s">
        <v>95</v>
      </c>
      <c r="E238" t="s">
        <v>145</v>
      </c>
      <c r="F238">
        <v>74</v>
      </c>
      <c r="G238" t="s">
        <v>60</v>
      </c>
      <c r="H238" t="s">
        <v>45</v>
      </c>
      <c r="I238">
        <v>28</v>
      </c>
      <c r="J238">
        <v>46</v>
      </c>
      <c r="K238" t="s">
        <v>46</v>
      </c>
      <c r="L238" t="s">
        <v>46</v>
      </c>
      <c r="M238" t="s">
        <v>47</v>
      </c>
      <c r="N238" t="s">
        <v>48</v>
      </c>
      <c r="O238" t="s">
        <v>49</v>
      </c>
      <c r="P238">
        <v>33</v>
      </c>
      <c r="Q238" t="s">
        <v>50</v>
      </c>
      <c r="R238" t="s">
        <v>47</v>
      </c>
      <c r="S238" t="s">
        <v>47</v>
      </c>
      <c r="T238" t="s">
        <v>47</v>
      </c>
      <c r="U238" t="s">
        <v>47</v>
      </c>
      <c r="V238" t="s">
        <v>51</v>
      </c>
      <c r="W238" t="s">
        <v>46</v>
      </c>
      <c r="X238" t="s">
        <v>46</v>
      </c>
      <c r="Y238" t="s">
        <v>46</v>
      </c>
      <c r="Z238" t="s">
        <v>46</v>
      </c>
      <c r="AA238" t="s">
        <v>47</v>
      </c>
      <c r="AB238" t="s">
        <v>47</v>
      </c>
      <c r="AC238" t="s">
        <v>46</v>
      </c>
      <c r="AD238" t="s">
        <v>47</v>
      </c>
      <c r="AE238" t="s">
        <v>47</v>
      </c>
      <c r="AF238" t="s">
        <v>47</v>
      </c>
      <c r="AG238" t="s">
        <v>52</v>
      </c>
      <c r="AH238" t="s">
        <v>71</v>
      </c>
      <c r="AI238" t="s">
        <v>87</v>
      </c>
      <c r="AJ238">
        <v>4.9000000000000004</v>
      </c>
      <c r="AK238" t="s">
        <v>47</v>
      </c>
      <c r="AL238" t="s">
        <v>81</v>
      </c>
      <c r="AM238" t="s">
        <v>67</v>
      </c>
      <c r="AN238">
        <v>9</v>
      </c>
      <c r="AO238" t="s">
        <v>46</v>
      </c>
    </row>
    <row r="239" spans="1:41">
      <c r="A239" t="s">
        <v>386</v>
      </c>
      <c r="B239">
        <v>2024</v>
      </c>
      <c r="C239" s="1">
        <v>45491</v>
      </c>
      <c r="D239" t="s">
        <v>84</v>
      </c>
      <c r="E239" t="s">
        <v>89</v>
      </c>
      <c r="F239">
        <v>59</v>
      </c>
      <c r="G239" t="s">
        <v>44</v>
      </c>
      <c r="H239" t="s">
        <v>70</v>
      </c>
      <c r="I239">
        <v>0</v>
      </c>
      <c r="J239">
        <v>0</v>
      </c>
      <c r="K239" t="s">
        <v>46</v>
      </c>
      <c r="L239" t="s">
        <v>47</v>
      </c>
      <c r="M239" t="s">
        <v>47</v>
      </c>
      <c r="N239" t="s">
        <v>62</v>
      </c>
      <c r="O239" t="s">
        <v>48</v>
      </c>
      <c r="P239">
        <v>19.600000000000001</v>
      </c>
      <c r="Q239" t="s">
        <v>48</v>
      </c>
      <c r="R239" t="s">
        <v>46</v>
      </c>
      <c r="S239" t="s">
        <v>47</v>
      </c>
      <c r="T239" t="s">
        <v>47</v>
      </c>
      <c r="U239" t="s">
        <v>47</v>
      </c>
      <c r="V239" t="s">
        <v>86</v>
      </c>
      <c r="W239" t="s">
        <v>47</v>
      </c>
      <c r="X239" t="s">
        <v>47</v>
      </c>
      <c r="Y239" t="s">
        <v>47</v>
      </c>
      <c r="Z239" t="s">
        <v>47</v>
      </c>
      <c r="AA239" t="s">
        <v>46</v>
      </c>
      <c r="AB239" t="s">
        <v>47</v>
      </c>
      <c r="AC239" t="s">
        <v>47</v>
      </c>
      <c r="AD239" t="s">
        <v>47</v>
      </c>
      <c r="AE239" t="s">
        <v>47</v>
      </c>
      <c r="AF239" t="s">
        <v>47</v>
      </c>
      <c r="AG239" t="s">
        <v>52</v>
      </c>
      <c r="AH239" t="s">
        <v>53</v>
      </c>
      <c r="AI239" t="s">
        <v>87</v>
      </c>
      <c r="AJ239">
        <v>4.5999999999999996</v>
      </c>
      <c r="AK239" t="s">
        <v>47</v>
      </c>
      <c r="AL239" t="s">
        <v>72</v>
      </c>
      <c r="AM239" t="s">
        <v>103</v>
      </c>
      <c r="AN239">
        <v>14</v>
      </c>
      <c r="AO239" t="s">
        <v>46</v>
      </c>
    </row>
    <row r="240" spans="1:41">
      <c r="A240" t="s">
        <v>387</v>
      </c>
      <c r="B240">
        <v>2021</v>
      </c>
      <c r="C240" s="1">
        <v>44477</v>
      </c>
      <c r="D240" t="s">
        <v>110</v>
      </c>
      <c r="E240" t="s">
        <v>225</v>
      </c>
      <c r="F240">
        <v>63</v>
      </c>
      <c r="G240" t="s">
        <v>60</v>
      </c>
      <c r="H240" t="s">
        <v>70</v>
      </c>
      <c r="I240">
        <v>0</v>
      </c>
      <c r="J240">
        <v>0</v>
      </c>
      <c r="K240" t="s">
        <v>46</v>
      </c>
      <c r="L240" t="s">
        <v>47</v>
      </c>
      <c r="M240" t="s">
        <v>47</v>
      </c>
      <c r="N240" t="s">
        <v>48</v>
      </c>
      <c r="O240" t="s">
        <v>48</v>
      </c>
      <c r="P240">
        <v>30</v>
      </c>
      <c r="Q240" t="s">
        <v>48</v>
      </c>
      <c r="R240" t="s">
        <v>47</v>
      </c>
      <c r="S240" t="s">
        <v>47</v>
      </c>
      <c r="T240" t="s">
        <v>47</v>
      </c>
      <c r="U240" t="s">
        <v>47</v>
      </c>
      <c r="V240" t="s">
        <v>86</v>
      </c>
      <c r="W240" t="s">
        <v>46</v>
      </c>
      <c r="X240" t="s">
        <v>46</v>
      </c>
      <c r="Y240" t="s">
        <v>46</v>
      </c>
      <c r="Z240" t="s">
        <v>47</v>
      </c>
      <c r="AA240" t="s">
        <v>46</v>
      </c>
      <c r="AB240" t="s">
        <v>47</v>
      </c>
      <c r="AC240" t="s">
        <v>47</v>
      </c>
      <c r="AD240" t="s">
        <v>47</v>
      </c>
      <c r="AE240" t="s">
        <v>47</v>
      </c>
      <c r="AF240" t="s">
        <v>47</v>
      </c>
      <c r="AG240" t="s">
        <v>52</v>
      </c>
      <c r="AH240" t="s">
        <v>53</v>
      </c>
      <c r="AI240" t="s">
        <v>87</v>
      </c>
      <c r="AJ240">
        <v>2.9</v>
      </c>
      <c r="AK240" t="s">
        <v>47</v>
      </c>
      <c r="AL240" t="s">
        <v>76</v>
      </c>
      <c r="AM240" t="s">
        <v>82</v>
      </c>
      <c r="AN240">
        <v>9</v>
      </c>
      <c r="AO240" t="s">
        <v>47</v>
      </c>
    </row>
    <row r="241" spans="1:41">
      <c r="A241" t="s">
        <v>388</v>
      </c>
      <c r="B241">
        <v>2024</v>
      </c>
      <c r="C241" s="1">
        <v>45391</v>
      </c>
      <c r="D241" t="s">
        <v>95</v>
      </c>
      <c r="E241" t="s">
        <v>145</v>
      </c>
      <c r="F241">
        <v>49</v>
      </c>
      <c r="G241" t="s">
        <v>44</v>
      </c>
      <c r="H241" t="s">
        <v>45</v>
      </c>
      <c r="I241">
        <v>31</v>
      </c>
      <c r="J241">
        <v>19</v>
      </c>
      <c r="K241" t="s">
        <v>46</v>
      </c>
      <c r="L241" t="s">
        <v>47</v>
      </c>
      <c r="M241" t="s">
        <v>47</v>
      </c>
      <c r="N241" t="s">
        <v>62</v>
      </c>
      <c r="O241" t="s">
        <v>48</v>
      </c>
      <c r="P241">
        <v>19.899999999999999</v>
      </c>
      <c r="Q241" t="s">
        <v>62</v>
      </c>
      <c r="R241" t="s">
        <v>47</v>
      </c>
      <c r="S241" t="s">
        <v>47</v>
      </c>
      <c r="T241" t="s">
        <v>47</v>
      </c>
      <c r="U241" t="s">
        <v>47</v>
      </c>
      <c r="V241" t="s">
        <v>51</v>
      </c>
      <c r="W241" t="s">
        <v>47</v>
      </c>
      <c r="X241" t="s">
        <v>46</v>
      </c>
      <c r="Y241" t="s">
        <v>46</v>
      </c>
      <c r="Z241" t="s">
        <v>46</v>
      </c>
      <c r="AA241" t="s">
        <v>47</v>
      </c>
      <c r="AB241" t="s">
        <v>47</v>
      </c>
      <c r="AC241" t="s">
        <v>47</v>
      </c>
      <c r="AD241" t="s">
        <v>47</v>
      </c>
      <c r="AE241" t="s">
        <v>47</v>
      </c>
      <c r="AF241" t="s">
        <v>47</v>
      </c>
      <c r="AG241" t="s">
        <v>52</v>
      </c>
      <c r="AH241" t="s">
        <v>71</v>
      </c>
      <c r="AI241" t="s">
        <v>65</v>
      </c>
      <c r="AJ241">
        <v>3.2</v>
      </c>
      <c r="AK241" t="s">
        <v>47</v>
      </c>
      <c r="AL241" t="s">
        <v>72</v>
      </c>
      <c r="AM241" t="s">
        <v>118</v>
      </c>
      <c r="AN241">
        <v>51</v>
      </c>
      <c r="AO241" t="s">
        <v>46</v>
      </c>
    </row>
    <row r="242" spans="1:41">
      <c r="A242" t="s">
        <v>389</v>
      </c>
      <c r="B242">
        <v>2024</v>
      </c>
      <c r="C242" s="1">
        <v>45505</v>
      </c>
      <c r="D242" t="s">
        <v>42</v>
      </c>
      <c r="E242" t="s">
        <v>79</v>
      </c>
      <c r="F242">
        <v>49</v>
      </c>
      <c r="G242" t="s">
        <v>44</v>
      </c>
      <c r="H242" t="s">
        <v>70</v>
      </c>
      <c r="I242">
        <v>0</v>
      </c>
      <c r="J242">
        <v>0</v>
      </c>
      <c r="K242" t="s">
        <v>46</v>
      </c>
      <c r="L242" t="s">
        <v>47</v>
      </c>
      <c r="M242" t="s">
        <v>47</v>
      </c>
      <c r="N242" t="s">
        <v>48</v>
      </c>
      <c r="O242" t="s">
        <v>49</v>
      </c>
      <c r="P242">
        <v>29.1</v>
      </c>
      <c r="Q242" t="s">
        <v>50</v>
      </c>
      <c r="R242" t="s">
        <v>47</v>
      </c>
      <c r="S242" t="s">
        <v>47</v>
      </c>
      <c r="T242" t="s">
        <v>47</v>
      </c>
      <c r="U242" t="s">
        <v>47</v>
      </c>
      <c r="V242" t="s">
        <v>86</v>
      </c>
      <c r="W242" t="s">
        <v>47</v>
      </c>
      <c r="X242" t="s">
        <v>47</v>
      </c>
      <c r="Y242" t="s">
        <v>47</v>
      </c>
      <c r="Z242" t="s">
        <v>47</v>
      </c>
      <c r="AA242" t="s">
        <v>46</v>
      </c>
      <c r="AB242" t="s">
        <v>46</v>
      </c>
      <c r="AC242" t="s">
        <v>47</v>
      </c>
      <c r="AD242" t="s">
        <v>47</v>
      </c>
      <c r="AE242" t="s">
        <v>47</v>
      </c>
      <c r="AF242" t="s">
        <v>47</v>
      </c>
      <c r="AG242" t="s">
        <v>52</v>
      </c>
      <c r="AH242" t="s">
        <v>71</v>
      </c>
      <c r="AI242" t="s">
        <v>65</v>
      </c>
      <c r="AJ242">
        <v>2.5</v>
      </c>
      <c r="AK242" t="s">
        <v>47</v>
      </c>
      <c r="AL242" t="s">
        <v>72</v>
      </c>
      <c r="AM242" t="s">
        <v>73</v>
      </c>
      <c r="AN242">
        <v>49</v>
      </c>
      <c r="AO242" t="s">
        <v>47</v>
      </c>
    </row>
    <row r="243" spans="1:41">
      <c r="A243" t="s">
        <v>390</v>
      </c>
      <c r="B243">
        <v>2021</v>
      </c>
      <c r="C243" s="1">
        <v>44369</v>
      </c>
      <c r="D243" t="s">
        <v>95</v>
      </c>
      <c r="E243" t="s">
        <v>145</v>
      </c>
      <c r="F243">
        <v>60</v>
      </c>
      <c r="G243" t="s">
        <v>60</v>
      </c>
      <c r="H243" t="s">
        <v>70</v>
      </c>
      <c r="I243">
        <v>0</v>
      </c>
      <c r="J243">
        <v>0</v>
      </c>
      <c r="K243" t="s">
        <v>47</v>
      </c>
      <c r="L243" t="s">
        <v>47</v>
      </c>
      <c r="M243" t="s">
        <v>47</v>
      </c>
      <c r="N243" t="s">
        <v>62</v>
      </c>
      <c r="O243" t="s">
        <v>48</v>
      </c>
      <c r="P243">
        <v>18.399999999999999</v>
      </c>
      <c r="Q243" t="s">
        <v>48</v>
      </c>
      <c r="R243" t="s">
        <v>47</v>
      </c>
      <c r="S243" t="s">
        <v>47</v>
      </c>
      <c r="T243" t="s">
        <v>47</v>
      </c>
      <c r="U243" t="s">
        <v>47</v>
      </c>
      <c r="V243" t="s">
        <v>128</v>
      </c>
      <c r="W243" t="s">
        <v>47</v>
      </c>
      <c r="X243" t="s">
        <v>47</v>
      </c>
      <c r="Y243" t="s">
        <v>46</v>
      </c>
      <c r="Z243" t="s">
        <v>47</v>
      </c>
      <c r="AA243" t="s">
        <v>46</v>
      </c>
      <c r="AB243" t="s">
        <v>47</v>
      </c>
      <c r="AC243" t="s">
        <v>47</v>
      </c>
      <c r="AD243" t="s">
        <v>47</v>
      </c>
      <c r="AE243" t="s">
        <v>47</v>
      </c>
      <c r="AF243" t="s">
        <v>47</v>
      </c>
      <c r="AG243" t="s">
        <v>52</v>
      </c>
      <c r="AH243" t="s">
        <v>53</v>
      </c>
      <c r="AI243" t="s">
        <v>87</v>
      </c>
      <c r="AJ243">
        <v>4.0999999999999996</v>
      </c>
      <c r="AK243" t="s">
        <v>47</v>
      </c>
      <c r="AL243" t="s">
        <v>76</v>
      </c>
      <c r="AM243" t="s">
        <v>82</v>
      </c>
      <c r="AN243">
        <v>60</v>
      </c>
      <c r="AO243" t="s">
        <v>46</v>
      </c>
    </row>
    <row r="244" spans="1:41">
      <c r="A244" t="s">
        <v>391</v>
      </c>
      <c r="B244">
        <v>2020</v>
      </c>
      <c r="C244" s="1">
        <v>44171</v>
      </c>
      <c r="D244" t="s">
        <v>95</v>
      </c>
      <c r="E244" t="s">
        <v>96</v>
      </c>
      <c r="F244">
        <v>60</v>
      </c>
      <c r="G244" t="s">
        <v>60</v>
      </c>
      <c r="H244" t="s">
        <v>45</v>
      </c>
      <c r="I244">
        <v>56</v>
      </c>
      <c r="J244">
        <v>16</v>
      </c>
      <c r="K244" t="s">
        <v>46</v>
      </c>
      <c r="L244" t="s">
        <v>47</v>
      </c>
      <c r="M244" t="s">
        <v>47</v>
      </c>
      <c r="N244" t="s">
        <v>48</v>
      </c>
      <c r="O244" t="s">
        <v>48</v>
      </c>
      <c r="P244">
        <v>26.4</v>
      </c>
      <c r="Q244" t="s">
        <v>62</v>
      </c>
      <c r="R244" t="s">
        <v>47</v>
      </c>
      <c r="S244" t="s">
        <v>47</v>
      </c>
      <c r="T244" t="s">
        <v>47</v>
      </c>
      <c r="U244" t="s">
        <v>47</v>
      </c>
      <c r="V244" t="s">
        <v>51</v>
      </c>
      <c r="W244" t="s">
        <v>47</v>
      </c>
      <c r="X244" t="s">
        <v>46</v>
      </c>
      <c r="Y244" t="s">
        <v>46</v>
      </c>
      <c r="Z244" t="s">
        <v>46</v>
      </c>
      <c r="AA244" t="s">
        <v>46</v>
      </c>
      <c r="AB244" t="s">
        <v>47</v>
      </c>
      <c r="AC244" t="s">
        <v>46</v>
      </c>
      <c r="AD244" t="s">
        <v>46</v>
      </c>
      <c r="AE244" t="s">
        <v>47</v>
      </c>
      <c r="AF244" t="s">
        <v>47</v>
      </c>
      <c r="AG244" t="s">
        <v>52</v>
      </c>
      <c r="AH244" t="s">
        <v>71</v>
      </c>
      <c r="AI244" t="s">
        <v>80</v>
      </c>
      <c r="AJ244">
        <v>5.2</v>
      </c>
      <c r="AK244" t="s">
        <v>47</v>
      </c>
      <c r="AL244" t="s">
        <v>76</v>
      </c>
      <c r="AM244" t="s">
        <v>56</v>
      </c>
      <c r="AN244">
        <v>10</v>
      </c>
      <c r="AO244" t="s">
        <v>47</v>
      </c>
    </row>
    <row r="245" spans="1:41">
      <c r="A245" t="s">
        <v>392</v>
      </c>
      <c r="B245">
        <v>2023</v>
      </c>
      <c r="C245" s="1">
        <v>45005</v>
      </c>
      <c r="D245" t="s">
        <v>42</v>
      </c>
      <c r="E245" t="s">
        <v>75</v>
      </c>
      <c r="F245">
        <v>70</v>
      </c>
      <c r="G245" t="s">
        <v>60</v>
      </c>
      <c r="H245" t="s">
        <v>70</v>
      </c>
      <c r="I245">
        <v>0</v>
      </c>
      <c r="J245">
        <v>0</v>
      </c>
      <c r="K245" t="s">
        <v>46</v>
      </c>
      <c r="L245" t="s">
        <v>47</v>
      </c>
      <c r="M245" t="s">
        <v>47</v>
      </c>
      <c r="N245" t="s">
        <v>62</v>
      </c>
      <c r="O245" t="s">
        <v>49</v>
      </c>
      <c r="P245">
        <v>33.799999999999997</v>
      </c>
      <c r="Q245" t="s">
        <v>48</v>
      </c>
      <c r="R245" t="s">
        <v>47</v>
      </c>
      <c r="S245" t="s">
        <v>47</v>
      </c>
      <c r="T245" t="s">
        <v>47</v>
      </c>
      <c r="U245" t="s">
        <v>47</v>
      </c>
      <c r="V245" t="s">
        <v>51</v>
      </c>
      <c r="W245" t="s">
        <v>46</v>
      </c>
      <c r="X245" t="s">
        <v>47</v>
      </c>
      <c r="Y245" t="s">
        <v>46</v>
      </c>
      <c r="Z245" t="s">
        <v>47</v>
      </c>
      <c r="AA245" t="s">
        <v>46</v>
      </c>
      <c r="AB245" t="s">
        <v>47</v>
      </c>
      <c r="AC245" t="s">
        <v>47</v>
      </c>
      <c r="AD245" t="s">
        <v>46</v>
      </c>
      <c r="AE245" t="s">
        <v>46</v>
      </c>
      <c r="AF245" t="s">
        <v>47</v>
      </c>
      <c r="AG245" t="s">
        <v>52</v>
      </c>
      <c r="AH245" t="s">
        <v>53</v>
      </c>
      <c r="AI245" t="s">
        <v>54</v>
      </c>
      <c r="AJ245">
        <v>8.6999999999999993</v>
      </c>
      <c r="AK245" t="s">
        <v>46</v>
      </c>
      <c r="AL245" t="s">
        <v>72</v>
      </c>
      <c r="AM245" t="s">
        <v>82</v>
      </c>
      <c r="AN245">
        <v>6</v>
      </c>
      <c r="AO245" t="s">
        <v>47</v>
      </c>
    </row>
    <row r="246" spans="1:41">
      <c r="A246" t="s">
        <v>393</v>
      </c>
      <c r="B246">
        <v>2021</v>
      </c>
      <c r="C246" s="1">
        <v>44209</v>
      </c>
      <c r="D246" t="s">
        <v>58</v>
      </c>
      <c r="E246" t="s">
        <v>163</v>
      </c>
      <c r="F246">
        <v>74</v>
      </c>
      <c r="G246" t="s">
        <v>44</v>
      </c>
      <c r="H246" t="s">
        <v>70</v>
      </c>
      <c r="I246">
        <v>0</v>
      </c>
      <c r="J246">
        <v>0</v>
      </c>
      <c r="K246" t="s">
        <v>46</v>
      </c>
      <c r="L246" t="s">
        <v>46</v>
      </c>
      <c r="M246" t="s">
        <v>47</v>
      </c>
      <c r="N246" t="s">
        <v>48</v>
      </c>
      <c r="O246" t="s">
        <v>49</v>
      </c>
      <c r="P246">
        <v>25.2</v>
      </c>
      <c r="Q246" t="s">
        <v>48</v>
      </c>
      <c r="R246" t="s">
        <v>47</v>
      </c>
      <c r="S246" t="s">
        <v>47</v>
      </c>
      <c r="T246" t="s">
        <v>47</v>
      </c>
      <c r="U246" t="s">
        <v>47</v>
      </c>
      <c r="V246" t="s">
        <v>64</v>
      </c>
      <c r="W246" t="s">
        <v>47</v>
      </c>
      <c r="X246" t="s">
        <v>46</v>
      </c>
      <c r="Y246" t="s">
        <v>47</v>
      </c>
      <c r="Z246" t="s">
        <v>46</v>
      </c>
      <c r="AA246" t="s">
        <v>46</v>
      </c>
      <c r="AB246" t="s">
        <v>46</v>
      </c>
      <c r="AC246" t="s">
        <v>47</v>
      </c>
      <c r="AD246" t="s">
        <v>47</v>
      </c>
      <c r="AE246" t="s">
        <v>47</v>
      </c>
      <c r="AF246" t="s">
        <v>47</v>
      </c>
      <c r="AG246" t="s">
        <v>52</v>
      </c>
      <c r="AH246" t="s">
        <v>71</v>
      </c>
      <c r="AI246" t="s">
        <v>65</v>
      </c>
      <c r="AJ246">
        <v>3.1</v>
      </c>
      <c r="AK246" t="s">
        <v>47</v>
      </c>
      <c r="AL246" t="s">
        <v>76</v>
      </c>
      <c r="AM246" t="s">
        <v>73</v>
      </c>
      <c r="AN246">
        <v>78</v>
      </c>
      <c r="AO246" t="s">
        <v>47</v>
      </c>
    </row>
    <row r="247" spans="1:41">
      <c r="A247" t="s">
        <v>394</v>
      </c>
      <c r="B247">
        <v>2019</v>
      </c>
      <c r="C247" s="1">
        <v>43760</v>
      </c>
      <c r="D247" t="s">
        <v>110</v>
      </c>
      <c r="E247" t="s">
        <v>177</v>
      </c>
      <c r="F247">
        <v>52</v>
      </c>
      <c r="G247" t="s">
        <v>60</v>
      </c>
      <c r="H247" t="s">
        <v>70</v>
      </c>
      <c r="I247">
        <v>0</v>
      </c>
      <c r="J247">
        <v>0</v>
      </c>
      <c r="K247" t="s">
        <v>47</v>
      </c>
      <c r="L247" t="s">
        <v>47</v>
      </c>
      <c r="M247" t="s">
        <v>47</v>
      </c>
      <c r="N247" t="s">
        <v>48</v>
      </c>
      <c r="O247" t="s">
        <v>49</v>
      </c>
      <c r="P247">
        <v>22</v>
      </c>
      <c r="Q247" t="s">
        <v>48</v>
      </c>
      <c r="R247" t="s">
        <v>46</v>
      </c>
      <c r="S247" t="s">
        <v>47</v>
      </c>
      <c r="T247" t="s">
        <v>47</v>
      </c>
      <c r="U247" t="s">
        <v>47</v>
      </c>
      <c r="V247" t="s">
        <v>51</v>
      </c>
      <c r="W247" t="s">
        <v>46</v>
      </c>
      <c r="X247" t="s">
        <v>47</v>
      </c>
      <c r="Y247" t="s">
        <v>47</v>
      </c>
      <c r="Z247" t="s">
        <v>47</v>
      </c>
      <c r="AA247" t="s">
        <v>47</v>
      </c>
      <c r="AB247" t="s">
        <v>47</v>
      </c>
      <c r="AC247" t="s">
        <v>47</v>
      </c>
      <c r="AD247" t="s">
        <v>47</v>
      </c>
      <c r="AE247" t="s">
        <v>47</v>
      </c>
      <c r="AF247" t="s">
        <v>47</v>
      </c>
      <c r="AG247" t="s">
        <v>52</v>
      </c>
      <c r="AH247" t="s">
        <v>90</v>
      </c>
      <c r="AI247" t="s">
        <v>54</v>
      </c>
      <c r="AJ247">
        <v>3.5</v>
      </c>
      <c r="AK247" t="s">
        <v>46</v>
      </c>
      <c r="AL247" t="s">
        <v>156</v>
      </c>
      <c r="AM247" t="s">
        <v>56</v>
      </c>
      <c r="AN247">
        <v>7</v>
      </c>
      <c r="AO247" t="s">
        <v>47</v>
      </c>
    </row>
    <row r="248" spans="1:41">
      <c r="A248" t="s">
        <v>395</v>
      </c>
      <c r="B248">
        <v>2021</v>
      </c>
      <c r="C248" s="1">
        <v>44248</v>
      </c>
      <c r="D248" t="s">
        <v>42</v>
      </c>
      <c r="E248" t="s">
        <v>79</v>
      </c>
      <c r="F248">
        <v>71</v>
      </c>
      <c r="G248" t="s">
        <v>60</v>
      </c>
      <c r="H248" t="s">
        <v>45</v>
      </c>
      <c r="I248">
        <v>15</v>
      </c>
      <c r="J248">
        <v>21</v>
      </c>
      <c r="K248" t="s">
        <v>46</v>
      </c>
      <c r="L248" t="s">
        <v>47</v>
      </c>
      <c r="M248" t="s">
        <v>47</v>
      </c>
      <c r="N248" t="s">
        <v>62</v>
      </c>
      <c r="O248" t="s">
        <v>49</v>
      </c>
      <c r="P248">
        <v>23.2</v>
      </c>
      <c r="Q248" t="s">
        <v>62</v>
      </c>
      <c r="R248" t="s">
        <v>47</v>
      </c>
      <c r="S248" t="s">
        <v>47</v>
      </c>
      <c r="T248" t="s">
        <v>47</v>
      </c>
      <c r="U248" t="s">
        <v>47</v>
      </c>
      <c r="V248" t="s">
        <v>51</v>
      </c>
      <c r="W248" t="s">
        <v>46</v>
      </c>
      <c r="X248" t="s">
        <v>46</v>
      </c>
      <c r="Y248" t="s">
        <v>46</v>
      </c>
      <c r="Z248" t="s">
        <v>47</v>
      </c>
      <c r="AA248" t="s">
        <v>47</v>
      </c>
      <c r="AB248" t="s">
        <v>46</v>
      </c>
      <c r="AC248" t="s">
        <v>46</v>
      </c>
      <c r="AD248" t="s">
        <v>47</v>
      </c>
      <c r="AE248" t="s">
        <v>47</v>
      </c>
      <c r="AF248" t="s">
        <v>47</v>
      </c>
      <c r="AG248" t="s">
        <v>52</v>
      </c>
      <c r="AH248" t="s">
        <v>71</v>
      </c>
      <c r="AI248" t="s">
        <v>80</v>
      </c>
      <c r="AJ248">
        <v>4.8</v>
      </c>
      <c r="AK248" t="s">
        <v>47</v>
      </c>
      <c r="AL248" t="s">
        <v>76</v>
      </c>
      <c r="AM248" t="s">
        <v>82</v>
      </c>
      <c r="AN248">
        <v>33</v>
      </c>
      <c r="AO248" t="s">
        <v>47</v>
      </c>
    </row>
    <row r="249" spans="1:41">
      <c r="A249" t="s">
        <v>396</v>
      </c>
      <c r="B249">
        <v>2024</v>
      </c>
      <c r="C249" s="1">
        <v>45379</v>
      </c>
      <c r="D249" t="s">
        <v>98</v>
      </c>
      <c r="E249" t="s">
        <v>202</v>
      </c>
      <c r="F249">
        <v>63</v>
      </c>
      <c r="G249" t="s">
        <v>44</v>
      </c>
      <c r="H249" t="s">
        <v>70</v>
      </c>
      <c r="I249">
        <v>0</v>
      </c>
      <c r="J249">
        <v>0</v>
      </c>
      <c r="K249" t="s">
        <v>47</v>
      </c>
      <c r="L249" t="s">
        <v>46</v>
      </c>
      <c r="M249" t="s">
        <v>47</v>
      </c>
      <c r="N249" t="s">
        <v>62</v>
      </c>
      <c r="O249" t="s">
        <v>49</v>
      </c>
      <c r="P249">
        <v>28.1</v>
      </c>
      <c r="Q249" t="s">
        <v>50</v>
      </c>
      <c r="R249" t="s">
        <v>47</v>
      </c>
      <c r="S249" t="s">
        <v>47</v>
      </c>
      <c r="T249" t="s">
        <v>47</v>
      </c>
      <c r="U249" t="s">
        <v>47</v>
      </c>
      <c r="V249" t="s">
        <v>51</v>
      </c>
      <c r="W249" t="s">
        <v>47</v>
      </c>
      <c r="X249" t="s">
        <v>47</v>
      </c>
      <c r="Y249" t="s">
        <v>47</v>
      </c>
      <c r="Z249" t="s">
        <v>47</v>
      </c>
      <c r="AA249" t="s">
        <v>46</v>
      </c>
      <c r="AB249" t="s">
        <v>47</v>
      </c>
      <c r="AC249" t="s">
        <v>47</v>
      </c>
      <c r="AD249" t="s">
        <v>47</v>
      </c>
      <c r="AE249" t="s">
        <v>47</v>
      </c>
      <c r="AF249" t="s">
        <v>47</v>
      </c>
      <c r="AG249" t="s">
        <v>52</v>
      </c>
      <c r="AH249" t="s">
        <v>53</v>
      </c>
      <c r="AI249" t="s">
        <v>65</v>
      </c>
      <c r="AJ249">
        <v>1.2</v>
      </c>
      <c r="AK249" t="s">
        <v>47</v>
      </c>
      <c r="AL249" t="s">
        <v>81</v>
      </c>
      <c r="AM249" t="s">
        <v>73</v>
      </c>
      <c r="AN249">
        <v>74</v>
      </c>
      <c r="AO249" t="s">
        <v>46</v>
      </c>
    </row>
    <row r="250" spans="1:41">
      <c r="A250" t="s">
        <v>397</v>
      </c>
      <c r="B250">
        <v>2019</v>
      </c>
      <c r="C250" s="1">
        <v>43526</v>
      </c>
      <c r="D250" t="s">
        <v>98</v>
      </c>
      <c r="E250" t="s">
        <v>196</v>
      </c>
      <c r="F250">
        <v>44</v>
      </c>
      <c r="G250" t="s">
        <v>60</v>
      </c>
      <c r="H250" t="s">
        <v>70</v>
      </c>
      <c r="I250">
        <v>0</v>
      </c>
      <c r="J250">
        <v>0</v>
      </c>
      <c r="K250" t="s">
        <v>47</v>
      </c>
      <c r="L250" t="s">
        <v>47</v>
      </c>
      <c r="M250" t="s">
        <v>47</v>
      </c>
      <c r="N250" t="s">
        <v>48</v>
      </c>
      <c r="O250" t="s">
        <v>48</v>
      </c>
      <c r="P250">
        <v>31.2</v>
      </c>
      <c r="Q250" t="s">
        <v>62</v>
      </c>
      <c r="R250" t="s">
        <v>47</v>
      </c>
      <c r="S250" t="s">
        <v>47</v>
      </c>
      <c r="T250" t="s">
        <v>47</v>
      </c>
      <c r="U250" t="s">
        <v>47</v>
      </c>
      <c r="V250" t="s">
        <v>86</v>
      </c>
      <c r="W250" t="s">
        <v>46</v>
      </c>
      <c r="X250" t="s">
        <v>47</v>
      </c>
      <c r="Y250" t="s">
        <v>47</v>
      </c>
      <c r="Z250" t="s">
        <v>46</v>
      </c>
      <c r="AA250" t="s">
        <v>47</v>
      </c>
      <c r="AB250" t="s">
        <v>47</v>
      </c>
      <c r="AC250" t="s">
        <v>47</v>
      </c>
      <c r="AD250" t="s">
        <v>47</v>
      </c>
      <c r="AE250" t="s">
        <v>47</v>
      </c>
      <c r="AF250" t="s">
        <v>47</v>
      </c>
      <c r="AG250" t="s">
        <v>52</v>
      </c>
      <c r="AH250" t="s">
        <v>53</v>
      </c>
      <c r="AI250" t="s">
        <v>65</v>
      </c>
      <c r="AJ250">
        <v>2.6</v>
      </c>
      <c r="AK250" t="s">
        <v>47</v>
      </c>
      <c r="AL250" t="s">
        <v>76</v>
      </c>
      <c r="AM250" t="s">
        <v>73</v>
      </c>
      <c r="AN250">
        <v>80</v>
      </c>
      <c r="AO250" t="s">
        <v>46</v>
      </c>
    </row>
    <row r="251" spans="1:41">
      <c r="A251" t="s">
        <v>398</v>
      </c>
      <c r="B251">
        <v>2016</v>
      </c>
      <c r="C251" s="1">
        <v>42562</v>
      </c>
      <c r="D251" t="s">
        <v>84</v>
      </c>
      <c r="E251" t="s">
        <v>126</v>
      </c>
      <c r="F251">
        <v>80</v>
      </c>
      <c r="G251" t="s">
        <v>60</v>
      </c>
      <c r="H251" t="s">
        <v>70</v>
      </c>
      <c r="I251">
        <v>0</v>
      </c>
      <c r="J251">
        <v>0</v>
      </c>
      <c r="K251" t="s">
        <v>46</v>
      </c>
      <c r="L251" t="s">
        <v>47</v>
      </c>
      <c r="M251" t="s">
        <v>47</v>
      </c>
      <c r="N251" t="s">
        <v>62</v>
      </c>
      <c r="O251" t="s">
        <v>48</v>
      </c>
      <c r="P251">
        <v>37.700000000000003</v>
      </c>
      <c r="Q251" t="s">
        <v>50</v>
      </c>
      <c r="R251" t="s">
        <v>47</v>
      </c>
      <c r="S251" t="s">
        <v>47</v>
      </c>
      <c r="T251" t="s">
        <v>47</v>
      </c>
      <c r="U251" t="s">
        <v>47</v>
      </c>
      <c r="V251" t="s">
        <v>86</v>
      </c>
      <c r="W251" t="s">
        <v>47</v>
      </c>
      <c r="X251" t="s">
        <v>46</v>
      </c>
      <c r="Y251" t="s">
        <v>47</v>
      </c>
      <c r="Z251" t="s">
        <v>47</v>
      </c>
      <c r="AA251" t="s">
        <v>47</v>
      </c>
      <c r="AB251" t="s">
        <v>46</v>
      </c>
      <c r="AC251" t="s">
        <v>46</v>
      </c>
      <c r="AD251" t="s">
        <v>47</v>
      </c>
      <c r="AE251" t="s">
        <v>47</v>
      </c>
      <c r="AF251" t="s">
        <v>46</v>
      </c>
      <c r="AG251" t="s">
        <v>52</v>
      </c>
      <c r="AH251" t="s">
        <v>53</v>
      </c>
      <c r="AI251" t="s">
        <v>87</v>
      </c>
      <c r="AJ251">
        <v>5.4</v>
      </c>
      <c r="AK251" t="s">
        <v>47</v>
      </c>
      <c r="AL251" t="s">
        <v>76</v>
      </c>
      <c r="AM251" t="s">
        <v>82</v>
      </c>
      <c r="AN251">
        <v>22</v>
      </c>
      <c r="AO251" t="s">
        <v>46</v>
      </c>
    </row>
    <row r="252" spans="1:41">
      <c r="A252" t="s">
        <v>399</v>
      </c>
      <c r="B252">
        <v>2022</v>
      </c>
      <c r="C252" s="1">
        <v>44784</v>
      </c>
      <c r="D252" t="s">
        <v>58</v>
      </c>
      <c r="E252" t="s">
        <v>138</v>
      </c>
      <c r="F252">
        <v>58</v>
      </c>
      <c r="G252" t="s">
        <v>60</v>
      </c>
      <c r="H252" t="s">
        <v>61</v>
      </c>
      <c r="I252">
        <v>19</v>
      </c>
      <c r="J252">
        <v>16</v>
      </c>
      <c r="K252" t="s">
        <v>46</v>
      </c>
      <c r="L252" t="s">
        <v>47</v>
      </c>
      <c r="M252" t="s">
        <v>46</v>
      </c>
      <c r="N252" t="s">
        <v>48</v>
      </c>
      <c r="O252" t="s">
        <v>48</v>
      </c>
      <c r="P252">
        <v>29.9</v>
      </c>
      <c r="Q252" t="s">
        <v>62</v>
      </c>
      <c r="R252" t="s">
        <v>47</v>
      </c>
      <c r="S252" t="s">
        <v>47</v>
      </c>
      <c r="T252" t="s">
        <v>47</v>
      </c>
      <c r="U252" t="s">
        <v>47</v>
      </c>
      <c r="V252" t="s">
        <v>64</v>
      </c>
      <c r="W252" t="s">
        <v>46</v>
      </c>
      <c r="X252" t="s">
        <v>47</v>
      </c>
      <c r="Y252" t="s">
        <v>47</v>
      </c>
      <c r="Z252" t="s">
        <v>46</v>
      </c>
      <c r="AA252" t="s">
        <v>47</v>
      </c>
      <c r="AB252" t="s">
        <v>47</v>
      </c>
      <c r="AC252" t="s">
        <v>47</v>
      </c>
      <c r="AD252" t="s">
        <v>47</v>
      </c>
      <c r="AE252" t="s">
        <v>47</v>
      </c>
      <c r="AF252" t="s">
        <v>46</v>
      </c>
      <c r="AG252" t="s">
        <v>52</v>
      </c>
      <c r="AH252" t="s">
        <v>53</v>
      </c>
      <c r="AI252" t="s">
        <v>80</v>
      </c>
      <c r="AJ252">
        <v>3</v>
      </c>
      <c r="AK252" t="s">
        <v>47</v>
      </c>
      <c r="AL252" t="s">
        <v>81</v>
      </c>
      <c r="AM252" t="s">
        <v>67</v>
      </c>
      <c r="AN252">
        <v>18</v>
      </c>
      <c r="AO252" t="s">
        <v>46</v>
      </c>
    </row>
    <row r="253" spans="1:41">
      <c r="A253" t="s">
        <v>400</v>
      </c>
      <c r="B253">
        <v>2017</v>
      </c>
      <c r="C253" s="1">
        <v>42925</v>
      </c>
      <c r="D253" t="s">
        <v>84</v>
      </c>
      <c r="E253" t="s">
        <v>102</v>
      </c>
      <c r="F253">
        <v>35</v>
      </c>
      <c r="G253" t="s">
        <v>60</v>
      </c>
      <c r="H253" t="s">
        <v>70</v>
      </c>
      <c r="I253">
        <v>0</v>
      </c>
      <c r="J253">
        <v>0</v>
      </c>
      <c r="K253" t="s">
        <v>46</v>
      </c>
      <c r="L253" t="s">
        <v>47</v>
      </c>
      <c r="M253" t="s">
        <v>47</v>
      </c>
      <c r="N253" t="s">
        <v>62</v>
      </c>
      <c r="O253" t="s">
        <v>63</v>
      </c>
      <c r="P253">
        <v>25.8</v>
      </c>
      <c r="Q253" t="s">
        <v>50</v>
      </c>
      <c r="R253" t="s">
        <v>47</v>
      </c>
      <c r="S253" t="s">
        <v>47</v>
      </c>
      <c r="T253" t="s">
        <v>47</v>
      </c>
      <c r="U253" t="s">
        <v>47</v>
      </c>
      <c r="V253" t="s">
        <v>86</v>
      </c>
      <c r="W253" t="s">
        <v>47</v>
      </c>
      <c r="X253" t="s">
        <v>47</v>
      </c>
      <c r="Y253" t="s">
        <v>46</v>
      </c>
      <c r="Z253" t="s">
        <v>47</v>
      </c>
      <c r="AA253" t="s">
        <v>46</v>
      </c>
      <c r="AB253" t="s">
        <v>46</v>
      </c>
      <c r="AC253" t="s">
        <v>47</v>
      </c>
      <c r="AD253" t="s">
        <v>47</v>
      </c>
      <c r="AE253" t="s">
        <v>47</v>
      </c>
      <c r="AF253" t="s">
        <v>47</v>
      </c>
      <c r="AG253" t="s">
        <v>52</v>
      </c>
      <c r="AH253" t="s">
        <v>53</v>
      </c>
      <c r="AI253" t="s">
        <v>54</v>
      </c>
      <c r="AJ253">
        <v>6.8</v>
      </c>
      <c r="AK253" t="s">
        <v>46</v>
      </c>
      <c r="AL253" t="s">
        <v>66</v>
      </c>
      <c r="AM253" t="s">
        <v>77</v>
      </c>
      <c r="AN253">
        <v>12</v>
      </c>
      <c r="AO253" t="s">
        <v>47</v>
      </c>
    </row>
    <row r="254" spans="1:41">
      <c r="A254" t="s">
        <v>401</v>
      </c>
      <c r="B254">
        <v>2025</v>
      </c>
      <c r="C254" s="1">
        <v>45804</v>
      </c>
      <c r="D254" t="s">
        <v>42</v>
      </c>
      <c r="E254" t="s">
        <v>69</v>
      </c>
      <c r="F254">
        <v>61</v>
      </c>
      <c r="G254" t="s">
        <v>60</v>
      </c>
      <c r="H254" t="s">
        <v>70</v>
      </c>
      <c r="I254">
        <v>0</v>
      </c>
      <c r="J254">
        <v>0</v>
      </c>
      <c r="K254" t="s">
        <v>46</v>
      </c>
      <c r="L254" t="s">
        <v>47</v>
      </c>
      <c r="M254" t="s">
        <v>47</v>
      </c>
      <c r="N254" t="s">
        <v>62</v>
      </c>
      <c r="O254" t="s">
        <v>49</v>
      </c>
      <c r="P254">
        <v>28.9</v>
      </c>
      <c r="Q254" t="s">
        <v>48</v>
      </c>
      <c r="R254" t="s">
        <v>47</v>
      </c>
      <c r="S254" t="s">
        <v>47</v>
      </c>
      <c r="T254" t="s">
        <v>47</v>
      </c>
      <c r="U254" t="s">
        <v>47</v>
      </c>
      <c r="V254" t="s">
        <v>117</v>
      </c>
      <c r="W254" t="s">
        <v>46</v>
      </c>
      <c r="X254" t="s">
        <v>46</v>
      </c>
      <c r="Y254" t="s">
        <v>46</v>
      </c>
      <c r="Z254" t="s">
        <v>47</v>
      </c>
      <c r="AA254" t="s">
        <v>47</v>
      </c>
      <c r="AB254" t="s">
        <v>46</v>
      </c>
      <c r="AC254" t="s">
        <v>47</v>
      </c>
      <c r="AD254" t="s">
        <v>47</v>
      </c>
      <c r="AE254" t="s">
        <v>47</v>
      </c>
      <c r="AF254" t="s">
        <v>47</v>
      </c>
      <c r="AG254" t="s">
        <v>52</v>
      </c>
      <c r="AH254" t="s">
        <v>53</v>
      </c>
      <c r="AI254" t="s">
        <v>87</v>
      </c>
      <c r="AJ254">
        <v>6.3</v>
      </c>
      <c r="AK254" t="s">
        <v>47</v>
      </c>
      <c r="AL254" t="s">
        <v>66</v>
      </c>
      <c r="AM254" t="s">
        <v>77</v>
      </c>
      <c r="AN254">
        <v>40</v>
      </c>
      <c r="AO254" t="s">
        <v>46</v>
      </c>
    </row>
    <row r="255" spans="1:41">
      <c r="A255" t="s">
        <v>402</v>
      </c>
      <c r="B255">
        <v>2022</v>
      </c>
      <c r="C255" s="1">
        <v>44774</v>
      </c>
      <c r="D255" t="s">
        <v>42</v>
      </c>
      <c r="E255" t="s">
        <v>75</v>
      </c>
      <c r="F255">
        <v>59</v>
      </c>
      <c r="G255" t="s">
        <v>60</v>
      </c>
      <c r="H255" t="s">
        <v>45</v>
      </c>
      <c r="I255">
        <v>36</v>
      </c>
      <c r="J255">
        <v>14</v>
      </c>
      <c r="K255" t="s">
        <v>47</v>
      </c>
      <c r="L255" t="s">
        <v>47</v>
      </c>
      <c r="M255" t="s">
        <v>46</v>
      </c>
      <c r="N255" t="s">
        <v>48</v>
      </c>
      <c r="O255" t="s">
        <v>49</v>
      </c>
      <c r="P255">
        <v>22</v>
      </c>
      <c r="Q255" t="s">
        <v>48</v>
      </c>
      <c r="R255" t="s">
        <v>46</v>
      </c>
      <c r="S255" t="s">
        <v>46</v>
      </c>
      <c r="T255" t="s">
        <v>47</v>
      </c>
      <c r="U255" t="s">
        <v>47</v>
      </c>
      <c r="V255" t="s">
        <v>64</v>
      </c>
      <c r="W255" t="s">
        <v>46</v>
      </c>
      <c r="X255" t="s">
        <v>46</v>
      </c>
      <c r="Y255" t="s">
        <v>47</v>
      </c>
      <c r="Z255" t="s">
        <v>47</v>
      </c>
      <c r="AA255" t="s">
        <v>46</v>
      </c>
      <c r="AB255" t="s">
        <v>47</v>
      </c>
      <c r="AC255" t="s">
        <v>46</v>
      </c>
      <c r="AD255" t="s">
        <v>46</v>
      </c>
      <c r="AE255" t="s">
        <v>47</v>
      </c>
      <c r="AF255" t="s">
        <v>47</v>
      </c>
      <c r="AG255" t="s">
        <v>52</v>
      </c>
      <c r="AH255" t="s">
        <v>53</v>
      </c>
      <c r="AI255" t="s">
        <v>80</v>
      </c>
      <c r="AJ255">
        <v>6.5</v>
      </c>
      <c r="AK255" t="s">
        <v>47</v>
      </c>
      <c r="AL255" t="s">
        <v>76</v>
      </c>
      <c r="AM255" t="s">
        <v>118</v>
      </c>
      <c r="AN255">
        <v>27</v>
      </c>
      <c r="AO255" t="s">
        <v>47</v>
      </c>
    </row>
    <row r="256" spans="1:41">
      <c r="A256" t="s">
        <v>403</v>
      </c>
      <c r="B256">
        <v>2018</v>
      </c>
      <c r="C256" s="1">
        <v>43112</v>
      </c>
      <c r="D256" t="s">
        <v>42</v>
      </c>
      <c r="E256" t="s">
        <v>160</v>
      </c>
      <c r="F256">
        <v>61</v>
      </c>
      <c r="G256" t="s">
        <v>44</v>
      </c>
      <c r="H256" t="s">
        <v>45</v>
      </c>
      <c r="I256">
        <v>22</v>
      </c>
      <c r="J256">
        <v>30</v>
      </c>
      <c r="K256" t="s">
        <v>47</v>
      </c>
      <c r="L256" t="s">
        <v>46</v>
      </c>
      <c r="M256" t="s">
        <v>47</v>
      </c>
      <c r="N256" t="s">
        <v>50</v>
      </c>
      <c r="O256" t="s">
        <v>49</v>
      </c>
      <c r="P256">
        <v>27.2</v>
      </c>
      <c r="Q256" t="s">
        <v>48</v>
      </c>
      <c r="R256" t="s">
        <v>47</v>
      </c>
      <c r="S256" t="s">
        <v>47</v>
      </c>
      <c r="T256" t="s">
        <v>47</v>
      </c>
      <c r="U256" t="s">
        <v>47</v>
      </c>
      <c r="V256" t="s">
        <v>86</v>
      </c>
      <c r="W256" t="s">
        <v>46</v>
      </c>
      <c r="X256" t="s">
        <v>46</v>
      </c>
      <c r="Y256" t="s">
        <v>47</v>
      </c>
      <c r="Z256" t="s">
        <v>46</v>
      </c>
      <c r="AA256" t="s">
        <v>47</v>
      </c>
      <c r="AB256" t="s">
        <v>46</v>
      </c>
      <c r="AC256" t="s">
        <v>46</v>
      </c>
      <c r="AD256" t="s">
        <v>47</v>
      </c>
      <c r="AE256" t="s">
        <v>46</v>
      </c>
      <c r="AF256" t="s">
        <v>47</v>
      </c>
      <c r="AG256" t="s">
        <v>52</v>
      </c>
      <c r="AH256" t="s">
        <v>53</v>
      </c>
      <c r="AI256" t="s">
        <v>80</v>
      </c>
      <c r="AJ256">
        <v>3.9</v>
      </c>
      <c r="AK256" t="s">
        <v>47</v>
      </c>
      <c r="AL256" t="s">
        <v>100</v>
      </c>
      <c r="AM256" t="s">
        <v>77</v>
      </c>
      <c r="AN256">
        <v>30</v>
      </c>
      <c r="AO256" t="s">
        <v>47</v>
      </c>
    </row>
    <row r="257" spans="1:41">
      <c r="A257" t="s">
        <v>404</v>
      </c>
      <c r="B257">
        <v>2022</v>
      </c>
      <c r="C257" s="1">
        <v>44868</v>
      </c>
      <c r="D257" t="s">
        <v>58</v>
      </c>
      <c r="E257" t="s">
        <v>150</v>
      </c>
      <c r="F257">
        <v>58</v>
      </c>
      <c r="G257" t="s">
        <v>60</v>
      </c>
      <c r="H257" t="s">
        <v>45</v>
      </c>
      <c r="I257">
        <v>18</v>
      </c>
      <c r="J257">
        <v>40</v>
      </c>
      <c r="K257" t="s">
        <v>47</v>
      </c>
      <c r="L257" t="s">
        <v>46</v>
      </c>
      <c r="M257" t="s">
        <v>47</v>
      </c>
      <c r="N257" t="s">
        <v>62</v>
      </c>
      <c r="O257" t="s">
        <v>48</v>
      </c>
      <c r="P257">
        <v>29.9</v>
      </c>
      <c r="Q257" t="s">
        <v>50</v>
      </c>
      <c r="R257" t="s">
        <v>46</v>
      </c>
      <c r="S257" t="s">
        <v>47</v>
      </c>
      <c r="T257" t="s">
        <v>47</v>
      </c>
      <c r="U257" t="s">
        <v>47</v>
      </c>
      <c r="V257" t="s">
        <v>86</v>
      </c>
      <c r="W257" t="s">
        <v>46</v>
      </c>
      <c r="X257" t="s">
        <v>47</v>
      </c>
      <c r="Y257" t="s">
        <v>47</v>
      </c>
      <c r="Z257" t="s">
        <v>47</v>
      </c>
      <c r="AA257" t="s">
        <v>47</v>
      </c>
      <c r="AB257" t="s">
        <v>46</v>
      </c>
      <c r="AC257" t="s">
        <v>46</v>
      </c>
      <c r="AD257" t="s">
        <v>47</v>
      </c>
      <c r="AE257" t="s">
        <v>47</v>
      </c>
      <c r="AF257" t="s">
        <v>47</v>
      </c>
      <c r="AG257" t="s">
        <v>52</v>
      </c>
      <c r="AH257" t="s">
        <v>71</v>
      </c>
      <c r="AI257" t="s">
        <v>80</v>
      </c>
      <c r="AJ257">
        <v>4.7</v>
      </c>
      <c r="AK257" t="s">
        <v>47</v>
      </c>
      <c r="AL257" t="s">
        <v>66</v>
      </c>
      <c r="AM257" t="s">
        <v>77</v>
      </c>
      <c r="AN257">
        <v>25</v>
      </c>
      <c r="AO257" t="s">
        <v>47</v>
      </c>
    </row>
    <row r="258" spans="1:41">
      <c r="A258" t="s">
        <v>405</v>
      </c>
      <c r="B258">
        <v>2019</v>
      </c>
      <c r="C258" s="1">
        <v>43473</v>
      </c>
      <c r="D258" t="s">
        <v>110</v>
      </c>
      <c r="E258" t="s">
        <v>236</v>
      </c>
      <c r="F258">
        <v>42</v>
      </c>
      <c r="G258" t="s">
        <v>60</v>
      </c>
      <c r="H258" t="s">
        <v>70</v>
      </c>
      <c r="I258">
        <v>0</v>
      </c>
      <c r="J258">
        <v>0</v>
      </c>
      <c r="K258" t="s">
        <v>46</v>
      </c>
      <c r="L258" t="s">
        <v>47</v>
      </c>
      <c r="M258" t="s">
        <v>47</v>
      </c>
      <c r="N258" t="s">
        <v>62</v>
      </c>
      <c r="O258" t="s">
        <v>48</v>
      </c>
      <c r="P258">
        <v>21.8</v>
      </c>
      <c r="Q258" t="s">
        <v>62</v>
      </c>
      <c r="R258" t="s">
        <v>47</v>
      </c>
      <c r="S258" t="s">
        <v>47</v>
      </c>
      <c r="T258" t="s">
        <v>47</v>
      </c>
      <c r="U258" t="s">
        <v>47</v>
      </c>
      <c r="V258" t="s">
        <v>117</v>
      </c>
      <c r="W258" t="s">
        <v>46</v>
      </c>
      <c r="X258" t="s">
        <v>46</v>
      </c>
      <c r="Y258" t="s">
        <v>47</v>
      </c>
      <c r="Z258" t="s">
        <v>47</v>
      </c>
      <c r="AA258" t="s">
        <v>46</v>
      </c>
      <c r="AB258" t="s">
        <v>46</v>
      </c>
      <c r="AC258" t="s">
        <v>47</v>
      </c>
      <c r="AD258" t="s">
        <v>46</v>
      </c>
      <c r="AE258" t="s">
        <v>47</v>
      </c>
      <c r="AF258" t="s">
        <v>47</v>
      </c>
      <c r="AG258" t="s">
        <v>52</v>
      </c>
      <c r="AH258" t="s">
        <v>53</v>
      </c>
      <c r="AI258" t="s">
        <v>65</v>
      </c>
      <c r="AJ258">
        <v>3.2</v>
      </c>
      <c r="AK258" t="s">
        <v>47</v>
      </c>
      <c r="AL258" t="s">
        <v>72</v>
      </c>
      <c r="AM258" t="s">
        <v>67</v>
      </c>
      <c r="AN258">
        <v>56</v>
      </c>
      <c r="AO258" t="s">
        <v>47</v>
      </c>
    </row>
    <row r="259" spans="1:41">
      <c r="A259" t="s">
        <v>406</v>
      </c>
      <c r="B259">
        <v>2017</v>
      </c>
      <c r="C259" s="1">
        <v>42755</v>
      </c>
      <c r="D259" t="s">
        <v>42</v>
      </c>
      <c r="E259" t="s">
        <v>166</v>
      </c>
      <c r="F259">
        <v>52</v>
      </c>
      <c r="G259" t="s">
        <v>44</v>
      </c>
      <c r="H259" t="s">
        <v>45</v>
      </c>
      <c r="I259">
        <v>19</v>
      </c>
      <c r="J259">
        <v>26</v>
      </c>
      <c r="K259" t="s">
        <v>47</v>
      </c>
      <c r="L259" t="s">
        <v>47</v>
      </c>
      <c r="M259" t="s">
        <v>47</v>
      </c>
      <c r="N259" t="s">
        <v>62</v>
      </c>
      <c r="O259" t="s">
        <v>48</v>
      </c>
      <c r="P259">
        <v>24.1</v>
      </c>
      <c r="Q259" t="s">
        <v>50</v>
      </c>
      <c r="R259" t="s">
        <v>46</v>
      </c>
      <c r="S259" t="s">
        <v>47</v>
      </c>
      <c r="T259" t="s">
        <v>46</v>
      </c>
      <c r="U259" t="s">
        <v>46</v>
      </c>
      <c r="V259" t="s">
        <v>51</v>
      </c>
      <c r="W259" t="s">
        <v>46</v>
      </c>
      <c r="X259" t="s">
        <v>46</v>
      </c>
      <c r="Y259" t="s">
        <v>47</v>
      </c>
      <c r="Z259" t="s">
        <v>47</v>
      </c>
      <c r="AA259" t="s">
        <v>46</v>
      </c>
      <c r="AB259" t="s">
        <v>46</v>
      </c>
      <c r="AC259" t="s">
        <v>47</v>
      </c>
      <c r="AD259" t="s">
        <v>47</v>
      </c>
      <c r="AE259" t="s">
        <v>46</v>
      </c>
      <c r="AF259" t="s">
        <v>47</v>
      </c>
      <c r="AG259" t="s">
        <v>121</v>
      </c>
      <c r="AH259" t="s">
        <v>122</v>
      </c>
      <c r="AI259" t="s">
        <v>87</v>
      </c>
      <c r="AJ259">
        <v>4.2</v>
      </c>
      <c r="AK259" t="s">
        <v>47</v>
      </c>
      <c r="AL259" t="s">
        <v>76</v>
      </c>
      <c r="AM259" t="s">
        <v>67</v>
      </c>
      <c r="AN259">
        <v>46</v>
      </c>
      <c r="AO259" t="s">
        <v>46</v>
      </c>
    </row>
    <row r="260" spans="1:41">
      <c r="A260" t="s">
        <v>407</v>
      </c>
      <c r="B260">
        <v>2025</v>
      </c>
      <c r="C260" s="1">
        <v>45752</v>
      </c>
      <c r="D260" t="s">
        <v>42</v>
      </c>
      <c r="E260" t="s">
        <v>210</v>
      </c>
      <c r="F260">
        <v>75</v>
      </c>
      <c r="G260" t="s">
        <v>60</v>
      </c>
      <c r="H260" t="s">
        <v>70</v>
      </c>
      <c r="I260">
        <v>0</v>
      </c>
      <c r="J260">
        <v>0</v>
      </c>
      <c r="K260" t="s">
        <v>46</v>
      </c>
      <c r="L260" t="s">
        <v>47</v>
      </c>
      <c r="M260" t="s">
        <v>47</v>
      </c>
      <c r="N260" t="s">
        <v>48</v>
      </c>
      <c r="O260" t="s">
        <v>48</v>
      </c>
      <c r="P260">
        <v>29.2</v>
      </c>
      <c r="Q260" t="s">
        <v>62</v>
      </c>
      <c r="R260" t="s">
        <v>47</v>
      </c>
      <c r="S260" t="s">
        <v>47</v>
      </c>
      <c r="T260" t="s">
        <v>47</v>
      </c>
      <c r="U260" t="s">
        <v>47</v>
      </c>
      <c r="V260" t="s">
        <v>128</v>
      </c>
      <c r="W260" t="s">
        <v>46</v>
      </c>
      <c r="X260" t="s">
        <v>47</v>
      </c>
      <c r="Y260" t="s">
        <v>47</v>
      </c>
      <c r="Z260" t="s">
        <v>47</v>
      </c>
      <c r="AA260" t="s">
        <v>46</v>
      </c>
      <c r="AB260" t="s">
        <v>47</v>
      </c>
      <c r="AC260" t="s">
        <v>46</v>
      </c>
      <c r="AD260" t="s">
        <v>46</v>
      </c>
      <c r="AE260" t="s">
        <v>47</v>
      </c>
      <c r="AF260" t="s">
        <v>46</v>
      </c>
      <c r="AG260" t="s">
        <v>52</v>
      </c>
      <c r="AH260" t="s">
        <v>53</v>
      </c>
      <c r="AI260" t="s">
        <v>65</v>
      </c>
      <c r="AJ260">
        <v>2.1</v>
      </c>
      <c r="AK260" t="s">
        <v>47</v>
      </c>
      <c r="AL260" t="s">
        <v>72</v>
      </c>
      <c r="AM260" t="s">
        <v>73</v>
      </c>
      <c r="AN260">
        <v>73</v>
      </c>
      <c r="AO260" t="s">
        <v>46</v>
      </c>
    </row>
    <row r="261" spans="1:41">
      <c r="A261" t="s">
        <v>408</v>
      </c>
      <c r="B261">
        <v>2025</v>
      </c>
      <c r="C261" s="1">
        <v>45965</v>
      </c>
      <c r="D261" t="s">
        <v>42</v>
      </c>
      <c r="E261" t="s">
        <v>154</v>
      </c>
      <c r="F261">
        <v>66</v>
      </c>
      <c r="G261" t="s">
        <v>60</v>
      </c>
      <c r="H261" t="s">
        <v>70</v>
      </c>
      <c r="I261">
        <v>0</v>
      </c>
      <c r="J261">
        <v>0</v>
      </c>
      <c r="K261" t="s">
        <v>47</v>
      </c>
      <c r="L261" t="s">
        <v>47</v>
      </c>
      <c r="M261" t="s">
        <v>47</v>
      </c>
      <c r="N261" t="s">
        <v>62</v>
      </c>
      <c r="O261" t="s">
        <v>48</v>
      </c>
      <c r="P261">
        <v>23.3</v>
      </c>
      <c r="Q261" t="s">
        <v>50</v>
      </c>
      <c r="R261" t="s">
        <v>47</v>
      </c>
      <c r="S261" t="s">
        <v>47</v>
      </c>
      <c r="T261" t="s">
        <v>47</v>
      </c>
      <c r="U261" t="s">
        <v>47</v>
      </c>
      <c r="V261" t="s">
        <v>51</v>
      </c>
      <c r="W261" t="s">
        <v>47</v>
      </c>
      <c r="X261" t="s">
        <v>47</v>
      </c>
      <c r="Y261" t="s">
        <v>47</v>
      </c>
      <c r="Z261" t="s">
        <v>47</v>
      </c>
      <c r="AA261" t="s">
        <v>46</v>
      </c>
      <c r="AB261" t="s">
        <v>47</v>
      </c>
      <c r="AC261" t="s">
        <v>47</v>
      </c>
      <c r="AD261" t="s">
        <v>46</v>
      </c>
      <c r="AE261" t="s">
        <v>47</v>
      </c>
      <c r="AF261" t="s">
        <v>47</v>
      </c>
      <c r="AG261" t="s">
        <v>52</v>
      </c>
      <c r="AH261" t="s">
        <v>53</v>
      </c>
      <c r="AI261" t="s">
        <v>80</v>
      </c>
      <c r="AJ261">
        <v>4.0999999999999996</v>
      </c>
      <c r="AK261" t="s">
        <v>47</v>
      </c>
      <c r="AL261" t="s">
        <v>66</v>
      </c>
      <c r="AM261" t="s">
        <v>56</v>
      </c>
      <c r="AN261">
        <v>24</v>
      </c>
      <c r="AO261" t="s">
        <v>47</v>
      </c>
    </row>
    <row r="262" spans="1:41">
      <c r="A262" t="s">
        <v>409</v>
      </c>
      <c r="B262">
        <v>2025</v>
      </c>
      <c r="C262" s="1">
        <v>45762</v>
      </c>
      <c r="D262" t="s">
        <v>110</v>
      </c>
      <c r="E262" t="s">
        <v>410</v>
      </c>
      <c r="F262">
        <v>55</v>
      </c>
      <c r="G262" t="s">
        <v>44</v>
      </c>
      <c r="H262" t="s">
        <v>70</v>
      </c>
      <c r="I262">
        <v>0</v>
      </c>
      <c r="J262">
        <v>0</v>
      </c>
      <c r="K262" t="s">
        <v>46</v>
      </c>
      <c r="L262" t="s">
        <v>47</v>
      </c>
      <c r="M262" t="s">
        <v>47</v>
      </c>
      <c r="N262" t="s">
        <v>62</v>
      </c>
      <c r="O262" t="s">
        <v>63</v>
      </c>
      <c r="P262">
        <v>22.7</v>
      </c>
      <c r="Q262" t="s">
        <v>50</v>
      </c>
      <c r="R262" t="s">
        <v>47</v>
      </c>
      <c r="S262" t="s">
        <v>47</v>
      </c>
      <c r="T262" t="s">
        <v>47</v>
      </c>
      <c r="U262" t="s">
        <v>47</v>
      </c>
      <c r="V262" t="s">
        <v>151</v>
      </c>
      <c r="W262" t="s">
        <v>46</v>
      </c>
      <c r="X262" t="s">
        <v>46</v>
      </c>
      <c r="Y262" t="s">
        <v>47</v>
      </c>
      <c r="Z262" t="s">
        <v>47</v>
      </c>
      <c r="AA262" t="s">
        <v>47</v>
      </c>
      <c r="AB262" t="s">
        <v>47</v>
      </c>
      <c r="AC262" t="s">
        <v>47</v>
      </c>
      <c r="AD262" t="s">
        <v>46</v>
      </c>
      <c r="AE262" t="s">
        <v>47</v>
      </c>
      <c r="AF262" t="s">
        <v>47</v>
      </c>
      <c r="AG262" t="s">
        <v>52</v>
      </c>
      <c r="AH262" t="s">
        <v>53</v>
      </c>
      <c r="AI262" t="s">
        <v>65</v>
      </c>
      <c r="AJ262">
        <v>0.9</v>
      </c>
      <c r="AK262" t="s">
        <v>47</v>
      </c>
      <c r="AL262" t="s">
        <v>76</v>
      </c>
      <c r="AM262" t="s">
        <v>73</v>
      </c>
      <c r="AN262">
        <v>68</v>
      </c>
      <c r="AO262" t="s">
        <v>46</v>
      </c>
    </row>
    <row r="263" spans="1:41">
      <c r="A263" t="s">
        <v>411</v>
      </c>
      <c r="B263">
        <v>2020</v>
      </c>
      <c r="C263" s="1">
        <v>43988</v>
      </c>
      <c r="D263" t="s">
        <v>42</v>
      </c>
      <c r="E263" t="s">
        <v>154</v>
      </c>
      <c r="F263">
        <v>79</v>
      </c>
      <c r="G263" t="s">
        <v>60</v>
      </c>
      <c r="H263" t="s">
        <v>61</v>
      </c>
      <c r="I263">
        <v>3</v>
      </c>
      <c r="J263">
        <v>24</v>
      </c>
      <c r="K263" t="s">
        <v>47</v>
      </c>
      <c r="L263" t="s">
        <v>46</v>
      </c>
      <c r="M263" t="s">
        <v>47</v>
      </c>
      <c r="N263" t="s">
        <v>62</v>
      </c>
      <c r="O263" t="s">
        <v>49</v>
      </c>
      <c r="P263">
        <v>27.8</v>
      </c>
      <c r="Q263" t="s">
        <v>62</v>
      </c>
      <c r="R263" t="s">
        <v>47</v>
      </c>
      <c r="S263" t="s">
        <v>47</v>
      </c>
      <c r="T263" t="s">
        <v>47</v>
      </c>
      <c r="U263" t="s">
        <v>47</v>
      </c>
      <c r="V263" t="s">
        <v>51</v>
      </c>
      <c r="W263" t="s">
        <v>47</v>
      </c>
      <c r="X263" t="s">
        <v>46</v>
      </c>
      <c r="Y263" t="s">
        <v>46</v>
      </c>
      <c r="Z263" t="s">
        <v>47</v>
      </c>
      <c r="AA263" t="s">
        <v>46</v>
      </c>
      <c r="AB263" t="s">
        <v>47</v>
      </c>
      <c r="AC263" t="s">
        <v>47</v>
      </c>
      <c r="AD263" t="s">
        <v>47</v>
      </c>
      <c r="AE263" t="s">
        <v>47</v>
      </c>
      <c r="AF263" t="s">
        <v>46</v>
      </c>
      <c r="AG263" t="s">
        <v>52</v>
      </c>
      <c r="AH263" t="s">
        <v>53</v>
      </c>
      <c r="AI263" t="s">
        <v>87</v>
      </c>
      <c r="AJ263">
        <v>6.6</v>
      </c>
      <c r="AK263" t="s">
        <v>47</v>
      </c>
      <c r="AL263" t="s">
        <v>156</v>
      </c>
      <c r="AM263" t="s">
        <v>67</v>
      </c>
      <c r="AN263">
        <v>22</v>
      </c>
      <c r="AO263" t="s">
        <v>47</v>
      </c>
    </row>
    <row r="264" spans="1:41">
      <c r="A264" t="s">
        <v>412</v>
      </c>
      <c r="B264">
        <v>2018</v>
      </c>
      <c r="C264" s="1">
        <v>43397</v>
      </c>
      <c r="D264" t="s">
        <v>98</v>
      </c>
      <c r="E264" t="s">
        <v>263</v>
      </c>
      <c r="F264">
        <v>69</v>
      </c>
      <c r="G264" t="s">
        <v>60</v>
      </c>
      <c r="H264" t="s">
        <v>70</v>
      </c>
      <c r="I264">
        <v>0</v>
      </c>
      <c r="J264">
        <v>0</v>
      </c>
      <c r="K264" t="s">
        <v>47</v>
      </c>
      <c r="L264" t="s">
        <v>47</v>
      </c>
      <c r="M264" t="s">
        <v>46</v>
      </c>
      <c r="N264" t="s">
        <v>48</v>
      </c>
      <c r="O264" t="s">
        <v>63</v>
      </c>
      <c r="P264">
        <v>24.9</v>
      </c>
      <c r="Q264" t="s">
        <v>62</v>
      </c>
      <c r="R264" t="s">
        <v>47</v>
      </c>
      <c r="S264" t="s">
        <v>47</v>
      </c>
      <c r="T264" t="s">
        <v>47</v>
      </c>
      <c r="U264" t="s">
        <v>47</v>
      </c>
      <c r="V264" t="s">
        <v>86</v>
      </c>
      <c r="W264" t="s">
        <v>46</v>
      </c>
      <c r="X264" t="s">
        <v>46</v>
      </c>
      <c r="Y264" t="s">
        <v>47</v>
      </c>
      <c r="Z264" t="s">
        <v>47</v>
      </c>
      <c r="AA264" t="s">
        <v>47</v>
      </c>
      <c r="AB264" t="s">
        <v>47</v>
      </c>
      <c r="AC264" t="s">
        <v>47</v>
      </c>
      <c r="AD264" t="s">
        <v>46</v>
      </c>
      <c r="AE264" t="s">
        <v>46</v>
      </c>
      <c r="AF264" t="s">
        <v>47</v>
      </c>
      <c r="AG264" t="s">
        <v>52</v>
      </c>
      <c r="AH264" t="s">
        <v>53</v>
      </c>
      <c r="AI264" t="s">
        <v>65</v>
      </c>
      <c r="AJ264">
        <v>0.5</v>
      </c>
      <c r="AK264" t="s">
        <v>47</v>
      </c>
      <c r="AL264" t="s">
        <v>72</v>
      </c>
      <c r="AM264" t="s">
        <v>73</v>
      </c>
      <c r="AN264">
        <v>70</v>
      </c>
      <c r="AO264" t="s">
        <v>46</v>
      </c>
    </row>
    <row r="265" spans="1:41">
      <c r="A265" t="s">
        <v>413</v>
      </c>
      <c r="B265">
        <v>2018</v>
      </c>
      <c r="C265" s="1">
        <v>43169</v>
      </c>
      <c r="D265" t="s">
        <v>58</v>
      </c>
      <c r="E265" t="s">
        <v>169</v>
      </c>
      <c r="F265">
        <v>71</v>
      </c>
      <c r="G265" t="s">
        <v>60</v>
      </c>
      <c r="H265" t="s">
        <v>70</v>
      </c>
      <c r="I265">
        <v>0</v>
      </c>
      <c r="J265">
        <v>0</v>
      </c>
      <c r="K265" t="s">
        <v>46</v>
      </c>
      <c r="L265" t="s">
        <v>47</v>
      </c>
      <c r="M265" t="s">
        <v>47</v>
      </c>
      <c r="N265" t="s">
        <v>48</v>
      </c>
      <c r="O265" t="s">
        <v>48</v>
      </c>
      <c r="P265">
        <v>29.7</v>
      </c>
      <c r="Q265" t="s">
        <v>48</v>
      </c>
      <c r="R265" t="s">
        <v>47</v>
      </c>
      <c r="S265" t="s">
        <v>47</v>
      </c>
      <c r="T265" t="s">
        <v>47</v>
      </c>
      <c r="U265" t="s">
        <v>47</v>
      </c>
      <c r="V265" t="s">
        <v>86</v>
      </c>
      <c r="W265" t="s">
        <v>46</v>
      </c>
      <c r="X265" t="s">
        <v>47</v>
      </c>
      <c r="Y265" t="s">
        <v>47</v>
      </c>
      <c r="Z265" t="s">
        <v>46</v>
      </c>
      <c r="AA265" t="s">
        <v>46</v>
      </c>
      <c r="AB265" t="s">
        <v>46</v>
      </c>
      <c r="AC265" t="s">
        <v>47</v>
      </c>
      <c r="AD265" t="s">
        <v>47</v>
      </c>
      <c r="AE265" t="s">
        <v>47</v>
      </c>
      <c r="AF265" t="s">
        <v>47</v>
      </c>
      <c r="AG265" t="s">
        <v>52</v>
      </c>
      <c r="AH265" t="s">
        <v>53</v>
      </c>
      <c r="AI265" t="s">
        <v>65</v>
      </c>
      <c r="AJ265">
        <v>2.5</v>
      </c>
      <c r="AK265" t="s">
        <v>47</v>
      </c>
      <c r="AL265" t="s">
        <v>81</v>
      </c>
      <c r="AM265" t="s">
        <v>118</v>
      </c>
      <c r="AN265">
        <v>25</v>
      </c>
      <c r="AO265" t="s">
        <v>46</v>
      </c>
    </row>
    <row r="266" spans="1:41">
      <c r="A266" t="s">
        <v>414</v>
      </c>
      <c r="B266">
        <v>2024</v>
      </c>
      <c r="C266" s="1">
        <v>45566</v>
      </c>
      <c r="D266" t="s">
        <v>95</v>
      </c>
      <c r="E266" t="s">
        <v>130</v>
      </c>
      <c r="F266">
        <v>76</v>
      </c>
      <c r="G266" t="s">
        <v>60</v>
      </c>
      <c r="H266" t="s">
        <v>45</v>
      </c>
      <c r="I266">
        <v>23</v>
      </c>
      <c r="J266">
        <v>33</v>
      </c>
      <c r="K266" t="s">
        <v>46</v>
      </c>
      <c r="L266" t="s">
        <v>47</v>
      </c>
      <c r="M266" t="s">
        <v>47</v>
      </c>
      <c r="N266" t="s">
        <v>50</v>
      </c>
      <c r="O266" t="s">
        <v>48</v>
      </c>
      <c r="P266">
        <v>28.8</v>
      </c>
      <c r="Q266" t="s">
        <v>48</v>
      </c>
      <c r="R266" t="s">
        <v>47</v>
      </c>
      <c r="S266" t="s">
        <v>47</v>
      </c>
      <c r="T266" t="s">
        <v>47</v>
      </c>
      <c r="U266" t="s">
        <v>47</v>
      </c>
      <c r="V266" t="s">
        <v>51</v>
      </c>
      <c r="W266" t="s">
        <v>47</v>
      </c>
      <c r="X266" t="s">
        <v>47</v>
      </c>
      <c r="Y266" t="s">
        <v>47</v>
      </c>
      <c r="Z266" t="s">
        <v>46</v>
      </c>
      <c r="AA266" t="s">
        <v>46</v>
      </c>
      <c r="AB266" t="s">
        <v>46</v>
      </c>
      <c r="AC266" t="s">
        <v>46</v>
      </c>
      <c r="AD266" t="s">
        <v>46</v>
      </c>
      <c r="AE266" t="s">
        <v>46</v>
      </c>
      <c r="AF266" t="s">
        <v>47</v>
      </c>
      <c r="AG266" t="s">
        <v>52</v>
      </c>
      <c r="AH266" t="s">
        <v>53</v>
      </c>
      <c r="AI266" t="s">
        <v>54</v>
      </c>
      <c r="AJ266">
        <v>8.5</v>
      </c>
      <c r="AK266" t="s">
        <v>46</v>
      </c>
      <c r="AL266" t="s">
        <v>76</v>
      </c>
      <c r="AM266" t="s">
        <v>56</v>
      </c>
      <c r="AN266">
        <v>9</v>
      </c>
      <c r="AO266" t="s">
        <v>47</v>
      </c>
    </row>
    <row r="267" spans="1:41">
      <c r="A267" t="s">
        <v>415</v>
      </c>
      <c r="B267">
        <v>2015</v>
      </c>
      <c r="C267" s="1">
        <v>42299</v>
      </c>
      <c r="D267" t="s">
        <v>42</v>
      </c>
      <c r="E267" t="s">
        <v>79</v>
      </c>
      <c r="F267">
        <v>60</v>
      </c>
      <c r="G267" t="s">
        <v>44</v>
      </c>
      <c r="H267" t="s">
        <v>70</v>
      </c>
      <c r="I267">
        <v>0</v>
      </c>
      <c r="J267">
        <v>0</v>
      </c>
      <c r="K267" t="s">
        <v>47</v>
      </c>
      <c r="L267" t="s">
        <v>47</v>
      </c>
      <c r="M267" t="s">
        <v>47</v>
      </c>
      <c r="N267" t="s">
        <v>50</v>
      </c>
      <c r="O267" t="s">
        <v>63</v>
      </c>
      <c r="P267">
        <v>29.5</v>
      </c>
      <c r="Q267" t="s">
        <v>50</v>
      </c>
      <c r="R267" t="s">
        <v>47</v>
      </c>
      <c r="S267" t="s">
        <v>47</v>
      </c>
      <c r="T267" t="s">
        <v>47</v>
      </c>
      <c r="U267" t="s">
        <v>47</v>
      </c>
      <c r="V267" t="s">
        <v>86</v>
      </c>
      <c r="W267" t="s">
        <v>46</v>
      </c>
      <c r="X267" t="s">
        <v>47</v>
      </c>
      <c r="Y267" t="s">
        <v>47</v>
      </c>
      <c r="Z267" t="s">
        <v>47</v>
      </c>
      <c r="AA267" t="s">
        <v>46</v>
      </c>
      <c r="AB267" t="s">
        <v>47</v>
      </c>
      <c r="AC267" t="s">
        <v>47</v>
      </c>
      <c r="AD267" t="s">
        <v>47</v>
      </c>
      <c r="AE267" t="s">
        <v>47</v>
      </c>
      <c r="AF267" t="s">
        <v>47</v>
      </c>
      <c r="AG267" t="s">
        <v>52</v>
      </c>
      <c r="AH267" t="s">
        <v>53</v>
      </c>
      <c r="AI267" t="s">
        <v>65</v>
      </c>
      <c r="AJ267">
        <v>2.4</v>
      </c>
      <c r="AK267" t="s">
        <v>47</v>
      </c>
      <c r="AL267" t="s">
        <v>72</v>
      </c>
      <c r="AM267" t="s">
        <v>73</v>
      </c>
      <c r="AN267">
        <v>34</v>
      </c>
      <c r="AO267" t="s">
        <v>46</v>
      </c>
    </row>
    <row r="268" spans="1:41">
      <c r="A268" t="s">
        <v>416</v>
      </c>
      <c r="B268">
        <v>2023</v>
      </c>
      <c r="C268" s="1">
        <v>45130</v>
      </c>
      <c r="D268" t="s">
        <v>42</v>
      </c>
      <c r="E268" t="s">
        <v>160</v>
      </c>
      <c r="F268">
        <v>68</v>
      </c>
      <c r="G268" t="s">
        <v>60</v>
      </c>
      <c r="H268" t="s">
        <v>45</v>
      </c>
      <c r="I268">
        <v>36</v>
      </c>
      <c r="J268">
        <v>28</v>
      </c>
      <c r="K268" t="s">
        <v>46</v>
      </c>
      <c r="L268" t="s">
        <v>47</v>
      </c>
      <c r="M268" t="s">
        <v>47</v>
      </c>
      <c r="N268" t="s">
        <v>62</v>
      </c>
      <c r="O268" t="s">
        <v>48</v>
      </c>
      <c r="P268">
        <v>20.9</v>
      </c>
      <c r="Q268" t="s">
        <v>48</v>
      </c>
      <c r="R268" t="s">
        <v>46</v>
      </c>
      <c r="S268" t="s">
        <v>47</v>
      </c>
      <c r="T268" t="s">
        <v>47</v>
      </c>
      <c r="U268" t="s">
        <v>47</v>
      </c>
      <c r="V268" t="s">
        <v>51</v>
      </c>
      <c r="W268" t="s">
        <v>46</v>
      </c>
      <c r="X268" t="s">
        <v>46</v>
      </c>
      <c r="Y268" t="s">
        <v>46</v>
      </c>
      <c r="Z268" t="s">
        <v>46</v>
      </c>
      <c r="AA268" t="s">
        <v>47</v>
      </c>
      <c r="AB268" t="s">
        <v>47</v>
      </c>
      <c r="AC268" t="s">
        <v>46</v>
      </c>
      <c r="AD268" t="s">
        <v>47</v>
      </c>
      <c r="AE268" t="s">
        <v>47</v>
      </c>
      <c r="AF268" t="s">
        <v>47</v>
      </c>
      <c r="AG268" t="s">
        <v>52</v>
      </c>
      <c r="AH268" t="s">
        <v>90</v>
      </c>
      <c r="AI268" t="s">
        <v>80</v>
      </c>
      <c r="AJ268">
        <v>6.6</v>
      </c>
      <c r="AK268" t="s">
        <v>47</v>
      </c>
      <c r="AL268" t="s">
        <v>55</v>
      </c>
      <c r="AM268" t="s">
        <v>56</v>
      </c>
      <c r="AN268">
        <v>10</v>
      </c>
      <c r="AO268" t="s">
        <v>47</v>
      </c>
    </row>
    <row r="269" spans="1:41">
      <c r="A269" t="s">
        <v>417</v>
      </c>
      <c r="B269">
        <v>2019</v>
      </c>
      <c r="C269" s="1">
        <v>43515</v>
      </c>
      <c r="D269" t="s">
        <v>58</v>
      </c>
      <c r="E269" t="s">
        <v>59</v>
      </c>
      <c r="F269">
        <v>53</v>
      </c>
      <c r="G269" t="s">
        <v>60</v>
      </c>
      <c r="H269" t="s">
        <v>45</v>
      </c>
      <c r="I269">
        <v>24</v>
      </c>
      <c r="J269">
        <v>25</v>
      </c>
      <c r="K269" t="s">
        <v>46</v>
      </c>
      <c r="L269" t="s">
        <v>47</v>
      </c>
      <c r="M269" t="s">
        <v>46</v>
      </c>
      <c r="N269" t="s">
        <v>50</v>
      </c>
      <c r="O269" t="s">
        <v>63</v>
      </c>
      <c r="P269">
        <v>23.1</v>
      </c>
      <c r="Q269" t="s">
        <v>48</v>
      </c>
      <c r="R269" t="s">
        <v>46</v>
      </c>
      <c r="S269" t="s">
        <v>47</v>
      </c>
      <c r="T269" t="s">
        <v>47</v>
      </c>
      <c r="U269" t="s">
        <v>47</v>
      </c>
      <c r="V269" t="s">
        <v>51</v>
      </c>
      <c r="W269" t="s">
        <v>46</v>
      </c>
      <c r="X269" t="s">
        <v>47</v>
      </c>
      <c r="Y269" t="s">
        <v>46</v>
      </c>
      <c r="Z269" t="s">
        <v>47</v>
      </c>
      <c r="AA269" t="s">
        <v>46</v>
      </c>
      <c r="AB269" t="s">
        <v>46</v>
      </c>
      <c r="AC269" t="s">
        <v>46</v>
      </c>
      <c r="AD269" t="s">
        <v>46</v>
      </c>
      <c r="AE269" t="s">
        <v>47</v>
      </c>
      <c r="AF269" t="s">
        <v>47</v>
      </c>
      <c r="AG269" t="s">
        <v>52</v>
      </c>
      <c r="AH269" t="s">
        <v>53</v>
      </c>
      <c r="AI269" t="s">
        <v>80</v>
      </c>
      <c r="AJ269">
        <v>6.4</v>
      </c>
      <c r="AK269" t="s">
        <v>47</v>
      </c>
      <c r="AL269" t="s">
        <v>72</v>
      </c>
      <c r="AM269" t="s">
        <v>56</v>
      </c>
      <c r="AN269">
        <v>28</v>
      </c>
      <c r="AO269" t="s">
        <v>47</v>
      </c>
    </row>
    <row r="270" spans="1:41">
      <c r="A270" t="s">
        <v>418</v>
      </c>
      <c r="B270">
        <v>2024</v>
      </c>
      <c r="C270" s="1">
        <v>45345</v>
      </c>
      <c r="D270" t="s">
        <v>95</v>
      </c>
      <c r="E270" t="s">
        <v>130</v>
      </c>
      <c r="F270">
        <v>49</v>
      </c>
      <c r="G270" t="s">
        <v>44</v>
      </c>
      <c r="H270" t="s">
        <v>45</v>
      </c>
      <c r="I270">
        <v>15</v>
      </c>
      <c r="J270">
        <v>19</v>
      </c>
      <c r="K270" t="s">
        <v>46</v>
      </c>
      <c r="L270" t="s">
        <v>46</v>
      </c>
      <c r="M270" t="s">
        <v>47</v>
      </c>
      <c r="N270" t="s">
        <v>62</v>
      </c>
      <c r="O270" t="s">
        <v>48</v>
      </c>
      <c r="P270">
        <v>31.9</v>
      </c>
      <c r="Q270" t="s">
        <v>48</v>
      </c>
      <c r="R270" t="s">
        <v>47</v>
      </c>
      <c r="S270" t="s">
        <v>47</v>
      </c>
      <c r="T270" t="s">
        <v>47</v>
      </c>
      <c r="U270" t="s">
        <v>47</v>
      </c>
      <c r="V270" t="s">
        <v>151</v>
      </c>
      <c r="W270" t="s">
        <v>46</v>
      </c>
      <c r="X270" t="s">
        <v>46</v>
      </c>
      <c r="Y270" t="s">
        <v>46</v>
      </c>
      <c r="Z270" t="s">
        <v>47</v>
      </c>
      <c r="AA270" t="s">
        <v>46</v>
      </c>
      <c r="AB270" t="s">
        <v>46</v>
      </c>
      <c r="AC270" t="s">
        <v>46</v>
      </c>
      <c r="AD270" t="s">
        <v>46</v>
      </c>
      <c r="AE270" t="s">
        <v>46</v>
      </c>
      <c r="AF270" t="s">
        <v>47</v>
      </c>
      <c r="AG270" t="s">
        <v>52</v>
      </c>
      <c r="AH270" t="s">
        <v>71</v>
      </c>
      <c r="AI270" t="s">
        <v>54</v>
      </c>
      <c r="AJ270">
        <v>4.2</v>
      </c>
      <c r="AK270" t="s">
        <v>46</v>
      </c>
      <c r="AL270" t="s">
        <v>66</v>
      </c>
      <c r="AM270" t="s">
        <v>82</v>
      </c>
      <c r="AN270">
        <v>1</v>
      </c>
      <c r="AO270" t="s">
        <v>47</v>
      </c>
    </row>
    <row r="271" spans="1:41">
      <c r="A271" t="s">
        <v>419</v>
      </c>
      <c r="B271">
        <v>2021</v>
      </c>
      <c r="C271" s="1">
        <v>44520</v>
      </c>
      <c r="D271" t="s">
        <v>42</v>
      </c>
      <c r="E271" t="s">
        <v>69</v>
      </c>
      <c r="F271">
        <v>55</v>
      </c>
      <c r="G271" t="s">
        <v>44</v>
      </c>
      <c r="H271" t="s">
        <v>70</v>
      </c>
      <c r="I271">
        <v>0</v>
      </c>
      <c r="J271">
        <v>0</v>
      </c>
      <c r="K271" t="s">
        <v>46</v>
      </c>
      <c r="L271" t="s">
        <v>46</v>
      </c>
      <c r="M271" t="s">
        <v>47</v>
      </c>
      <c r="N271" t="s">
        <v>48</v>
      </c>
      <c r="O271" t="s">
        <v>63</v>
      </c>
      <c r="P271">
        <v>25.8</v>
      </c>
      <c r="Q271" t="s">
        <v>48</v>
      </c>
      <c r="R271" t="s">
        <v>47</v>
      </c>
      <c r="S271" t="s">
        <v>47</v>
      </c>
      <c r="T271" t="s">
        <v>47</v>
      </c>
      <c r="U271" t="s">
        <v>47</v>
      </c>
      <c r="V271" t="s">
        <v>86</v>
      </c>
      <c r="W271" t="s">
        <v>46</v>
      </c>
      <c r="X271" t="s">
        <v>47</v>
      </c>
      <c r="Y271" t="s">
        <v>46</v>
      </c>
      <c r="Z271" t="s">
        <v>47</v>
      </c>
      <c r="AA271" t="s">
        <v>47</v>
      </c>
      <c r="AB271" t="s">
        <v>46</v>
      </c>
      <c r="AC271" t="s">
        <v>46</v>
      </c>
      <c r="AD271" t="s">
        <v>47</v>
      </c>
      <c r="AE271" t="s">
        <v>47</v>
      </c>
      <c r="AF271" t="s">
        <v>47</v>
      </c>
      <c r="AG271" t="s">
        <v>52</v>
      </c>
      <c r="AH271" t="s">
        <v>53</v>
      </c>
      <c r="AI271" t="s">
        <v>54</v>
      </c>
      <c r="AJ271">
        <v>3.5</v>
      </c>
      <c r="AK271" t="s">
        <v>46</v>
      </c>
      <c r="AL271" t="s">
        <v>81</v>
      </c>
      <c r="AM271" t="s">
        <v>118</v>
      </c>
      <c r="AN271">
        <v>10</v>
      </c>
      <c r="AO271" t="s">
        <v>47</v>
      </c>
    </row>
    <row r="272" spans="1:41">
      <c r="A272" t="s">
        <v>420</v>
      </c>
      <c r="B272">
        <v>2023</v>
      </c>
      <c r="C272" s="1">
        <v>45225</v>
      </c>
      <c r="D272" t="s">
        <v>42</v>
      </c>
      <c r="E272" t="s">
        <v>43</v>
      </c>
      <c r="F272">
        <v>76</v>
      </c>
      <c r="G272" t="s">
        <v>44</v>
      </c>
      <c r="H272" t="s">
        <v>70</v>
      </c>
      <c r="I272">
        <v>0</v>
      </c>
      <c r="J272">
        <v>0</v>
      </c>
      <c r="K272" t="s">
        <v>46</v>
      </c>
      <c r="L272" t="s">
        <v>47</v>
      </c>
      <c r="M272" t="s">
        <v>47</v>
      </c>
      <c r="N272" t="s">
        <v>48</v>
      </c>
      <c r="O272" t="s">
        <v>63</v>
      </c>
      <c r="P272">
        <v>28.1</v>
      </c>
      <c r="Q272" t="s">
        <v>48</v>
      </c>
      <c r="R272" t="s">
        <v>47</v>
      </c>
      <c r="S272" t="s">
        <v>47</v>
      </c>
      <c r="T272" t="s">
        <v>47</v>
      </c>
      <c r="U272" t="s">
        <v>47</v>
      </c>
      <c r="V272" t="s">
        <v>51</v>
      </c>
      <c r="W272" t="s">
        <v>46</v>
      </c>
      <c r="X272" t="s">
        <v>47</v>
      </c>
      <c r="Y272" t="s">
        <v>46</v>
      </c>
      <c r="Z272" t="s">
        <v>47</v>
      </c>
      <c r="AA272" t="s">
        <v>46</v>
      </c>
      <c r="AB272" t="s">
        <v>47</v>
      </c>
      <c r="AC272" t="s">
        <v>47</v>
      </c>
      <c r="AD272" t="s">
        <v>46</v>
      </c>
      <c r="AE272" t="s">
        <v>47</v>
      </c>
      <c r="AF272" t="s">
        <v>47</v>
      </c>
      <c r="AG272" t="s">
        <v>52</v>
      </c>
      <c r="AH272" t="s">
        <v>53</v>
      </c>
      <c r="AI272" t="s">
        <v>65</v>
      </c>
      <c r="AJ272">
        <v>4</v>
      </c>
      <c r="AK272" t="s">
        <v>47</v>
      </c>
      <c r="AL272" t="s">
        <v>72</v>
      </c>
      <c r="AM272" t="s">
        <v>73</v>
      </c>
      <c r="AN272">
        <v>60</v>
      </c>
      <c r="AO272" t="s">
        <v>47</v>
      </c>
    </row>
    <row r="273" spans="1:41">
      <c r="A273" t="s">
        <v>421</v>
      </c>
      <c r="B273">
        <v>2023</v>
      </c>
      <c r="C273" s="1">
        <v>45095</v>
      </c>
      <c r="D273" t="s">
        <v>84</v>
      </c>
      <c r="E273" t="s">
        <v>102</v>
      </c>
      <c r="F273">
        <v>57</v>
      </c>
      <c r="G273" t="s">
        <v>44</v>
      </c>
      <c r="H273" t="s">
        <v>70</v>
      </c>
      <c r="I273">
        <v>0</v>
      </c>
      <c r="J273">
        <v>0</v>
      </c>
      <c r="K273" t="s">
        <v>46</v>
      </c>
      <c r="L273" t="s">
        <v>47</v>
      </c>
      <c r="M273" t="s">
        <v>47</v>
      </c>
      <c r="N273" t="s">
        <v>48</v>
      </c>
      <c r="O273" t="s">
        <v>63</v>
      </c>
      <c r="P273">
        <v>24.2</v>
      </c>
      <c r="Q273" t="s">
        <v>50</v>
      </c>
      <c r="R273" t="s">
        <v>47</v>
      </c>
      <c r="S273" t="s">
        <v>47</v>
      </c>
      <c r="T273" t="s">
        <v>47</v>
      </c>
      <c r="U273" t="s">
        <v>47</v>
      </c>
      <c r="V273" t="s">
        <v>117</v>
      </c>
      <c r="W273" t="s">
        <v>47</v>
      </c>
      <c r="X273" t="s">
        <v>47</v>
      </c>
      <c r="Y273" t="s">
        <v>47</v>
      </c>
      <c r="Z273" t="s">
        <v>47</v>
      </c>
      <c r="AA273" t="s">
        <v>47</v>
      </c>
      <c r="AB273" t="s">
        <v>46</v>
      </c>
      <c r="AC273" t="s">
        <v>46</v>
      </c>
      <c r="AD273" t="s">
        <v>47</v>
      </c>
      <c r="AE273" t="s">
        <v>46</v>
      </c>
      <c r="AF273" t="s">
        <v>47</v>
      </c>
      <c r="AG273" t="s">
        <v>52</v>
      </c>
      <c r="AH273" t="s">
        <v>53</v>
      </c>
      <c r="AI273" t="s">
        <v>65</v>
      </c>
      <c r="AJ273">
        <v>2</v>
      </c>
      <c r="AK273" t="s">
        <v>47</v>
      </c>
      <c r="AL273" t="s">
        <v>76</v>
      </c>
      <c r="AM273" t="s">
        <v>103</v>
      </c>
      <c r="AN273">
        <v>67</v>
      </c>
      <c r="AO273" t="s">
        <v>47</v>
      </c>
    </row>
    <row r="274" spans="1:41">
      <c r="A274" t="s">
        <v>422</v>
      </c>
      <c r="B274">
        <v>2015</v>
      </c>
      <c r="C274" s="1">
        <v>42320</v>
      </c>
      <c r="D274" t="s">
        <v>42</v>
      </c>
      <c r="E274" t="s">
        <v>69</v>
      </c>
      <c r="F274">
        <v>55</v>
      </c>
      <c r="G274" t="s">
        <v>44</v>
      </c>
      <c r="H274" t="s">
        <v>70</v>
      </c>
      <c r="I274">
        <v>0</v>
      </c>
      <c r="J274">
        <v>0</v>
      </c>
      <c r="K274" t="s">
        <v>46</v>
      </c>
      <c r="L274" t="s">
        <v>47</v>
      </c>
      <c r="M274" t="s">
        <v>47</v>
      </c>
      <c r="N274" t="s">
        <v>48</v>
      </c>
      <c r="O274" t="s">
        <v>63</v>
      </c>
      <c r="P274">
        <v>27.2</v>
      </c>
      <c r="Q274" t="s">
        <v>50</v>
      </c>
      <c r="R274" t="s">
        <v>47</v>
      </c>
      <c r="S274" t="s">
        <v>47</v>
      </c>
      <c r="T274" t="s">
        <v>47</v>
      </c>
      <c r="U274" t="s">
        <v>46</v>
      </c>
      <c r="V274" t="s">
        <v>51</v>
      </c>
      <c r="W274" t="s">
        <v>47</v>
      </c>
      <c r="X274" t="s">
        <v>47</v>
      </c>
      <c r="Y274" t="s">
        <v>46</v>
      </c>
      <c r="Z274" t="s">
        <v>47</v>
      </c>
      <c r="AA274" t="s">
        <v>46</v>
      </c>
      <c r="AB274" t="s">
        <v>47</v>
      </c>
      <c r="AC274" t="s">
        <v>47</v>
      </c>
      <c r="AD274" t="s">
        <v>47</v>
      </c>
      <c r="AE274" t="s">
        <v>46</v>
      </c>
      <c r="AF274" t="s">
        <v>47</v>
      </c>
      <c r="AG274" t="s">
        <v>52</v>
      </c>
      <c r="AH274" t="s">
        <v>53</v>
      </c>
      <c r="AI274" t="s">
        <v>65</v>
      </c>
      <c r="AJ274">
        <v>3.3</v>
      </c>
      <c r="AK274" t="s">
        <v>47</v>
      </c>
      <c r="AL274" t="s">
        <v>76</v>
      </c>
      <c r="AM274" t="s">
        <v>118</v>
      </c>
      <c r="AN274">
        <v>71</v>
      </c>
      <c r="AO274" t="s">
        <v>46</v>
      </c>
    </row>
    <row r="275" spans="1:41">
      <c r="A275" t="s">
        <v>423</v>
      </c>
      <c r="B275">
        <v>2017</v>
      </c>
      <c r="C275" s="1">
        <v>42999</v>
      </c>
      <c r="D275" t="s">
        <v>42</v>
      </c>
      <c r="E275" t="s">
        <v>136</v>
      </c>
      <c r="F275">
        <v>44</v>
      </c>
      <c r="G275" t="s">
        <v>60</v>
      </c>
      <c r="H275" t="s">
        <v>70</v>
      </c>
      <c r="I275">
        <v>0</v>
      </c>
      <c r="J275">
        <v>0</v>
      </c>
      <c r="K275" t="s">
        <v>46</v>
      </c>
      <c r="L275" t="s">
        <v>47</v>
      </c>
      <c r="M275" t="s">
        <v>46</v>
      </c>
      <c r="N275" t="s">
        <v>62</v>
      </c>
      <c r="O275" t="s">
        <v>63</v>
      </c>
      <c r="P275">
        <v>22.5</v>
      </c>
      <c r="Q275" t="s">
        <v>48</v>
      </c>
      <c r="R275" t="s">
        <v>47</v>
      </c>
      <c r="S275" t="s">
        <v>47</v>
      </c>
      <c r="T275" t="s">
        <v>47</v>
      </c>
      <c r="U275" t="s">
        <v>47</v>
      </c>
      <c r="V275" t="s">
        <v>193</v>
      </c>
      <c r="W275" t="s">
        <v>47</v>
      </c>
      <c r="X275" t="s">
        <v>46</v>
      </c>
      <c r="Y275" t="s">
        <v>47</v>
      </c>
      <c r="Z275" t="s">
        <v>47</v>
      </c>
      <c r="AA275" t="s">
        <v>46</v>
      </c>
      <c r="AB275" t="s">
        <v>47</v>
      </c>
      <c r="AC275" t="s">
        <v>47</v>
      </c>
      <c r="AD275" t="s">
        <v>46</v>
      </c>
      <c r="AE275" t="s">
        <v>47</v>
      </c>
      <c r="AF275" t="s">
        <v>47</v>
      </c>
      <c r="AG275" t="s">
        <v>52</v>
      </c>
      <c r="AH275" t="s">
        <v>90</v>
      </c>
      <c r="AI275" t="s">
        <v>54</v>
      </c>
      <c r="AJ275">
        <v>9.1999999999999993</v>
      </c>
      <c r="AK275" t="s">
        <v>46</v>
      </c>
      <c r="AL275" t="s">
        <v>76</v>
      </c>
      <c r="AM275" t="s">
        <v>82</v>
      </c>
      <c r="AN275">
        <v>5</v>
      </c>
      <c r="AO275" t="s">
        <v>47</v>
      </c>
    </row>
    <row r="276" spans="1:41">
      <c r="A276" t="s">
        <v>424</v>
      </c>
      <c r="B276">
        <v>2022</v>
      </c>
      <c r="C276" s="1">
        <v>44589</v>
      </c>
      <c r="D276" t="s">
        <v>110</v>
      </c>
      <c r="E276" t="s">
        <v>231</v>
      </c>
      <c r="F276">
        <v>30</v>
      </c>
      <c r="G276" t="s">
        <v>44</v>
      </c>
      <c r="H276" t="s">
        <v>70</v>
      </c>
      <c r="I276">
        <v>0</v>
      </c>
      <c r="J276">
        <v>0</v>
      </c>
      <c r="K276" t="s">
        <v>46</v>
      </c>
      <c r="L276" t="s">
        <v>46</v>
      </c>
      <c r="M276" t="s">
        <v>47</v>
      </c>
      <c r="N276" t="s">
        <v>62</v>
      </c>
      <c r="O276" t="s">
        <v>48</v>
      </c>
      <c r="P276">
        <v>27.7</v>
      </c>
      <c r="Q276" t="s">
        <v>62</v>
      </c>
      <c r="R276" t="s">
        <v>47</v>
      </c>
      <c r="S276" t="s">
        <v>47</v>
      </c>
      <c r="T276" t="s">
        <v>47</v>
      </c>
      <c r="U276" t="s">
        <v>47</v>
      </c>
      <c r="V276" t="s">
        <v>86</v>
      </c>
      <c r="W276" t="s">
        <v>46</v>
      </c>
      <c r="X276" t="s">
        <v>47</v>
      </c>
      <c r="Y276" t="s">
        <v>47</v>
      </c>
      <c r="Z276" t="s">
        <v>47</v>
      </c>
      <c r="AA276" t="s">
        <v>47</v>
      </c>
      <c r="AB276" t="s">
        <v>47</v>
      </c>
      <c r="AC276" t="s">
        <v>47</v>
      </c>
      <c r="AD276" t="s">
        <v>47</v>
      </c>
      <c r="AE276" t="s">
        <v>46</v>
      </c>
      <c r="AF276" t="s">
        <v>47</v>
      </c>
      <c r="AG276" t="s">
        <v>52</v>
      </c>
      <c r="AH276" t="s">
        <v>53</v>
      </c>
      <c r="AI276" t="s">
        <v>87</v>
      </c>
      <c r="AJ276">
        <v>3.4</v>
      </c>
      <c r="AK276" t="s">
        <v>47</v>
      </c>
      <c r="AL276" t="s">
        <v>100</v>
      </c>
      <c r="AM276" t="s">
        <v>67</v>
      </c>
      <c r="AN276">
        <v>25</v>
      </c>
      <c r="AO276" t="s">
        <v>46</v>
      </c>
    </row>
    <row r="277" spans="1:41">
      <c r="A277" t="s">
        <v>425</v>
      </c>
      <c r="B277">
        <v>2017</v>
      </c>
      <c r="C277" s="1">
        <v>42951</v>
      </c>
      <c r="D277" t="s">
        <v>110</v>
      </c>
      <c r="E277" t="s">
        <v>231</v>
      </c>
      <c r="F277">
        <v>52</v>
      </c>
      <c r="G277" t="s">
        <v>60</v>
      </c>
      <c r="H277" t="s">
        <v>70</v>
      </c>
      <c r="I277">
        <v>0</v>
      </c>
      <c r="J277">
        <v>0</v>
      </c>
      <c r="K277" t="s">
        <v>47</v>
      </c>
      <c r="L277" t="s">
        <v>46</v>
      </c>
      <c r="M277" t="s">
        <v>47</v>
      </c>
      <c r="N277" t="s">
        <v>62</v>
      </c>
      <c r="O277" t="s">
        <v>63</v>
      </c>
      <c r="P277">
        <v>27.9</v>
      </c>
      <c r="Q277" t="s">
        <v>48</v>
      </c>
      <c r="R277" t="s">
        <v>46</v>
      </c>
      <c r="S277" t="s">
        <v>47</v>
      </c>
      <c r="T277" t="s">
        <v>47</v>
      </c>
      <c r="U277" t="s">
        <v>47</v>
      </c>
      <c r="V277" t="s">
        <v>64</v>
      </c>
      <c r="W277" t="s">
        <v>47</v>
      </c>
      <c r="X277" t="s">
        <v>47</v>
      </c>
      <c r="Y277" t="s">
        <v>47</v>
      </c>
      <c r="Z277" t="s">
        <v>47</v>
      </c>
      <c r="AA277" t="s">
        <v>46</v>
      </c>
      <c r="AB277" t="s">
        <v>47</v>
      </c>
      <c r="AC277" t="s">
        <v>46</v>
      </c>
      <c r="AD277" t="s">
        <v>47</v>
      </c>
      <c r="AE277" t="s">
        <v>47</v>
      </c>
      <c r="AF277" t="s">
        <v>46</v>
      </c>
      <c r="AG277" t="s">
        <v>52</v>
      </c>
      <c r="AH277" t="s">
        <v>53</v>
      </c>
      <c r="AI277" t="s">
        <v>54</v>
      </c>
      <c r="AJ277">
        <v>7.1</v>
      </c>
      <c r="AK277" t="s">
        <v>46</v>
      </c>
      <c r="AL277" t="s">
        <v>100</v>
      </c>
      <c r="AM277" t="s">
        <v>77</v>
      </c>
      <c r="AN277">
        <v>1</v>
      </c>
      <c r="AO277" t="s">
        <v>47</v>
      </c>
    </row>
    <row r="278" spans="1:41">
      <c r="A278" t="s">
        <v>426</v>
      </c>
      <c r="B278">
        <v>2023</v>
      </c>
      <c r="C278" s="1">
        <v>45098</v>
      </c>
      <c r="D278" t="s">
        <v>42</v>
      </c>
      <c r="E278" t="s">
        <v>210</v>
      </c>
      <c r="F278">
        <v>50</v>
      </c>
      <c r="G278" t="s">
        <v>44</v>
      </c>
      <c r="H278" t="s">
        <v>70</v>
      </c>
      <c r="I278">
        <v>0</v>
      </c>
      <c r="J278">
        <v>0</v>
      </c>
      <c r="K278" t="s">
        <v>46</v>
      </c>
      <c r="L278" t="s">
        <v>47</v>
      </c>
      <c r="M278" t="s">
        <v>47</v>
      </c>
      <c r="N278" t="s">
        <v>62</v>
      </c>
      <c r="O278" t="s">
        <v>63</v>
      </c>
      <c r="P278">
        <v>32.6</v>
      </c>
      <c r="Q278" t="s">
        <v>62</v>
      </c>
      <c r="R278" t="s">
        <v>47</v>
      </c>
      <c r="S278" t="s">
        <v>47</v>
      </c>
      <c r="T278" t="s">
        <v>47</v>
      </c>
      <c r="U278" t="s">
        <v>47</v>
      </c>
      <c r="V278" t="s">
        <v>86</v>
      </c>
      <c r="W278" t="s">
        <v>47</v>
      </c>
      <c r="X278" t="s">
        <v>47</v>
      </c>
      <c r="Y278" t="s">
        <v>47</v>
      </c>
      <c r="Z278" t="s">
        <v>47</v>
      </c>
      <c r="AA278" t="s">
        <v>47</v>
      </c>
      <c r="AB278" t="s">
        <v>46</v>
      </c>
      <c r="AC278" t="s">
        <v>47</v>
      </c>
      <c r="AD278" t="s">
        <v>47</v>
      </c>
      <c r="AE278" t="s">
        <v>47</v>
      </c>
      <c r="AF278" t="s">
        <v>47</v>
      </c>
      <c r="AG278" t="s">
        <v>52</v>
      </c>
      <c r="AH278" t="s">
        <v>53</v>
      </c>
      <c r="AI278" t="s">
        <v>54</v>
      </c>
      <c r="AJ278">
        <v>10.4</v>
      </c>
      <c r="AK278" t="s">
        <v>46</v>
      </c>
      <c r="AL278" t="s">
        <v>81</v>
      </c>
      <c r="AM278" t="s">
        <v>77</v>
      </c>
      <c r="AN278">
        <v>5</v>
      </c>
      <c r="AO278" t="s">
        <v>47</v>
      </c>
    </row>
    <row r="279" spans="1:41">
      <c r="A279" t="s">
        <v>427</v>
      </c>
      <c r="B279">
        <v>2015</v>
      </c>
      <c r="C279" s="1">
        <v>42343</v>
      </c>
      <c r="D279" t="s">
        <v>95</v>
      </c>
      <c r="E279" t="s">
        <v>145</v>
      </c>
      <c r="F279">
        <v>71</v>
      </c>
      <c r="G279" t="s">
        <v>60</v>
      </c>
      <c r="H279" t="s">
        <v>70</v>
      </c>
      <c r="I279">
        <v>0</v>
      </c>
      <c r="J279">
        <v>0</v>
      </c>
      <c r="K279" t="s">
        <v>46</v>
      </c>
      <c r="L279" t="s">
        <v>46</v>
      </c>
      <c r="M279" t="s">
        <v>47</v>
      </c>
      <c r="N279" t="s">
        <v>50</v>
      </c>
      <c r="O279" t="s">
        <v>63</v>
      </c>
      <c r="P279">
        <v>22.2</v>
      </c>
      <c r="Q279" t="s">
        <v>48</v>
      </c>
      <c r="R279" t="s">
        <v>47</v>
      </c>
      <c r="S279" t="s">
        <v>47</v>
      </c>
      <c r="T279" t="s">
        <v>46</v>
      </c>
      <c r="U279" t="s">
        <v>47</v>
      </c>
      <c r="V279" t="s">
        <v>86</v>
      </c>
      <c r="W279" t="s">
        <v>47</v>
      </c>
      <c r="X279" t="s">
        <v>46</v>
      </c>
      <c r="Y279" t="s">
        <v>47</v>
      </c>
      <c r="Z279" t="s">
        <v>47</v>
      </c>
      <c r="AA279" t="s">
        <v>46</v>
      </c>
      <c r="AB279" t="s">
        <v>46</v>
      </c>
      <c r="AC279" t="s">
        <v>46</v>
      </c>
      <c r="AD279" t="s">
        <v>46</v>
      </c>
      <c r="AE279" t="s">
        <v>47</v>
      </c>
      <c r="AF279" t="s">
        <v>47</v>
      </c>
      <c r="AG279" t="s">
        <v>52</v>
      </c>
      <c r="AH279" t="s">
        <v>53</v>
      </c>
      <c r="AI279" t="s">
        <v>87</v>
      </c>
      <c r="AJ279">
        <v>3.6</v>
      </c>
      <c r="AK279" t="s">
        <v>47</v>
      </c>
      <c r="AL279" t="s">
        <v>66</v>
      </c>
      <c r="AM279" t="s">
        <v>77</v>
      </c>
      <c r="AN279">
        <v>27</v>
      </c>
      <c r="AO279" t="s">
        <v>47</v>
      </c>
    </row>
    <row r="280" spans="1:41">
      <c r="A280" t="s">
        <v>428</v>
      </c>
      <c r="B280">
        <v>2020</v>
      </c>
      <c r="C280" s="1">
        <v>43914</v>
      </c>
      <c r="D280" t="s">
        <v>84</v>
      </c>
      <c r="E280" t="s">
        <v>89</v>
      </c>
      <c r="F280">
        <v>71</v>
      </c>
      <c r="G280" t="s">
        <v>60</v>
      </c>
      <c r="H280" t="s">
        <v>70</v>
      </c>
      <c r="I280">
        <v>0</v>
      </c>
      <c r="J280">
        <v>0</v>
      </c>
      <c r="K280" t="s">
        <v>47</v>
      </c>
      <c r="L280" t="s">
        <v>47</v>
      </c>
      <c r="M280" t="s">
        <v>47</v>
      </c>
      <c r="N280" t="s">
        <v>62</v>
      </c>
      <c r="O280" t="s">
        <v>48</v>
      </c>
      <c r="P280">
        <v>35.299999999999997</v>
      </c>
      <c r="Q280" t="s">
        <v>48</v>
      </c>
      <c r="R280" t="s">
        <v>47</v>
      </c>
      <c r="S280" t="s">
        <v>47</v>
      </c>
      <c r="T280" t="s">
        <v>46</v>
      </c>
      <c r="U280" t="s">
        <v>47</v>
      </c>
      <c r="V280" t="s">
        <v>86</v>
      </c>
      <c r="W280" t="s">
        <v>47</v>
      </c>
      <c r="X280" t="s">
        <v>47</v>
      </c>
      <c r="Y280" t="s">
        <v>47</v>
      </c>
      <c r="Z280" t="s">
        <v>46</v>
      </c>
      <c r="AA280" t="s">
        <v>46</v>
      </c>
      <c r="AB280" t="s">
        <v>47</v>
      </c>
      <c r="AC280" t="s">
        <v>47</v>
      </c>
      <c r="AD280" t="s">
        <v>46</v>
      </c>
      <c r="AE280" t="s">
        <v>47</v>
      </c>
      <c r="AF280" t="s">
        <v>47</v>
      </c>
      <c r="AG280" t="s">
        <v>52</v>
      </c>
      <c r="AH280" t="s">
        <v>53</v>
      </c>
      <c r="AI280" t="s">
        <v>80</v>
      </c>
      <c r="AJ280">
        <v>5.3</v>
      </c>
      <c r="AK280" t="s">
        <v>47</v>
      </c>
      <c r="AL280" t="s">
        <v>81</v>
      </c>
      <c r="AM280" t="s">
        <v>67</v>
      </c>
      <c r="AN280">
        <v>22</v>
      </c>
      <c r="AO280" t="s">
        <v>47</v>
      </c>
    </row>
    <row r="281" spans="1:41">
      <c r="A281" t="s">
        <v>429</v>
      </c>
      <c r="B281">
        <v>2017</v>
      </c>
      <c r="C281" s="1">
        <v>43048</v>
      </c>
      <c r="D281" t="s">
        <v>95</v>
      </c>
      <c r="E281" t="s">
        <v>255</v>
      </c>
      <c r="F281">
        <v>81</v>
      </c>
      <c r="G281" t="s">
        <v>60</v>
      </c>
      <c r="H281" t="s">
        <v>70</v>
      </c>
      <c r="I281">
        <v>0</v>
      </c>
      <c r="J281">
        <v>0</v>
      </c>
      <c r="K281" t="s">
        <v>46</v>
      </c>
      <c r="L281" t="s">
        <v>46</v>
      </c>
      <c r="M281" t="s">
        <v>47</v>
      </c>
      <c r="N281" t="s">
        <v>50</v>
      </c>
      <c r="O281" t="s">
        <v>63</v>
      </c>
      <c r="P281">
        <v>33.1</v>
      </c>
      <c r="Q281" t="s">
        <v>50</v>
      </c>
      <c r="R281" t="s">
        <v>47</v>
      </c>
      <c r="S281" t="s">
        <v>47</v>
      </c>
      <c r="T281" t="s">
        <v>47</v>
      </c>
      <c r="U281" t="s">
        <v>46</v>
      </c>
      <c r="V281" t="s">
        <v>51</v>
      </c>
      <c r="W281" t="s">
        <v>47</v>
      </c>
      <c r="X281" t="s">
        <v>47</v>
      </c>
      <c r="Y281" t="s">
        <v>47</v>
      </c>
      <c r="Z281" t="s">
        <v>47</v>
      </c>
      <c r="AA281" t="s">
        <v>46</v>
      </c>
      <c r="AB281" t="s">
        <v>47</v>
      </c>
      <c r="AC281" t="s">
        <v>47</v>
      </c>
      <c r="AD281" t="s">
        <v>47</v>
      </c>
      <c r="AE281" t="s">
        <v>47</v>
      </c>
      <c r="AF281" t="s">
        <v>47</v>
      </c>
      <c r="AG281" t="s">
        <v>121</v>
      </c>
      <c r="AH281" t="s">
        <v>122</v>
      </c>
      <c r="AI281" t="s">
        <v>54</v>
      </c>
      <c r="AJ281">
        <v>7</v>
      </c>
      <c r="AK281" t="s">
        <v>46</v>
      </c>
      <c r="AL281" t="s">
        <v>76</v>
      </c>
      <c r="AM281" t="s">
        <v>56</v>
      </c>
      <c r="AN281">
        <v>8</v>
      </c>
      <c r="AO281" t="s">
        <v>47</v>
      </c>
    </row>
    <row r="282" spans="1:41">
      <c r="A282" t="s">
        <v>430</v>
      </c>
      <c r="B282">
        <v>2022</v>
      </c>
      <c r="C282" s="1">
        <v>44829</v>
      </c>
      <c r="D282" t="s">
        <v>95</v>
      </c>
      <c r="E282" t="s">
        <v>96</v>
      </c>
      <c r="F282">
        <v>59</v>
      </c>
      <c r="G282" t="s">
        <v>60</v>
      </c>
      <c r="H282" t="s">
        <v>70</v>
      </c>
      <c r="I282">
        <v>0</v>
      </c>
      <c r="J282">
        <v>0</v>
      </c>
      <c r="K282" t="s">
        <v>47</v>
      </c>
      <c r="L282" t="s">
        <v>47</v>
      </c>
      <c r="M282" t="s">
        <v>47</v>
      </c>
      <c r="N282" t="s">
        <v>62</v>
      </c>
      <c r="O282" t="s">
        <v>48</v>
      </c>
      <c r="P282">
        <v>27.8</v>
      </c>
      <c r="Q282" t="s">
        <v>48</v>
      </c>
      <c r="R282" t="s">
        <v>47</v>
      </c>
      <c r="S282" t="s">
        <v>47</v>
      </c>
      <c r="T282" t="s">
        <v>47</v>
      </c>
      <c r="U282" t="s">
        <v>47</v>
      </c>
      <c r="V282" t="s">
        <v>86</v>
      </c>
      <c r="W282" t="s">
        <v>47</v>
      </c>
      <c r="X282" t="s">
        <v>47</v>
      </c>
      <c r="Y282" t="s">
        <v>47</v>
      </c>
      <c r="Z282" t="s">
        <v>47</v>
      </c>
      <c r="AA282" t="s">
        <v>46</v>
      </c>
      <c r="AB282" t="s">
        <v>47</v>
      </c>
      <c r="AC282" t="s">
        <v>47</v>
      </c>
      <c r="AD282" t="s">
        <v>47</v>
      </c>
      <c r="AE282" t="s">
        <v>47</v>
      </c>
      <c r="AF282" t="s">
        <v>47</v>
      </c>
      <c r="AG282" t="s">
        <v>52</v>
      </c>
      <c r="AH282" t="s">
        <v>53</v>
      </c>
      <c r="AI282" t="s">
        <v>87</v>
      </c>
      <c r="AJ282">
        <v>2.7</v>
      </c>
      <c r="AK282" t="s">
        <v>47</v>
      </c>
      <c r="AL282" t="s">
        <v>66</v>
      </c>
      <c r="AM282" t="s">
        <v>118</v>
      </c>
      <c r="AN282">
        <v>29</v>
      </c>
      <c r="AO282" t="s">
        <v>46</v>
      </c>
    </row>
    <row r="283" spans="1:41">
      <c r="A283" t="s">
        <v>431</v>
      </c>
      <c r="B283">
        <v>2025</v>
      </c>
      <c r="C283" s="1">
        <v>45883</v>
      </c>
      <c r="D283" t="s">
        <v>42</v>
      </c>
      <c r="E283" t="s">
        <v>154</v>
      </c>
      <c r="F283">
        <v>58</v>
      </c>
      <c r="G283" t="s">
        <v>44</v>
      </c>
      <c r="H283" t="s">
        <v>61</v>
      </c>
      <c r="I283">
        <v>24</v>
      </c>
      <c r="J283">
        <v>30</v>
      </c>
      <c r="K283" t="s">
        <v>47</v>
      </c>
      <c r="L283" t="s">
        <v>46</v>
      </c>
      <c r="M283" t="s">
        <v>47</v>
      </c>
      <c r="N283" t="s">
        <v>48</v>
      </c>
      <c r="O283" t="s">
        <v>63</v>
      </c>
      <c r="P283">
        <v>31.3</v>
      </c>
      <c r="Q283" t="s">
        <v>48</v>
      </c>
      <c r="R283" t="s">
        <v>47</v>
      </c>
      <c r="S283" t="s">
        <v>47</v>
      </c>
      <c r="T283" t="s">
        <v>47</v>
      </c>
      <c r="U283" t="s">
        <v>47</v>
      </c>
      <c r="V283" t="s">
        <v>51</v>
      </c>
      <c r="W283" t="s">
        <v>46</v>
      </c>
      <c r="X283" t="s">
        <v>47</v>
      </c>
      <c r="Y283" t="s">
        <v>46</v>
      </c>
      <c r="Z283" t="s">
        <v>46</v>
      </c>
      <c r="AA283" t="s">
        <v>47</v>
      </c>
      <c r="AB283" t="s">
        <v>47</v>
      </c>
      <c r="AC283" t="s">
        <v>47</v>
      </c>
      <c r="AD283" t="s">
        <v>47</v>
      </c>
      <c r="AE283" t="s">
        <v>47</v>
      </c>
      <c r="AF283" t="s">
        <v>47</v>
      </c>
      <c r="AG283" t="s">
        <v>52</v>
      </c>
      <c r="AH283" t="s">
        <v>71</v>
      </c>
      <c r="AI283" t="s">
        <v>87</v>
      </c>
      <c r="AJ283">
        <v>6</v>
      </c>
      <c r="AK283" t="s">
        <v>47</v>
      </c>
      <c r="AL283" t="s">
        <v>72</v>
      </c>
      <c r="AM283" t="s">
        <v>73</v>
      </c>
      <c r="AN283">
        <v>6</v>
      </c>
      <c r="AO283" t="s">
        <v>47</v>
      </c>
    </row>
    <row r="284" spans="1:41">
      <c r="A284" t="s">
        <v>432</v>
      </c>
      <c r="B284">
        <v>2015</v>
      </c>
      <c r="C284" s="1">
        <v>42135</v>
      </c>
      <c r="D284" t="s">
        <v>42</v>
      </c>
      <c r="E284" t="s">
        <v>160</v>
      </c>
      <c r="F284">
        <v>52</v>
      </c>
      <c r="G284" t="s">
        <v>60</v>
      </c>
      <c r="H284" t="s">
        <v>45</v>
      </c>
      <c r="I284">
        <v>27</v>
      </c>
      <c r="J284">
        <v>29</v>
      </c>
      <c r="K284" t="s">
        <v>46</v>
      </c>
      <c r="L284" t="s">
        <v>47</v>
      </c>
      <c r="M284" t="s">
        <v>46</v>
      </c>
      <c r="N284" t="s">
        <v>48</v>
      </c>
      <c r="O284" t="s">
        <v>49</v>
      </c>
      <c r="P284">
        <v>22.4</v>
      </c>
      <c r="Q284" t="s">
        <v>50</v>
      </c>
      <c r="R284" t="s">
        <v>47</v>
      </c>
      <c r="S284" t="s">
        <v>47</v>
      </c>
      <c r="T284" t="s">
        <v>47</v>
      </c>
      <c r="U284" t="s">
        <v>47</v>
      </c>
      <c r="V284" t="s">
        <v>64</v>
      </c>
      <c r="W284" t="s">
        <v>46</v>
      </c>
      <c r="X284" t="s">
        <v>47</v>
      </c>
      <c r="Y284" t="s">
        <v>46</v>
      </c>
      <c r="Z284" t="s">
        <v>47</v>
      </c>
      <c r="AA284" t="s">
        <v>46</v>
      </c>
      <c r="AB284" t="s">
        <v>46</v>
      </c>
      <c r="AC284" t="s">
        <v>46</v>
      </c>
      <c r="AD284" t="s">
        <v>46</v>
      </c>
      <c r="AE284" t="s">
        <v>47</v>
      </c>
      <c r="AF284" t="s">
        <v>47</v>
      </c>
      <c r="AG284" t="s">
        <v>52</v>
      </c>
      <c r="AH284" t="s">
        <v>53</v>
      </c>
      <c r="AI284" t="s">
        <v>54</v>
      </c>
      <c r="AJ284">
        <v>6.7</v>
      </c>
      <c r="AK284" t="s">
        <v>46</v>
      </c>
      <c r="AL284" t="s">
        <v>76</v>
      </c>
      <c r="AM284" t="s">
        <v>265</v>
      </c>
      <c r="AN284">
        <v>16</v>
      </c>
      <c r="AO284" t="s">
        <v>47</v>
      </c>
    </row>
    <row r="285" spans="1:41">
      <c r="A285" t="s">
        <v>433</v>
      </c>
      <c r="B285">
        <v>2017</v>
      </c>
      <c r="C285" s="1">
        <v>42775</v>
      </c>
      <c r="D285" t="s">
        <v>95</v>
      </c>
      <c r="E285" t="s">
        <v>96</v>
      </c>
      <c r="F285">
        <v>80</v>
      </c>
      <c r="G285" t="s">
        <v>60</v>
      </c>
      <c r="H285" t="s">
        <v>70</v>
      </c>
      <c r="I285">
        <v>0</v>
      </c>
      <c r="J285">
        <v>0</v>
      </c>
      <c r="K285" t="s">
        <v>47</v>
      </c>
      <c r="L285" t="s">
        <v>46</v>
      </c>
      <c r="M285" t="s">
        <v>47</v>
      </c>
      <c r="N285" t="s">
        <v>50</v>
      </c>
      <c r="O285" t="s">
        <v>63</v>
      </c>
      <c r="P285">
        <v>31.5</v>
      </c>
      <c r="Q285" t="s">
        <v>62</v>
      </c>
      <c r="R285" t="s">
        <v>47</v>
      </c>
      <c r="S285" t="s">
        <v>47</v>
      </c>
      <c r="T285" t="s">
        <v>47</v>
      </c>
      <c r="U285" t="s">
        <v>47</v>
      </c>
      <c r="V285" t="s">
        <v>86</v>
      </c>
      <c r="W285" t="s">
        <v>46</v>
      </c>
      <c r="X285" t="s">
        <v>47</v>
      </c>
      <c r="Y285" t="s">
        <v>46</v>
      </c>
      <c r="Z285" t="s">
        <v>47</v>
      </c>
      <c r="AA285" t="s">
        <v>47</v>
      </c>
      <c r="AB285" t="s">
        <v>47</v>
      </c>
      <c r="AC285" t="s">
        <v>47</v>
      </c>
      <c r="AD285" t="s">
        <v>47</v>
      </c>
      <c r="AE285" t="s">
        <v>47</v>
      </c>
      <c r="AF285" t="s">
        <v>47</v>
      </c>
      <c r="AG285" t="s">
        <v>52</v>
      </c>
      <c r="AH285" t="s">
        <v>53</v>
      </c>
      <c r="AI285" t="s">
        <v>54</v>
      </c>
      <c r="AJ285">
        <v>5.9</v>
      </c>
      <c r="AK285" t="s">
        <v>46</v>
      </c>
      <c r="AL285" t="s">
        <v>81</v>
      </c>
      <c r="AM285" t="s">
        <v>118</v>
      </c>
      <c r="AN285">
        <v>1</v>
      </c>
      <c r="AO285" t="s">
        <v>47</v>
      </c>
    </row>
    <row r="286" spans="1:41">
      <c r="A286" t="s">
        <v>434</v>
      </c>
      <c r="B286">
        <v>2021</v>
      </c>
      <c r="C286" s="1">
        <v>44311</v>
      </c>
      <c r="D286" t="s">
        <v>58</v>
      </c>
      <c r="E286" t="s">
        <v>252</v>
      </c>
      <c r="F286">
        <v>67</v>
      </c>
      <c r="G286" t="s">
        <v>60</v>
      </c>
      <c r="H286" t="s">
        <v>45</v>
      </c>
      <c r="I286">
        <v>19</v>
      </c>
      <c r="J286">
        <v>9</v>
      </c>
      <c r="K286" t="s">
        <v>47</v>
      </c>
      <c r="L286" t="s">
        <v>47</v>
      </c>
      <c r="M286" t="s">
        <v>47</v>
      </c>
      <c r="N286" t="s">
        <v>48</v>
      </c>
      <c r="O286" t="s">
        <v>49</v>
      </c>
      <c r="P286">
        <v>32.200000000000003</v>
      </c>
      <c r="Q286" t="s">
        <v>48</v>
      </c>
      <c r="R286" t="s">
        <v>47</v>
      </c>
      <c r="S286" t="s">
        <v>47</v>
      </c>
      <c r="T286" t="s">
        <v>47</v>
      </c>
      <c r="U286" t="s">
        <v>47</v>
      </c>
      <c r="V286" t="s">
        <v>51</v>
      </c>
      <c r="W286" t="s">
        <v>46</v>
      </c>
      <c r="X286" t="s">
        <v>47</v>
      </c>
      <c r="Y286" t="s">
        <v>46</v>
      </c>
      <c r="Z286" t="s">
        <v>47</v>
      </c>
      <c r="AA286" t="s">
        <v>46</v>
      </c>
      <c r="AB286" t="s">
        <v>46</v>
      </c>
      <c r="AC286" t="s">
        <v>47</v>
      </c>
      <c r="AD286" t="s">
        <v>46</v>
      </c>
      <c r="AE286" t="s">
        <v>47</v>
      </c>
      <c r="AF286" t="s">
        <v>47</v>
      </c>
      <c r="AG286" t="s">
        <v>52</v>
      </c>
      <c r="AH286" t="s">
        <v>53</v>
      </c>
      <c r="AI286" t="s">
        <v>80</v>
      </c>
      <c r="AJ286">
        <v>8.1999999999999993</v>
      </c>
      <c r="AK286" t="s">
        <v>47</v>
      </c>
      <c r="AL286" t="s">
        <v>66</v>
      </c>
      <c r="AM286" t="s">
        <v>56</v>
      </c>
      <c r="AN286">
        <v>13</v>
      </c>
      <c r="AO286" t="s">
        <v>47</v>
      </c>
    </row>
    <row r="287" spans="1:41">
      <c r="A287" t="s">
        <v>435</v>
      </c>
      <c r="B287">
        <v>2015</v>
      </c>
      <c r="C287" s="1">
        <v>42297</v>
      </c>
      <c r="D287" t="s">
        <v>110</v>
      </c>
      <c r="E287" t="s">
        <v>231</v>
      </c>
      <c r="F287">
        <v>51</v>
      </c>
      <c r="G287" t="s">
        <v>44</v>
      </c>
      <c r="H287" t="s">
        <v>70</v>
      </c>
      <c r="I287">
        <v>0</v>
      </c>
      <c r="J287">
        <v>0</v>
      </c>
      <c r="K287" t="s">
        <v>46</v>
      </c>
      <c r="L287" t="s">
        <v>47</v>
      </c>
      <c r="M287" t="s">
        <v>47</v>
      </c>
      <c r="N287" t="s">
        <v>62</v>
      </c>
      <c r="O287" t="s">
        <v>49</v>
      </c>
      <c r="P287">
        <v>28.9</v>
      </c>
      <c r="Q287" t="s">
        <v>50</v>
      </c>
      <c r="R287" t="s">
        <v>46</v>
      </c>
      <c r="S287" t="s">
        <v>47</v>
      </c>
      <c r="T287" t="s">
        <v>47</v>
      </c>
      <c r="U287" t="s">
        <v>47</v>
      </c>
      <c r="V287" t="s">
        <v>117</v>
      </c>
      <c r="W287" t="s">
        <v>47</v>
      </c>
      <c r="X287" t="s">
        <v>46</v>
      </c>
      <c r="Y287" t="s">
        <v>46</v>
      </c>
      <c r="Z287" t="s">
        <v>47</v>
      </c>
      <c r="AA287" t="s">
        <v>46</v>
      </c>
      <c r="AB287" t="s">
        <v>47</v>
      </c>
      <c r="AC287" t="s">
        <v>47</v>
      </c>
      <c r="AD287" t="s">
        <v>46</v>
      </c>
      <c r="AE287" t="s">
        <v>47</v>
      </c>
      <c r="AF287" t="s">
        <v>47</v>
      </c>
      <c r="AG287" t="s">
        <v>52</v>
      </c>
      <c r="AH287" t="s">
        <v>90</v>
      </c>
      <c r="AI287" t="s">
        <v>54</v>
      </c>
      <c r="AJ287">
        <v>5.8</v>
      </c>
      <c r="AK287" t="s">
        <v>46</v>
      </c>
      <c r="AL287" t="s">
        <v>76</v>
      </c>
      <c r="AM287" t="s">
        <v>77</v>
      </c>
      <c r="AN287">
        <v>14</v>
      </c>
      <c r="AO287" t="s">
        <v>47</v>
      </c>
    </row>
    <row r="288" spans="1:41">
      <c r="A288" t="s">
        <v>436</v>
      </c>
      <c r="B288">
        <v>2023</v>
      </c>
      <c r="C288" s="1">
        <v>45078</v>
      </c>
      <c r="D288" t="s">
        <v>42</v>
      </c>
      <c r="E288" t="s">
        <v>210</v>
      </c>
      <c r="F288">
        <v>68</v>
      </c>
      <c r="G288" t="s">
        <v>60</v>
      </c>
      <c r="H288" t="s">
        <v>70</v>
      </c>
      <c r="I288">
        <v>0</v>
      </c>
      <c r="J288">
        <v>0</v>
      </c>
      <c r="K288" t="s">
        <v>47</v>
      </c>
      <c r="L288" t="s">
        <v>47</v>
      </c>
      <c r="M288" t="s">
        <v>46</v>
      </c>
      <c r="N288" t="s">
        <v>48</v>
      </c>
      <c r="O288" t="s">
        <v>48</v>
      </c>
      <c r="P288">
        <v>29.9</v>
      </c>
      <c r="Q288" t="s">
        <v>50</v>
      </c>
      <c r="R288" t="s">
        <v>47</v>
      </c>
      <c r="S288" t="s">
        <v>46</v>
      </c>
      <c r="T288" t="s">
        <v>47</v>
      </c>
      <c r="U288" t="s">
        <v>47</v>
      </c>
      <c r="V288" t="s">
        <v>86</v>
      </c>
      <c r="W288" t="s">
        <v>47</v>
      </c>
      <c r="X288" t="s">
        <v>47</v>
      </c>
      <c r="Y288" t="s">
        <v>47</v>
      </c>
      <c r="Z288" t="s">
        <v>47</v>
      </c>
      <c r="AA288" t="s">
        <v>46</v>
      </c>
      <c r="AB288" t="s">
        <v>47</v>
      </c>
      <c r="AC288" t="s">
        <v>47</v>
      </c>
      <c r="AD288" t="s">
        <v>47</v>
      </c>
      <c r="AE288" t="s">
        <v>47</v>
      </c>
      <c r="AF288" t="s">
        <v>47</v>
      </c>
      <c r="AG288" t="s">
        <v>52</v>
      </c>
      <c r="AH288" t="s">
        <v>53</v>
      </c>
      <c r="AI288" t="s">
        <v>87</v>
      </c>
      <c r="AJ288">
        <v>4.9000000000000004</v>
      </c>
      <c r="AK288" t="s">
        <v>47</v>
      </c>
      <c r="AL288" t="s">
        <v>156</v>
      </c>
      <c r="AM288" t="s">
        <v>73</v>
      </c>
      <c r="AN288">
        <v>30</v>
      </c>
      <c r="AO288" t="s">
        <v>46</v>
      </c>
    </row>
    <row r="289" spans="1:41">
      <c r="A289" t="s">
        <v>437</v>
      </c>
      <c r="B289">
        <v>2022</v>
      </c>
      <c r="C289" s="1">
        <v>44718</v>
      </c>
      <c r="D289" t="s">
        <v>42</v>
      </c>
      <c r="E289" t="s">
        <v>210</v>
      </c>
      <c r="F289">
        <v>58</v>
      </c>
      <c r="G289" t="s">
        <v>44</v>
      </c>
      <c r="H289" t="s">
        <v>70</v>
      </c>
      <c r="I289">
        <v>0</v>
      </c>
      <c r="J289">
        <v>0</v>
      </c>
      <c r="K289" t="s">
        <v>47</v>
      </c>
      <c r="L289" t="s">
        <v>47</v>
      </c>
      <c r="M289" t="s">
        <v>47</v>
      </c>
      <c r="N289" t="s">
        <v>62</v>
      </c>
      <c r="O289" t="s">
        <v>48</v>
      </c>
      <c r="P289">
        <v>23.8</v>
      </c>
      <c r="Q289" t="s">
        <v>50</v>
      </c>
      <c r="R289" t="s">
        <v>47</v>
      </c>
      <c r="S289" t="s">
        <v>47</v>
      </c>
      <c r="T289" t="s">
        <v>47</v>
      </c>
      <c r="U289" t="s">
        <v>47</v>
      </c>
      <c r="V289" t="s">
        <v>86</v>
      </c>
      <c r="W289" t="s">
        <v>47</v>
      </c>
      <c r="X289" t="s">
        <v>46</v>
      </c>
      <c r="Y289" t="s">
        <v>47</v>
      </c>
      <c r="Z289" t="s">
        <v>46</v>
      </c>
      <c r="AA289" t="s">
        <v>47</v>
      </c>
      <c r="AB289" t="s">
        <v>47</v>
      </c>
      <c r="AC289" t="s">
        <v>47</v>
      </c>
      <c r="AD289" t="s">
        <v>46</v>
      </c>
      <c r="AE289" t="s">
        <v>47</v>
      </c>
      <c r="AF289" t="s">
        <v>47</v>
      </c>
      <c r="AG289" t="s">
        <v>52</v>
      </c>
      <c r="AH289" t="s">
        <v>90</v>
      </c>
      <c r="AI289" t="s">
        <v>65</v>
      </c>
      <c r="AJ289">
        <v>1.8</v>
      </c>
      <c r="AK289" t="s">
        <v>47</v>
      </c>
      <c r="AL289" t="s">
        <v>76</v>
      </c>
      <c r="AM289" t="s">
        <v>73</v>
      </c>
      <c r="AN289">
        <v>47</v>
      </c>
      <c r="AO289" t="s">
        <v>46</v>
      </c>
    </row>
    <row r="290" spans="1:41">
      <c r="A290" t="s">
        <v>438</v>
      </c>
      <c r="B290">
        <v>2021</v>
      </c>
      <c r="C290" s="1">
        <v>44298</v>
      </c>
      <c r="D290" t="s">
        <v>42</v>
      </c>
      <c r="E290" t="s">
        <v>247</v>
      </c>
      <c r="F290">
        <v>71</v>
      </c>
      <c r="G290" t="s">
        <v>60</v>
      </c>
      <c r="H290" t="s">
        <v>45</v>
      </c>
      <c r="I290">
        <v>19</v>
      </c>
      <c r="J290">
        <v>28</v>
      </c>
      <c r="K290" t="s">
        <v>47</v>
      </c>
      <c r="L290" t="s">
        <v>46</v>
      </c>
      <c r="M290" t="s">
        <v>46</v>
      </c>
      <c r="N290" t="s">
        <v>48</v>
      </c>
      <c r="O290" t="s">
        <v>49</v>
      </c>
      <c r="P290">
        <v>30.7</v>
      </c>
      <c r="Q290" t="s">
        <v>50</v>
      </c>
      <c r="R290" t="s">
        <v>47</v>
      </c>
      <c r="S290" t="s">
        <v>47</v>
      </c>
      <c r="T290" t="s">
        <v>47</v>
      </c>
      <c r="U290" t="s">
        <v>47</v>
      </c>
      <c r="V290" t="s">
        <v>51</v>
      </c>
      <c r="W290" t="s">
        <v>46</v>
      </c>
      <c r="X290" t="s">
        <v>46</v>
      </c>
      <c r="Y290" t="s">
        <v>46</v>
      </c>
      <c r="Z290" t="s">
        <v>47</v>
      </c>
      <c r="AA290" t="s">
        <v>46</v>
      </c>
      <c r="AB290" t="s">
        <v>46</v>
      </c>
      <c r="AC290" t="s">
        <v>47</v>
      </c>
      <c r="AD290" t="s">
        <v>46</v>
      </c>
      <c r="AE290" t="s">
        <v>47</v>
      </c>
      <c r="AF290" t="s">
        <v>47</v>
      </c>
      <c r="AG290" t="s">
        <v>52</v>
      </c>
      <c r="AH290" t="s">
        <v>53</v>
      </c>
      <c r="AI290" t="s">
        <v>80</v>
      </c>
      <c r="AJ290">
        <v>7.9</v>
      </c>
      <c r="AK290" t="s">
        <v>46</v>
      </c>
      <c r="AL290" t="s">
        <v>66</v>
      </c>
      <c r="AM290" t="s">
        <v>77</v>
      </c>
      <c r="AN290">
        <v>23</v>
      </c>
      <c r="AO290" t="s">
        <v>47</v>
      </c>
    </row>
    <row r="291" spans="1:41">
      <c r="A291" t="s">
        <v>439</v>
      </c>
      <c r="B291">
        <v>2024</v>
      </c>
      <c r="C291" s="1">
        <v>45452</v>
      </c>
      <c r="D291" t="s">
        <v>58</v>
      </c>
      <c r="E291" t="s">
        <v>163</v>
      </c>
      <c r="F291">
        <v>75</v>
      </c>
      <c r="G291" t="s">
        <v>44</v>
      </c>
      <c r="H291" t="s">
        <v>70</v>
      </c>
      <c r="I291">
        <v>0</v>
      </c>
      <c r="J291">
        <v>0</v>
      </c>
      <c r="K291" t="s">
        <v>47</v>
      </c>
      <c r="L291" t="s">
        <v>47</v>
      </c>
      <c r="M291" t="s">
        <v>46</v>
      </c>
      <c r="N291" t="s">
        <v>48</v>
      </c>
      <c r="O291" t="s">
        <v>48</v>
      </c>
      <c r="P291">
        <v>19.399999999999999</v>
      </c>
      <c r="Q291" t="s">
        <v>50</v>
      </c>
      <c r="R291" t="s">
        <v>47</v>
      </c>
      <c r="S291" t="s">
        <v>47</v>
      </c>
      <c r="T291" t="s">
        <v>46</v>
      </c>
      <c r="U291" t="s">
        <v>46</v>
      </c>
      <c r="V291" t="s">
        <v>112</v>
      </c>
      <c r="W291" t="s">
        <v>47</v>
      </c>
      <c r="X291" t="s">
        <v>46</v>
      </c>
      <c r="Y291" t="s">
        <v>47</v>
      </c>
      <c r="Z291" t="s">
        <v>47</v>
      </c>
      <c r="AA291" t="s">
        <v>47</v>
      </c>
      <c r="AB291" t="s">
        <v>46</v>
      </c>
      <c r="AC291" t="s">
        <v>47</v>
      </c>
      <c r="AD291" t="s">
        <v>46</v>
      </c>
      <c r="AE291" t="s">
        <v>47</v>
      </c>
      <c r="AF291" t="s">
        <v>47</v>
      </c>
      <c r="AG291" t="s">
        <v>52</v>
      </c>
      <c r="AH291" t="s">
        <v>53</v>
      </c>
      <c r="AI291" t="s">
        <v>65</v>
      </c>
      <c r="AJ291">
        <v>1.4</v>
      </c>
      <c r="AK291" t="s">
        <v>47</v>
      </c>
      <c r="AL291" t="s">
        <v>81</v>
      </c>
      <c r="AM291" t="s">
        <v>118</v>
      </c>
      <c r="AN291">
        <v>89</v>
      </c>
      <c r="AO291" t="s">
        <v>46</v>
      </c>
    </row>
    <row r="292" spans="1:41">
      <c r="A292" t="s">
        <v>440</v>
      </c>
      <c r="B292">
        <v>2019</v>
      </c>
      <c r="C292" s="1">
        <v>43808</v>
      </c>
      <c r="D292" t="s">
        <v>95</v>
      </c>
      <c r="E292" t="s">
        <v>147</v>
      </c>
      <c r="F292">
        <v>70</v>
      </c>
      <c r="G292" t="s">
        <v>60</v>
      </c>
      <c r="H292" t="s">
        <v>45</v>
      </c>
      <c r="I292">
        <v>22</v>
      </c>
      <c r="J292">
        <v>33</v>
      </c>
      <c r="K292" t="s">
        <v>47</v>
      </c>
      <c r="L292" t="s">
        <v>46</v>
      </c>
      <c r="M292" t="s">
        <v>47</v>
      </c>
      <c r="N292" t="s">
        <v>62</v>
      </c>
      <c r="O292" t="s">
        <v>49</v>
      </c>
      <c r="P292">
        <v>22</v>
      </c>
      <c r="Q292" t="s">
        <v>48</v>
      </c>
      <c r="R292" t="s">
        <v>47</v>
      </c>
      <c r="S292" t="s">
        <v>47</v>
      </c>
      <c r="T292" t="s">
        <v>47</v>
      </c>
      <c r="U292" t="s">
        <v>47</v>
      </c>
      <c r="V292" t="s">
        <v>151</v>
      </c>
      <c r="W292" t="s">
        <v>46</v>
      </c>
      <c r="X292" t="s">
        <v>46</v>
      </c>
      <c r="Y292" t="s">
        <v>46</v>
      </c>
      <c r="Z292" t="s">
        <v>47</v>
      </c>
      <c r="AA292" t="s">
        <v>46</v>
      </c>
      <c r="AB292" t="s">
        <v>46</v>
      </c>
      <c r="AC292" t="s">
        <v>46</v>
      </c>
      <c r="AD292" t="s">
        <v>46</v>
      </c>
      <c r="AE292" t="s">
        <v>46</v>
      </c>
      <c r="AF292" t="s">
        <v>47</v>
      </c>
      <c r="AG292" t="s">
        <v>52</v>
      </c>
      <c r="AH292" t="s">
        <v>71</v>
      </c>
      <c r="AI292" t="s">
        <v>80</v>
      </c>
      <c r="AJ292">
        <v>6.9</v>
      </c>
      <c r="AK292" t="s">
        <v>47</v>
      </c>
      <c r="AL292" t="s">
        <v>81</v>
      </c>
      <c r="AM292" t="s">
        <v>56</v>
      </c>
      <c r="AN292">
        <v>15</v>
      </c>
      <c r="AO292" t="s">
        <v>47</v>
      </c>
    </row>
    <row r="293" spans="1:41">
      <c r="A293" t="s">
        <v>441</v>
      </c>
      <c r="B293">
        <v>2018</v>
      </c>
      <c r="C293" s="1">
        <v>43117</v>
      </c>
      <c r="D293" t="s">
        <v>95</v>
      </c>
      <c r="E293" t="s">
        <v>132</v>
      </c>
      <c r="F293">
        <v>65</v>
      </c>
      <c r="G293" t="s">
        <v>60</v>
      </c>
      <c r="H293" t="s">
        <v>45</v>
      </c>
      <c r="I293">
        <v>14</v>
      </c>
      <c r="J293">
        <v>36</v>
      </c>
      <c r="K293" t="s">
        <v>47</v>
      </c>
      <c r="L293" t="s">
        <v>47</v>
      </c>
      <c r="M293" t="s">
        <v>47</v>
      </c>
      <c r="N293" t="s">
        <v>48</v>
      </c>
      <c r="O293" t="s">
        <v>63</v>
      </c>
      <c r="P293">
        <v>27.8</v>
      </c>
      <c r="Q293" t="s">
        <v>50</v>
      </c>
      <c r="R293" t="s">
        <v>47</v>
      </c>
      <c r="S293" t="s">
        <v>47</v>
      </c>
      <c r="T293" t="s">
        <v>47</v>
      </c>
      <c r="U293" t="s">
        <v>47</v>
      </c>
      <c r="V293" t="s">
        <v>151</v>
      </c>
      <c r="W293" t="s">
        <v>47</v>
      </c>
      <c r="X293" t="s">
        <v>47</v>
      </c>
      <c r="Y293" t="s">
        <v>46</v>
      </c>
      <c r="Z293" t="s">
        <v>47</v>
      </c>
      <c r="AA293" t="s">
        <v>46</v>
      </c>
      <c r="AB293" t="s">
        <v>46</v>
      </c>
      <c r="AC293" t="s">
        <v>47</v>
      </c>
      <c r="AD293" t="s">
        <v>46</v>
      </c>
      <c r="AE293" t="s">
        <v>47</v>
      </c>
      <c r="AF293" t="s">
        <v>47</v>
      </c>
      <c r="AG293" t="s">
        <v>52</v>
      </c>
      <c r="AH293" t="s">
        <v>53</v>
      </c>
      <c r="AI293" t="s">
        <v>65</v>
      </c>
      <c r="AJ293">
        <v>2.5</v>
      </c>
      <c r="AK293" t="s">
        <v>47</v>
      </c>
      <c r="AL293" t="s">
        <v>76</v>
      </c>
      <c r="AM293" t="s">
        <v>67</v>
      </c>
      <c r="AN293">
        <v>34</v>
      </c>
      <c r="AO293" t="s">
        <v>47</v>
      </c>
    </row>
    <row r="294" spans="1:41">
      <c r="A294" t="s">
        <v>442</v>
      </c>
      <c r="B294">
        <v>2022</v>
      </c>
      <c r="C294" s="1">
        <v>44600</v>
      </c>
      <c r="D294" t="s">
        <v>42</v>
      </c>
      <c r="E294" t="s">
        <v>79</v>
      </c>
      <c r="F294">
        <v>49</v>
      </c>
      <c r="G294" t="s">
        <v>44</v>
      </c>
      <c r="H294" t="s">
        <v>70</v>
      </c>
      <c r="I294">
        <v>0</v>
      </c>
      <c r="J294">
        <v>0</v>
      </c>
      <c r="K294" t="s">
        <v>46</v>
      </c>
      <c r="L294" t="s">
        <v>47</v>
      </c>
      <c r="M294" t="s">
        <v>47</v>
      </c>
      <c r="N294" t="s">
        <v>48</v>
      </c>
      <c r="O294" t="s">
        <v>49</v>
      </c>
      <c r="P294">
        <v>32.200000000000003</v>
      </c>
      <c r="Q294" t="s">
        <v>50</v>
      </c>
      <c r="R294" t="s">
        <v>47</v>
      </c>
      <c r="S294" t="s">
        <v>47</v>
      </c>
      <c r="T294" t="s">
        <v>47</v>
      </c>
      <c r="U294" t="s">
        <v>47</v>
      </c>
      <c r="V294" t="s">
        <v>193</v>
      </c>
      <c r="W294" t="s">
        <v>47</v>
      </c>
      <c r="X294" t="s">
        <v>46</v>
      </c>
      <c r="Y294" t="s">
        <v>47</v>
      </c>
      <c r="Z294" t="s">
        <v>47</v>
      </c>
      <c r="AA294" t="s">
        <v>46</v>
      </c>
      <c r="AB294" t="s">
        <v>47</v>
      </c>
      <c r="AC294" t="s">
        <v>47</v>
      </c>
      <c r="AD294" t="s">
        <v>46</v>
      </c>
      <c r="AE294" t="s">
        <v>46</v>
      </c>
      <c r="AF294" t="s">
        <v>46</v>
      </c>
      <c r="AG294" t="s">
        <v>52</v>
      </c>
      <c r="AH294" t="s">
        <v>53</v>
      </c>
      <c r="AI294" t="s">
        <v>87</v>
      </c>
      <c r="AJ294">
        <v>3.8</v>
      </c>
      <c r="AK294" t="s">
        <v>47</v>
      </c>
      <c r="AL294" t="s">
        <v>76</v>
      </c>
      <c r="AM294" t="s">
        <v>118</v>
      </c>
      <c r="AN294">
        <v>29</v>
      </c>
      <c r="AO294" t="s">
        <v>46</v>
      </c>
    </row>
    <row r="295" spans="1:41">
      <c r="A295" t="s">
        <v>443</v>
      </c>
      <c r="B295">
        <v>2020</v>
      </c>
      <c r="C295" s="1">
        <v>44061</v>
      </c>
      <c r="D295" t="s">
        <v>110</v>
      </c>
      <c r="E295" t="s">
        <v>236</v>
      </c>
      <c r="F295">
        <v>52</v>
      </c>
      <c r="G295" t="s">
        <v>60</v>
      </c>
      <c r="H295" t="s">
        <v>70</v>
      </c>
      <c r="I295">
        <v>0</v>
      </c>
      <c r="J295">
        <v>0</v>
      </c>
      <c r="K295" t="s">
        <v>47</v>
      </c>
      <c r="L295" t="s">
        <v>47</v>
      </c>
      <c r="M295" t="s">
        <v>47</v>
      </c>
      <c r="N295" t="s">
        <v>62</v>
      </c>
      <c r="O295" t="s">
        <v>48</v>
      </c>
      <c r="P295">
        <v>20.3</v>
      </c>
      <c r="Q295" t="s">
        <v>48</v>
      </c>
      <c r="R295" t="s">
        <v>47</v>
      </c>
      <c r="S295" t="s">
        <v>47</v>
      </c>
      <c r="T295" t="s">
        <v>46</v>
      </c>
      <c r="U295" t="s">
        <v>47</v>
      </c>
      <c r="V295" t="s">
        <v>64</v>
      </c>
      <c r="W295" t="s">
        <v>46</v>
      </c>
      <c r="X295" t="s">
        <v>47</v>
      </c>
      <c r="Y295" t="s">
        <v>47</v>
      </c>
      <c r="Z295" t="s">
        <v>47</v>
      </c>
      <c r="AA295" t="s">
        <v>47</v>
      </c>
      <c r="AB295" t="s">
        <v>47</v>
      </c>
      <c r="AC295" t="s">
        <v>47</v>
      </c>
      <c r="AD295" t="s">
        <v>47</v>
      </c>
      <c r="AE295" t="s">
        <v>47</v>
      </c>
      <c r="AF295" t="s">
        <v>47</v>
      </c>
      <c r="AG295" t="s">
        <v>52</v>
      </c>
      <c r="AH295" t="s">
        <v>71</v>
      </c>
      <c r="AI295" t="s">
        <v>87</v>
      </c>
      <c r="AJ295">
        <v>4.7</v>
      </c>
      <c r="AK295" t="s">
        <v>47</v>
      </c>
      <c r="AL295" t="s">
        <v>100</v>
      </c>
      <c r="AM295" t="s">
        <v>77</v>
      </c>
      <c r="AN295">
        <v>19</v>
      </c>
      <c r="AO295" t="s">
        <v>46</v>
      </c>
    </row>
    <row r="296" spans="1:41">
      <c r="A296" t="s">
        <v>444</v>
      </c>
      <c r="B296">
        <v>2022</v>
      </c>
      <c r="C296" s="1">
        <v>44911</v>
      </c>
      <c r="D296" t="s">
        <v>42</v>
      </c>
      <c r="E296" t="s">
        <v>210</v>
      </c>
      <c r="F296">
        <v>74</v>
      </c>
      <c r="G296" t="s">
        <v>44</v>
      </c>
      <c r="H296" t="s">
        <v>70</v>
      </c>
      <c r="I296">
        <v>0</v>
      </c>
      <c r="J296">
        <v>0</v>
      </c>
      <c r="K296" t="s">
        <v>47</v>
      </c>
      <c r="L296" t="s">
        <v>46</v>
      </c>
      <c r="M296" t="s">
        <v>47</v>
      </c>
      <c r="N296" t="s">
        <v>62</v>
      </c>
      <c r="O296" t="s">
        <v>49</v>
      </c>
      <c r="P296">
        <v>27.2</v>
      </c>
      <c r="Q296" t="s">
        <v>48</v>
      </c>
      <c r="R296" t="s">
        <v>47</v>
      </c>
      <c r="S296" t="s">
        <v>47</v>
      </c>
      <c r="T296" t="s">
        <v>47</v>
      </c>
      <c r="U296" t="s">
        <v>47</v>
      </c>
      <c r="V296" t="s">
        <v>51</v>
      </c>
      <c r="W296" t="s">
        <v>46</v>
      </c>
      <c r="X296" t="s">
        <v>47</v>
      </c>
      <c r="Y296" t="s">
        <v>47</v>
      </c>
      <c r="Z296" t="s">
        <v>47</v>
      </c>
      <c r="AA296" t="s">
        <v>46</v>
      </c>
      <c r="AB296" t="s">
        <v>47</v>
      </c>
      <c r="AC296" t="s">
        <v>47</v>
      </c>
      <c r="AD296" t="s">
        <v>47</v>
      </c>
      <c r="AE296" t="s">
        <v>47</v>
      </c>
      <c r="AF296" t="s">
        <v>47</v>
      </c>
      <c r="AG296" t="s">
        <v>121</v>
      </c>
      <c r="AH296" t="s">
        <v>122</v>
      </c>
      <c r="AI296" t="s">
        <v>65</v>
      </c>
      <c r="AJ296">
        <v>3.6</v>
      </c>
      <c r="AK296" t="s">
        <v>47</v>
      </c>
      <c r="AL296" t="s">
        <v>66</v>
      </c>
      <c r="AM296" t="s">
        <v>73</v>
      </c>
      <c r="AN296">
        <v>53</v>
      </c>
      <c r="AO296" t="s">
        <v>46</v>
      </c>
    </row>
    <row r="297" spans="1:41">
      <c r="A297" t="s">
        <v>445</v>
      </c>
      <c r="B297">
        <v>2024</v>
      </c>
      <c r="C297" s="1">
        <v>45530</v>
      </c>
      <c r="D297" t="s">
        <v>98</v>
      </c>
      <c r="E297" t="s">
        <v>99</v>
      </c>
      <c r="F297">
        <v>51</v>
      </c>
      <c r="G297" t="s">
        <v>60</v>
      </c>
      <c r="H297" t="s">
        <v>70</v>
      </c>
      <c r="I297">
        <v>0</v>
      </c>
      <c r="J297">
        <v>0</v>
      </c>
      <c r="K297" t="s">
        <v>46</v>
      </c>
      <c r="L297" t="s">
        <v>47</v>
      </c>
      <c r="M297" t="s">
        <v>46</v>
      </c>
      <c r="N297" t="s">
        <v>62</v>
      </c>
      <c r="O297" t="s">
        <v>48</v>
      </c>
      <c r="P297">
        <v>19.2</v>
      </c>
      <c r="Q297" t="s">
        <v>50</v>
      </c>
      <c r="R297" t="s">
        <v>47</v>
      </c>
      <c r="S297" t="s">
        <v>47</v>
      </c>
      <c r="T297" t="s">
        <v>47</v>
      </c>
      <c r="U297" t="s">
        <v>47</v>
      </c>
      <c r="V297" t="s">
        <v>151</v>
      </c>
      <c r="W297" t="s">
        <v>46</v>
      </c>
      <c r="X297" t="s">
        <v>46</v>
      </c>
      <c r="Y297" t="s">
        <v>47</v>
      </c>
      <c r="Z297" t="s">
        <v>46</v>
      </c>
      <c r="AA297" t="s">
        <v>47</v>
      </c>
      <c r="AB297" t="s">
        <v>47</v>
      </c>
      <c r="AC297" t="s">
        <v>47</v>
      </c>
      <c r="AD297" t="s">
        <v>47</v>
      </c>
      <c r="AE297" t="s">
        <v>47</v>
      </c>
      <c r="AF297" t="s">
        <v>47</v>
      </c>
      <c r="AG297" t="s">
        <v>52</v>
      </c>
      <c r="AH297" t="s">
        <v>90</v>
      </c>
      <c r="AI297" t="s">
        <v>80</v>
      </c>
      <c r="AJ297">
        <v>6.8</v>
      </c>
      <c r="AK297" t="s">
        <v>46</v>
      </c>
      <c r="AL297" t="s">
        <v>76</v>
      </c>
      <c r="AM297" t="s">
        <v>82</v>
      </c>
      <c r="AN297">
        <v>32</v>
      </c>
      <c r="AO297" t="s">
        <v>47</v>
      </c>
    </row>
    <row r="298" spans="1:41">
      <c r="A298" t="s">
        <v>446</v>
      </c>
      <c r="B298">
        <v>2023</v>
      </c>
      <c r="C298" s="1">
        <v>44967</v>
      </c>
      <c r="D298" t="s">
        <v>110</v>
      </c>
      <c r="E298" t="s">
        <v>236</v>
      </c>
      <c r="F298">
        <v>47</v>
      </c>
      <c r="G298" t="s">
        <v>44</v>
      </c>
      <c r="H298" t="s">
        <v>61</v>
      </c>
      <c r="I298">
        <v>17</v>
      </c>
      <c r="J298">
        <v>6</v>
      </c>
      <c r="K298" t="s">
        <v>46</v>
      </c>
      <c r="L298" t="s">
        <v>47</v>
      </c>
      <c r="M298" t="s">
        <v>47</v>
      </c>
      <c r="N298" t="s">
        <v>62</v>
      </c>
      <c r="O298" t="s">
        <v>63</v>
      </c>
      <c r="P298">
        <v>27.7</v>
      </c>
      <c r="Q298" t="s">
        <v>50</v>
      </c>
      <c r="R298" t="s">
        <v>47</v>
      </c>
      <c r="S298" t="s">
        <v>47</v>
      </c>
      <c r="T298" t="s">
        <v>47</v>
      </c>
      <c r="U298" t="s">
        <v>47</v>
      </c>
      <c r="V298" t="s">
        <v>51</v>
      </c>
      <c r="W298" t="s">
        <v>47</v>
      </c>
      <c r="X298" t="s">
        <v>46</v>
      </c>
      <c r="Y298" t="s">
        <v>46</v>
      </c>
      <c r="Z298" t="s">
        <v>47</v>
      </c>
      <c r="AA298" t="s">
        <v>46</v>
      </c>
      <c r="AB298" t="s">
        <v>47</v>
      </c>
      <c r="AC298" t="s">
        <v>47</v>
      </c>
      <c r="AD298" t="s">
        <v>46</v>
      </c>
      <c r="AE298" t="s">
        <v>47</v>
      </c>
      <c r="AF298" t="s">
        <v>47</v>
      </c>
      <c r="AG298" t="s">
        <v>52</v>
      </c>
      <c r="AH298" t="s">
        <v>71</v>
      </c>
      <c r="AI298" t="s">
        <v>80</v>
      </c>
      <c r="AJ298">
        <v>4.7</v>
      </c>
      <c r="AK298" t="s">
        <v>47</v>
      </c>
      <c r="AL298" t="s">
        <v>100</v>
      </c>
      <c r="AM298" t="s">
        <v>77</v>
      </c>
      <c r="AN298">
        <v>29</v>
      </c>
      <c r="AO298" t="s">
        <v>47</v>
      </c>
    </row>
    <row r="299" spans="1:41">
      <c r="A299" t="s">
        <v>447</v>
      </c>
      <c r="B299">
        <v>2020</v>
      </c>
      <c r="C299" s="1">
        <v>44035</v>
      </c>
      <c r="D299" t="s">
        <v>42</v>
      </c>
      <c r="E299" t="s">
        <v>160</v>
      </c>
      <c r="F299">
        <v>53</v>
      </c>
      <c r="G299" t="s">
        <v>44</v>
      </c>
      <c r="H299" t="s">
        <v>70</v>
      </c>
      <c r="I299">
        <v>0</v>
      </c>
      <c r="J299">
        <v>0</v>
      </c>
      <c r="K299" t="s">
        <v>47</v>
      </c>
      <c r="L299" t="s">
        <v>46</v>
      </c>
      <c r="M299" t="s">
        <v>47</v>
      </c>
      <c r="N299" t="s">
        <v>48</v>
      </c>
      <c r="O299" t="s">
        <v>48</v>
      </c>
      <c r="P299">
        <v>19.899999999999999</v>
      </c>
      <c r="Q299" t="s">
        <v>48</v>
      </c>
      <c r="R299" t="s">
        <v>47</v>
      </c>
      <c r="S299" t="s">
        <v>47</v>
      </c>
      <c r="T299" t="s">
        <v>47</v>
      </c>
      <c r="U299" t="s">
        <v>47</v>
      </c>
      <c r="V299" t="s">
        <v>51</v>
      </c>
      <c r="W299" t="s">
        <v>46</v>
      </c>
      <c r="X299" t="s">
        <v>47</v>
      </c>
      <c r="Y299" t="s">
        <v>46</v>
      </c>
      <c r="Z299" t="s">
        <v>47</v>
      </c>
      <c r="AA299" t="s">
        <v>46</v>
      </c>
      <c r="AB299" t="s">
        <v>47</v>
      </c>
      <c r="AC299" t="s">
        <v>47</v>
      </c>
      <c r="AD299" t="s">
        <v>47</v>
      </c>
      <c r="AE299" t="s">
        <v>47</v>
      </c>
      <c r="AF299" t="s">
        <v>47</v>
      </c>
      <c r="AG299" t="s">
        <v>52</v>
      </c>
      <c r="AH299" t="s">
        <v>90</v>
      </c>
      <c r="AI299" t="s">
        <v>65</v>
      </c>
      <c r="AJ299">
        <v>1.8</v>
      </c>
      <c r="AK299" t="s">
        <v>47</v>
      </c>
      <c r="AL299" t="s">
        <v>100</v>
      </c>
      <c r="AM299" t="s">
        <v>73</v>
      </c>
      <c r="AN299">
        <v>74</v>
      </c>
      <c r="AO299" t="s">
        <v>46</v>
      </c>
    </row>
    <row r="300" spans="1:41">
      <c r="A300" t="s">
        <v>448</v>
      </c>
      <c r="B300">
        <v>2019</v>
      </c>
      <c r="C300" s="1">
        <v>43607</v>
      </c>
      <c r="D300" t="s">
        <v>84</v>
      </c>
      <c r="E300" t="s">
        <v>449</v>
      </c>
      <c r="F300">
        <v>68</v>
      </c>
      <c r="G300" t="s">
        <v>60</v>
      </c>
      <c r="H300" t="s">
        <v>70</v>
      </c>
      <c r="I300">
        <v>0</v>
      </c>
      <c r="J300">
        <v>0</v>
      </c>
      <c r="K300" t="s">
        <v>46</v>
      </c>
      <c r="L300" t="s">
        <v>47</v>
      </c>
      <c r="M300" t="s">
        <v>47</v>
      </c>
      <c r="N300" t="s">
        <v>50</v>
      </c>
      <c r="O300" t="s">
        <v>49</v>
      </c>
      <c r="P300">
        <v>27.7</v>
      </c>
      <c r="Q300" t="s">
        <v>48</v>
      </c>
      <c r="R300" t="s">
        <v>47</v>
      </c>
      <c r="S300" t="s">
        <v>47</v>
      </c>
      <c r="T300" t="s">
        <v>47</v>
      </c>
      <c r="U300" t="s">
        <v>47</v>
      </c>
      <c r="V300" t="s">
        <v>128</v>
      </c>
      <c r="W300" t="s">
        <v>47</v>
      </c>
      <c r="X300" t="s">
        <v>47</v>
      </c>
      <c r="Y300" t="s">
        <v>47</v>
      </c>
      <c r="Z300" t="s">
        <v>47</v>
      </c>
      <c r="AA300" t="s">
        <v>47</v>
      </c>
      <c r="AB300" t="s">
        <v>46</v>
      </c>
      <c r="AC300" t="s">
        <v>47</v>
      </c>
      <c r="AD300" t="s">
        <v>46</v>
      </c>
      <c r="AE300" t="s">
        <v>47</v>
      </c>
      <c r="AF300" t="s">
        <v>47</v>
      </c>
      <c r="AG300" t="s">
        <v>52</v>
      </c>
      <c r="AH300" t="s">
        <v>71</v>
      </c>
      <c r="AI300" t="s">
        <v>87</v>
      </c>
      <c r="AJ300">
        <v>3.7</v>
      </c>
      <c r="AK300" t="s">
        <v>47</v>
      </c>
      <c r="AL300" t="s">
        <v>100</v>
      </c>
      <c r="AM300" t="s">
        <v>77</v>
      </c>
      <c r="AN300">
        <v>35</v>
      </c>
      <c r="AO300" t="s">
        <v>46</v>
      </c>
    </row>
    <row r="301" spans="1:41">
      <c r="A301" t="s">
        <v>450</v>
      </c>
      <c r="B301">
        <v>2018</v>
      </c>
      <c r="C301" s="1">
        <v>43267</v>
      </c>
      <c r="D301" t="s">
        <v>95</v>
      </c>
      <c r="E301" t="s">
        <v>147</v>
      </c>
      <c r="F301">
        <v>52</v>
      </c>
      <c r="G301" t="s">
        <v>60</v>
      </c>
      <c r="H301" t="s">
        <v>45</v>
      </c>
      <c r="I301">
        <v>26</v>
      </c>
      <c r="J301">
        <v>26</v>
      </c>
      <c r="K301" t="s">
        <v>46</v>
      </c>
      <c r="L301" t="s">
        <v>46</v>
      </c>
      <c r="M301" t="s">
        <v>47</v>
      </c>
      <c r="N301" t="s">
        <v>48</v>
      </c>
      <c r="O301" t="s">
        <v>63</v>
      </c>
      <c r="P301">
        <v>23.5</v>
      </c>
      <c r="Q301" t="s">
        <v>62</v>
      </c>
      <c r="R301" t="s">
        <v>47</v>
      </c>
      <c r="S301" t="s">
        <v>47</v>
      </c>
      <c r="T301" t="s">
        <v>47</v>
      </c>
      <c r="U301" t="s">
        <v>47</v>
      </c>
      <c r="V301" t="s">
        <v>51</v>
      </c>
      <c r="W301" t="s">
        <v>46</v>
      </c>
      <c r="X301" t="s">
        <v>46</v>
      </c>
      <c r="Y301" t="s">
        <v>46</v>
      </c>
      <c r="Z301" t="s">
        <v>46</v>
      </c>
      <c r="AA301" t="s">
        <v>47</v>
      </c>
      <c r="AB301" t="s">
        <v>46</v>
      </c>
      <c r="AC301" t="s">
        <v>46</v>
      </c>
      <c r="AD301" t="s">
        <v>46</v>
      </c>
      <c r="AE301" t="s">
        <v>47</v>
      </c>
      <c r="AF301" t="s">
        <v>46</v>
      </c>
      <c r="AG301" t="s">
        <v>121</v>
      </c>
      <c r="AH301" t="s">
        <v>122</v>
      </c>
      <c r="AI301" t="s">
        <v>87</v>
      </c>
      <c r="AJ301">
        <v>2.5</v>
      </c>
      <c r="AK301" t="s">
        <v>47</v>
      </c>
      <c r="AL301" t="s">
        <v>156</v>
      </c>
      <c r="AM301" t="s">
        <v>77</v>
      </c>
      <c r="AN301">
        <v>39</v>
      </c>
      <c r="AO301" t="s">
        <v>46</v>
      </c>
    </row>
    <row r="302" spans="1:41">
      <c r="A302" t="s">
        <v>451</v>
      </c>
      <c r="B302">
        <v>2024</v>
      </c>
      <c r="C302" s="1">
        <v>45547</v>
      </c>
      <c r="D302" t="s">
        <v>95</v>
      </c>
      <c r="E302" t="s">
        <v>145</v>
      </c>
      <c r="F302">
        <v>59</v>
      </c>
      <c r="G302" t="s">
        <v>60</v>
      </c>
      <c r="H302" t="s">
        <v>70</v>
      </c>
      <c r="I302">
        <v>0</v>
      </c>
      <c r="J302">
        <v>0</v>
      </c>
      <c r="K302" t="s">
        <v>46</v>
      </c>
      <c r="L302" t="s">
        <v>47</v>
      </c>
      <c r="M302" t="s">
        <v>47</v>
      </c>
      <c r="N302" t="s">
        <v>50</v>
      </c>
      <c r="O302" t="s">
        <v>49</v>
      </c>
      <c r="P302">
        <v>22</v>
      </c>
      <c r="Q302" t="s">
        <v>62</v>
      </c>
      <c r="R302" t="s">
        <v>47</v>
      </c>
      <c r="S302" t="s">
        <v>46</v>
      </c>
      <c r="T302" t="s">
        <v>47</v>
      </c>
      <c r="U302" t="s">
        <v>47</v>
      </c>
      <c r="V302" t="s">
        <v>51</v>
      </c>
      <c r="W302" t="s">
        <v>46</v>
      </c>
      <c r="X302" t="s">
        <v>46</v>
      </c>
      <c r="Y302" t="s">
        <v>47</v>
      </c>
      <c r="Z302" t="s">
        <v>47</v>
      </c>
      <c r="AA302" t="s">
        <v>46</v>
      </c>
      <c r="AB302" t="s">
        <v>47</v>
      </c>
      <c r="AC302" t="s">
        <v>47</v>
      </c>
      <c r="AD302" t="s">
        <v>47</v>
      </c>
      <c r="AE302" t="s">
        <v>47</v>
      </c>
      <c r="AF302" t="s">
        <v>47</v>
      </c>
      <c r="AG302" t="s">
        <v>52</v>
      </c>
      <c r="AH302" t="s">
        <v>53</v>
      </c>
      <c r="AI302" t="s">
        <v>54</v>
      </c>
      <c r="AJ302">
        <v>9.6999999999999993</v>
      </c>
      <c r="AK302" t="s">
        <v>46</v>
      </c>
      <c r="AL302" t="s">
        <v>100</v>
      </c>
      <c r="AM302" t="s">
        <v>265</v>
      </c>
      <c r="AN302">
        <v>6</v>
      </c>
      <c r="AO302" t="s">
        <v>47</v>
      </c>
    </row>
    <row r="303" spans="1:41">
      <c r="A303" t="s">
        <v>452</v>
      </c>
      <c r="B303">
        <v>2021</v>
      </c>
      <c r="C303" s="1">
        <v>44548</v>
      </c>
      <c r="D303" t="s">
        <v>42</v>
      </c>
      <c r="E303" t="s">
        <v>136</v>
      </c>
      <c r="F303">
        <v>56</v>
      </c>
      <c r="G303" t="s">
        <v>60</v>
      </c>
      <c r="H303" t="s">
        <v>61</v>
      </c>
      <c r="I303">
        <v>10</v>
      </c>
      <c r="J303">
        <v>17</v>
      </c>
      <c r="K303" t="s">
        <v>47</v>
      </c>
      <c r="L303" t="s">
        <v>47</v>
      </c>
      <c r="M303" t="s">
        <v>47</v>
      </c>
      <c r="N303" t="s">
        <v>50</v>
      </c>
      <c r="O303" t="s">
        <v>63</v>
      </c>
      <c r="P303">
        <v>32.200000000000003</v>
      </c>
      <c r="Q303" t="s">
        <v>62</v>
      </c>
      <c r="R303" t="s">
        <v>47</v>
      </c>
      <c r="S303" t="s">
        <v>46</v>
      </c>
      <c r="T303" t="s">
        <v>47</v>
      </c>
      <c r="U303" t="s">
        <v>47</v>
      </c>
      <c r="V303" t="s">
        <v>51</v>
      </c>
      <c r="W303" t="s">
        <v>47</v>
      </c>
      <c r="X303" t="s">
        <v>46</v>
      </c>
      <c r="Y303" t="s">
        <v>47</v>
      </c>
      <c r="Z303" t="s">
        <v>47</v>
      </c>
      <c r="AA303" t="s">
        <v>46</v>
      </c>
      <c r="AB303" t="s">
        <v>47</v>
      </c>
      <c r="AC303" t="s">
        <v>46</v>
      </c>
      <c r="AD303" t="s">
        <v>47</v>
      </c>
      <c r="AE303" t="s">
        <v>47</v>
      </c>
      <c r="AF303" t="s">
        <v>47</v>
      </c>
      <c r="AG303" t="s">
        <v>52</v>
      </c>
      <c r="AH303" t="s">
        <v>71</v>
      </c>
      <c r="AI303" t="s">
        <v>65</v>
      </c>
      <c r="AJ303">
        <v>1.8</v>
      </c>
      <c r="AK303" t="s">
        <v>47</v>
      </c>
      <c r="AL303" t="s">
        <v>76</v>
      </c>
      <c r="AM303" t="s">
        <v>73</v>
      </c>
      <c r="AN303">
        <v>42</v>
      </c>
      <c r="AO303" t="s">
        <v>46</v>
      </c>
    </row>
    <row r="304" spans="1:41">
      <c r="A304" t="s">
        <v>453</v>
      </c>
      <c r="B304">
        <v>2016</v>
      </c>
      <c r="C304" s="1">
        <v>42544</v>
      </c>
      <c r="D304" t="s">
        <v>95</v>
      </c>
      <c r="E304" t="s">
        <v>96</v>
      </c>
      <c r="F304">
        <v>61</v>
      </c>
      <c r="G304" t="s">
        <v>60</v>
      </c>
      <c r="H304" t="s">
        <v>70</v>
      </c>
      <c r="I304">
        <v>0</v>
      </c>
      <c r="J304">
        <v>0</v>
      </c>
      <c r="K304" t="s">
        <v>46</v>
      </c>
      <c r="L304" t="s">
        <v>47</v>
      </c>
      <c r="M304" t="s">
        <v>47</v>
      </c>
      <c r="N304" t="s">
        <v>62</v>
      </c>
      <c r="O304" t="s">
        <v>48</v>
      </c>
      <c r="P304">
        <v>29.2</v>
      </c>
      <c r="Q304" t="s">
        <v>62</v>
      </c>
      <c r="R304" t="s">
        <v>47</v>
      </c>
      <c r="S304" t="s">
        <v>47</v>
      </c>
      <c r="T304" t="s">
        <v>47</v>
      </c>
      <c r="U304" t="s">
        <v>46</v>
      </c>
      <c r="V304" t="s">
        <v>64</v>
      </c>
      <c r="W304" t="s">
        <v>46</v>
      </c>
      <c r="X304" t="s">
        <v>47</v>
      </c>
      <c r="Y304" t="s">
        <v>47</v>
      </c>
      <c r="Z304" t="s">
        <v>47</v>
      </c>
      <c r="AA304" t="s">
        <v>47</v>
      </c>
      <c r="AB304" t="s">
        <v>47</v>
      </c>
      <c r="AC304" t="s">
        <v>47</v>
      </c>
      <c r="AD304" t="s">
        <v>47</v>
      </c>
      <c r="AE304" t="s">
        <v>47</v>
      </c>
      <c r="AF304" t="s">
        <v>47</v>
      </c>
      <c r="AG304" t="s">
        <v>52</v>
      </c>
      <c r="AH304" t="s">
        <v>53</v>
      </c>
      <c r="AI304" t="s">
        <v>65</v>
      </c>
      <c r="AJ304">
        <v>2</v>
      </c>
      <c r="AK304" t="s">
        <v>47</v>
      </c>
      <c r="AL304" t="s">
        <v>76</v>
      </c>
      <c r="AM304" t="s">
        <v>73</v>
      </c>
      <c r="AN304">
        <v>54</v>
      </c>
      <c r="AO304" t="s">
        <v>47</v>
      </c>
    </row>
    <row r="305" spans="1:41">
      <c r="A305" t="s">
        <v>454</v>
      </c>
      <c r="B305">
        <v>2022</v>
      </c>
      <c r="C305" s="1">
        <v>44691</v>
      </c>
      <c r="D305" t="s">
        <v>98</v>
      </c>
      <c r="E305" t="s">
        <v>196</v>
      </c>
      <c r="F305">
        <v>45</v>
      </c>
      <c r="G305" t="s">
        <v>60</v>
      </c>
      <c r="H305" t="s">
        <v>70</v>
      </c>
      <c r="I305">
        <v>0</v>
      </c>
      <c r="J305">
        <v>0</v>
      </c>
      <c r="K305" t="s">
        <v>47</v>
      </c>
      <c r="L305" t="s">
        <v>46</v>
      </c>
      <c r="M305" t="s">
        <v>46</v>
      </c>
      <c r="N305" t="s">
        <v>62</v>
      </c>
      <c r="O305" t="s">
        <v>49</v>
      </c>
      <c r="P305">
        <v>23.7</v>
      </c>
      <c r="Q305" t="s">
        <v>48</v>
      </c>
      <c r="R305" t="s">
        <v>46</v>
      </c>
      <c r="S305" t="s">
        <v>46</v>
      </c>
      <c r="T305" t="s">
        <v>47</v>
      </c>
      <c r="U305" t="s">
        <v>47</v>
      </c>
      <c r="V305" t="s">
        <v>51</v>
      </c>
      <c r="W305" t="s">
        <v>46</v>
      </c>
      <c r="X305" t="s">
        <v>46</v>
      </c>
      <c r="Y305" t="s">
        <v>47</v>
      </c>
      <c r="Z305" t="s">
        <v>47</v>
      </c>
      <c r="AA305" t="s">
        <v>47</v>
      </c>
      <c r="AB305" t="s">
        <v>46</v>
      </c>
      <c r="AC305" t="s">
        <v>47</v>
      </c>
      <c r="AD305" t="s">
        <v>47</v>
      </c>
      <c r="AE305" t="s">
        <v>47</v>
      </c>
      <c r="AF305" t="s">
        <v>47</v>
      </c>
      <c r="AG305" t="s">
        <v>52</v>
      </c>
      <c r="AH305" t="s">
        <v>53</v>
      </c>
      <c r="AI305" t="s">
        <v>87</v>
      </c>
      <c r="AJ305">
        <v>2.7</v>
      </c>
      <c r="AK305" t="s">
        <v>47</v>
      </c>
      <c r="AL305" t="s">
        <v>66</v>
      </c>
      <c r="AM305" t="s">
        <v>67</v>
      </c>
      <c r="AN305">
        <v>12</v>
      </c>
      <c r="AO305" t="s">
        <v>46</v>
      </c>
    </row>
    <row r="306" spans="1:41">
      <c r="A306" t="s">
        <v>455</v>
      </c>
      <c r="B306">
        <v>2021</v>
      </c>
      <c r="C306" s="1">
        <v>44290</v>
      </c>
      <c r="D306" t="s">
        <v>42</v>
      </c>
      <c r="E306" t="s">
        <v>160</v>
      </c>
      <c r="F306">
        <v>76</v>
      </c>
      <c r="G306" t="s">
        <v>60</v>
      </c>
      <c r="H306" t="s">
        <v>70</v>
      </c>
      <c r="I306">
        <v>0</v>
      </c>
      <c r="J306">
        <v>0</v>
      </c>
      <c r="K306" t="s">
        <v>46</v>
      </c>
      <c r="L306" t="s">
        <v>46</v>
      </c>
      <c r="M306" t="s">
        <v>47</v>
      </c>
      <c r="N306" t="s">
        <v>48</v>
      </c>
      <c r="O306" t="s">
        <v>63</v>
      </c>
      <c r="P306">
        <v>24.9</v>
      </c>
      <c r="Q306" t="s">
        <v>50</v>
      </c>
      <c r="R306" t="s">
        <v>47</v>
      </c>
      <c r="S306" t="s">
        <v>47</v>
      </c>
      <c r="T306" t="s">
        <v>47</v>
      </c>
      <c r="U306" t="s">
        <v>47</v>
      </c>
      <c r="V306" t="s">
        <v>51</v>
      </c>
      <c r="W306" t="s">
        <v>47</v>
      </c>
      <c r="X306" t="s">
        <v>46</v>
      </c>
      <c r="Y306" t="s">
        <v>47</v>
      </c>
      <c r="Z306" t="s">
        <v>47</v>
      </c>
      <c r="AA306" t="s">
        <v>46</v>
      </c>
      <c r="AB306" t="s">
        <v>47</v>
      </c>
      <c r="AC306" t="s">
        <v>47</v>
      </c>
      <c r="AD306" t="s">
        <v>47</v>
      </c>
      <c r="AE306" t="s">
        <v>47</v>
      </c>
      <c r="AF306" t="s">
        <v>47</v>
      </c>
      <c r="AG306" t="s">
        <v>52</v>
      </c>
      <c r="AH306" t="s">
        <v>53</v>
      </c>
      <c r="AI306" t="s">
        <v>80</v>
      </c>
      <c r="AJ306">
        <v>4.4000000000000004</v>
      </c>
      <c r="AK306" t="s">
        <v>46</v>
      </c>
      <c r="AL306" t="s">
        <v>156</v>
      </c>
      <c r="AM306" t="s">
        <v>82</v>
      </c>
      <c r="AN306">
        <v>18</v>
      </c>
      <c r="AO306" t="s">
        <v>47</v>
      </c>
    </row>
    <row r="307" spans="1:41">
      <c r="A307" t="s">
        <v>456</v>
      </c>
      <c r="B307">
        <v>2024</v>
      </c>
      <c r="C307" s="1">
        <v>45447</v>
      </c>
      <c r="D307" t="s">
        <v>95</v>
      </c>
      <c r="E307" t="s">
        <v>147</v>
      </c>
      <c r="F307">
        <v>68</v>
      </c>
      <c r="G307" t="s">
        <v>44</v>
      </c>
      <c r="H307" t="s">
        <v>70</v>
      </c>
      <c r="I307">
        <v>0</v>
      </c>
      <c r="J307">
        <v>0</v>
      </c>
      <c r="K307" t="s">
        <v>46</v>
      </c>
      <c r="L307" t="s">
        <v>47</v>
      </c>
      <c r="M307" t="s">
        <v>47</v>
      </c>
      <c r="N307" t="s">
        <v>62</v>
      </c>
      <c r="O307" t="s">
        <v>49</v>
      </c>
      <c r="P307">
        <v>25.2</v>
      </c>
      <c r="Q307" t="s">
        <v>62</v>
      </c>
      <c r="R307" t="s">
        <v>47</v>
      </c>
      <c r="S307" t="s">
        <v>47</v>
      </c>
      <c r="T307" t="s">
        <v>47</v>
      </c>
      <c r="U307" t="s">
        <v>47</v>
      </c>
      <c r="V307" t="s">
        <v>51</v>
      </c>
      <c r="W307" t="s">
        <v>47</v>
      </c>
      <c r="X307" t="s">
        <v>47</v>
      </c>
      <c r="Y307" t="s">
        <v>46</v>
      </c>
      <c r="Z307" t="s">
        <v>47</v>
      </c>
      <c r="AA307" t="s">
        <v>47</v>
      </c>
      <c r="AB307" t="s">
        <v>47</v>
      </c>
      <c r="AC307" t="s">
        <v>47</v>
      </c>
      <c r="AD307" t="s">
        <v>47</v>
      </c>
      <c r="AE307" t="s">
        <v>47</v>
      </c>
      <c r="AF307" t="s">
        <v>47</v>
      </c>
      <c r="AG307" t="s">
        <v>52</v>
      </c>
      <c r="AH307" t="s">
        <v>71</v>
      </c>
      <c r="AI307" t="s">
        <v>87</v>
      </c>
      <c r="AJ307">
        <v>3.6</v>
      </c>
      <c r="AK307" t="s">
        <v>46</v>
      </c>
      <c r="AL307" t="s">
        <v>76</v>
      </c>
      <c r="AM307" t="s">
        <v>118</v>
      </c>
      <c r="AN307">
        <v>54</v>
      </c>
      <c r="AO307" t="s">
        <v>46</v>
      </c>
    </row>
    <row r="308" spans="1:41">
      <c r="A308" t="s">
        <v>457</v>
      </c>
      <c r="B308">
        <v>2021</v>
      </c>
      <c r="C308" s="1">
        <v>44536</v>
      </c>
      <c r="D308" t="s">
        <v>58</v>
      </c>
      <c r="E308" t="s">
        <v>59</v>
      </c>
      <c r="F308">
        <v>53</v>
      </c>
      <c r="G308" t="s">
        <v>44</v>
      </c>
      <c r="H308" t="s">
        <v>45</v>
      </c>
      <c r="I308">
        <v>7</v>
      </c>
      <c r="J308">
        <v>31</v>
      </c>
      <c r="K308" t="s">
        <v>46</v>
      </c>
      <c r="L308" t="s">
        <v>47</v>
      </c>
      <c r="M308" t="s">
        <v>47</v>
      </c>
      <c r="N308" t="s">
        <v>48</v>
      </c>
      <c r="O308" t="s">
        <v>63</v>
      </c>
      <c r="P308">
        <v>23.7</v>
      </c>
      <c r="Q308" t="s">
        <v>50</v>
      </c>
      <c r="R308" t="s">
        <v>46</v>
      </c>
      <c r="S308" t="s">
        <v>47</v>
      </c>
      <c r="T308" t="s">
        <v>47</v>
      </c>
      <c r="U308" t="s">
        <v>47</v>
      </c>
      <c r="V308" t="s">
        <v>51</v>
      </c>
      <c r="W308" t="s">
        <v>46</v>
      </c>
      <c r="X308" t="s">
        <v>46</v>
      </c>
      <c r="Y308" t="s">
        <v>47</v>
      </c>
      <c r="Z308" t="s">
        <v>47</v>
      </c>
      <c r="AA308" t="s">
        <v>46</v>
      </c>
      <c r="AB308" t="s">
        <v>47</v>
      </c>
      <c r="AC308" t="s">
        <v>46</v>
      </c>
      <c r="AD308" t="s">
        <v>46</v>
      </c>
      <c r="AE308" t="s">
        <v>47</v>
      </c>
      <c r="AF308" t="s">
        <v>47</v>
      </c>
      <c r="AG308" t="s">
        <v>52</v>
      </c>
      <c r="AH308" t="s">
        <v>53</v>
      </c>
      <c r="AI308" t="s">
        <v>87</v>
      </c>
      <c r="AJ308">
        <v>5.4</v>
      </c>
      <c r="AK308" t="s">
        <v>47</v>
      </c>
      <c r="AL308" t="s">
        <v>66</v>
      </c>
      <c r="AM308" t="s">
        <v>73</v>
      </c>
      <c r="AN308">
        <v>29</v>
      </c>
      <c r="AO308" t="s">
        <v>47</v>
      </c>
    </row>
    <row r="309" spans="1:41">
      <c r="A309" t="s">
        <v>458</v>
      </c>
      <c r="B309">
        <v>2017</v>
      </c>
      <c r="C309" s="1">
        <v>42849</v>
      </c>
      <c r="D309" t="s">
        <v>98</v>
      </c>
      <c r="E309" t="s">
        <v>202</v>
      </c>
      <c r="F309">
        <v>60</v>
      </c>
      <c r="G309" t="s">
        <v>60</v>
      </c>
      <c r="H309" t="s">
        <v>61</v>
      </c>
      <c r="I309">
        <v>17</v>
      </c>
      <c r="J309">
        <v>11</v>
      </c>
      <c r="K309" t="s">
        <v>46</v>
      </c>
      <c r="L309" t="s">
        <v>47</v>
      </c>
      <c r="M309" t="s">
        <v>46</v>
      </c>
      <c r="N309" t="s">
        <v>48</v>
      </c>
      <c r="O309" t="s">
        <v>49</v>
      </c>
      <c r="P309">
        <v>30.8</v>
      </c>
      <c r="Q309" t="s">
        <v>50</v>
      </c>
      <c r="R309" t="s">
        <v>46</v>
      </c>
      <c r="S309" t="s">
        <v>46</v>
      </c>
      <c r="T309" t="s">
        <v>46</v>
      </c>
      <c r="U309" t="s">
        <v>47</v>
      </c>
      <c r="V309" t="s">
        <v>151</v>
      </c>
      <c r="W309" t="s">
        <v>46</v>
      </c>
      <c r="X309" t="s">
        <v>46</v>
      </c>
      <c r="Y309" t="s">
        <v>47</v>
      </c>
      <c r="Z309" t="s">
        <v>47</v>
      </c>
      <c r="AA309" t="s">
        <v>47</v>
      </c>
      <c r="AB309" t="s">
        <v>47</v>
      </c>
      <c r="AC309" t="s">
        <v>46</v>
      </c>
      <c r="AD309" t="s">
        <v>47</v>
      </c>
      <c r="AE309" t="s">
        <v>47</v>
      </c>
      <c r="AF309" t="s">
        <v>47</v>
      </c>
      <c r="AG309" t="s">
        <v>52</v>
      </c>
      <c r="AH309" t="s">
        <v>53</v>
      </c>
      <c r="AI309" t="s">
        <v>54</v>
      </c>
      <c r="AJ309">
        <v>8.9</v>
      </c>
      <c r="AK309" t="s">
        <v>46</v>
      </c>
      <c r="AL309" t="s">
        <v>81</v>
      </c>
      <c r="AM309" t="s">
        <v>82</v>
      </c>
      <c r="AN309">
        <v>3</v>
      </c>
      <c r="AO309" t="s">
        <v>47</v>
      </c>
    </row>
    <row r="310" spans="1:41">
      <c r="A310" t="s">
        <v>459</v>
      </c>
      <c r="B310">
        <v>2019</v>
      </c>
      <c r="C310" s="1">
        <v>43609</v>
      </c>
      <c r="D310" t="s">
        <v>95</v>
      </c>
      <c r="E310" t="s">
        <v>255</v>
      </c>
      <c r="F310">
        <v>58</v>
      </c>
      <c r="G310" t="s">
        <v>60</v>
      </c>
      <c r="H310" t="s">
        <v>70</v>
      </c>
      <c r="I310">
        <v>0</v>
      </c>
      <c r="J310">
        <v>0</v>
      </c>
      <c r="K310" t="s">
        <v>46</v>
      </c>
      <c r="L310" t="s">
        <v>46</v>
      </c>
      <c r="M310" t="s">
        <v>47</v>
      </c>
      <c r="N310" t="s">
        <v>48</v>
      </c>
      <c r="O310" t="s">
        <v>63</v>
      </c>
      <c r="P310">
        <v>31</v>
      </c>
      <c r="Q310" t="s">
        <v>62</v>
      </c>
      <c r="R310" t="s">
        <v>47</v>
      </c>
      <c r="S310" t="s">
        <v>47</v>
      </c>
      <c r="T310" t="s">
        <v>47</v>
      </c>
      <c r="U310" t="s">
        <v>47</v>
      </c>
      <c r="V310" t="s">
        <v>112</v>
      </c>
      <c r="W310" t="s">
        <v>47</v>
      </c>
      <c r="X310" t="s">
        <v>47</v>
      </c>
      <c r="Y310" t="s">
        <v>47</v>
      </c>
      <c r="Z310" t="s">
        <v>47</v>
      </c>
      <c r="AA310" t="s">
        <v>47</v>
      </c>
      <c r="AB310" t="s">
        <v>47</v>
      </c>
      <c r="AC310" t="s">
        <v>46</v>
      </c>
      <c r="AD310" t="s">
        <v>47</v>
      </c>
      <c r="AE310" t="s">
        <v>46</v>
      </c>
      <c r="AF310" t="s">
        <v>47</v>
      </c>
      <c r="AG310" t="s">
        <v>52</v>
      </c>
      <c r="AH310" t="s">
        <v>53</v>
      </c>
      <c r="AI310" t="s">
        <v>65</v>
      </c>
      <c r="AJ310">
        <v>2.1</v>
      </c>
      <c r="AK310" t="s">
        <v>47</v>
      </c>
      <c r="AL310" t="s">
        <v>76</v>
      </c>
      <c r="AM310" t="s">
        <v>103</v>
      </c>
      <c r="AN310">
        <v>33</v>
      </c>
      <c r="AO310" t="s">
        <v>46</v>
      </c>
    </row>
    <row r="311" spans="1:41">
      <c r="A311" t="s">
        <v>460</v>
      </c>
      <c r="B311">
        <v>2021</v>
      </c>
      <c r="C311" s="1">
        <v>44459</v>
      </c>
      <c r="D311" t="s">
        <v>110</v>
      </c>
      <c r="E311" t="s">
        <v>410</v>
      </c>
      <c r="F311">
        <v>51</v>
      </c>
      <c r="G311" t="s">
        <v>44</v>
      </c>
      <c r="H311" t="s">
        <v>70</v>
      </c>
      <c r="I311">
        <v>0</v>
      </c>
      <c r="J311">
        <v>0</v>
      </c>
      <c r="K311" t="s">
        <v>46</v>
      </c>
      <c r="L311" t="s">
        <v>47</v>
      </c>
      <c r="M311" t="s">
        <v>47</v>
      </c>
      <c r="N311" t="s">
        <v>62</v>
      </c>
      <c r="O311" t="s">
        <v>48</v>
      </c>
      <c r="P311">
        <v>26.3</v>
      </c>
      <c r="Q311" t="s">
        <v>62</v>
      </c>
      <c r="R311" t="s">
        <v>47</v>
      </c>
      <c r="S311" t="s">
        <v>47</v>
      </c>
      <c r="T311" t="s">
        <v>47</v>
      </c>
      <c r="U311" t="s">
        <v>47</v>
      </c>
      <c r="V311" t="s">
        <v>51</v>
      </c>
      <c r="W311" t="s">
        <v>46</v>
      </c>
      <c r="X311" t="s">
        <v>46</v>
      </c>
      <c r="Y311" t="s">
        <v>47</v>
      </c>
      <c r="Z311" t="s">
        <v>46</v>
      </c>
      <c r="AA311" t="s">
        <v>46</v>
      </c>
      <c r="AB311" t="s">
        <v>46</v>
      </c>
      <c r="AC311" t="s">
        <v>47</v>
      </c>
      <c r="AD311" t="s">
        <v>47</v>
      </c>
      <c r="AE311" t="s">
        <v>47</v>
      </c>
      <c r="AF311" t="s">
        <v>47</v>
      </c>
      <c r="AG311" t="s">
        <v>52</v>
      </c>
      <c r="AH311" t="s">
        <v>90</v>
      </c>
      <c r="AI311" t="s">
        <v>65</v>
      </c>
      <c r="AJ311">
        <v>0.9</v>
      </c>
      <c r="AK311" t="s">
        <v>47</v>
      </c>
      <c r="AL311" t="s">
        <v>156</v>
      </c>
      <c r="AM311" t="s">
        <v>73</v>
      </c>
      <c r="AN311">
        <v>52</v>
      </c>
      <c r="AO311" t="s">
        <v>46</v>
      </c>
    </row>
    <row r="312" spans="1:41">
      <c r="A312" t="s">
        <v>461</v>
      </c>
      <c r="B312">
        <v>2018</v>
      </c>
      <c r="C312" s="1">
        <v>43158</v>
      </c>
      <c r="D312" t="s">
        <v>110</v>
      </c>
      <c r="E312" t="s">
        <v>236</v>
      </c>
      <c r="F312">
        <v>62</v>
      </c>
      <c r="G312" t="s">
        <v>60</v>
      </c>
      <c r="H312" t="s">
        <v>70</v>
      </c>
      <c r="I312">
        <v>0</v>
      </c>
      <c r="J312">
        <v>0</v>
      </c>
      <c r="K312" t="s">
        <v>47</v>
      </c>
      <c r="L312" t="s">
        <v>47</v>
      </c>
      <c r="M312" t="s">
        <v>46</v>
      </c>
      <c r="N312" t="s">
        <v>62</v>
      </c>
      <c r="O312" t="s">
        <v>49</v>
      </c>
      <c r="P312">
        <v>31</v>
      </c>
      <c r="Q312" t="s">
        <v>50</v>
      </c>
      <c r="R312" t="s">
        <v>47</v>
      </c>
      <c r="S312" t="s">
        <v>47</v>
      </c>
      <c r="T312" t="s">
        <v>47</v>
      </c>
      <c r="U312" t="s">
        <v>47</v>
      </c>
      <c r="V312" t="s">
        <v>64</v>
      </c>
      <c r="W312" t="s">
        <v>47</v>
      </c>
      <c r="X312" t="s">
        <v>47</v>
      </c>
      <c r="Y312" t="s">
        <v>47</v>
      </c>
      <c r="Z312" t="s">
        <v>47</v>
      </c>
      <c r="AA312" t="s">
        <v>46</v>
      </c>
      <c r="AB312" t="s">
        <v>47</v>
      </c>
      <c r="AC312" t="s">
        <v>47</v>
      </c>
      <c r="AD312" t="s">
        <v>47</v>
      </c>
      <c r="AE312" t="s">
        <v>47</v>
      </c>
      <c r="AF312" t="s">
        <v>47</v>
      </c>
      <c r="AG312" t="s">
        <v>52</v>
      </c>
      <c r="AH312" t="s">
        <v>53</v>
      </c>
      <c r="AI312" t="s">
        <v>65</v>
      </c>
      <c r="AJ312">
        <v>2.1</v>
      </c>
      <c r="AK312" t="s">
        <v>47</v>
      </c>
      <c r="AL312" t="s">
        <v>72</v>
      </c>
      <c r="AM312" t="s">
        <v>73</v>
      </c>
      <c r="AN312">
        <v>80</v>
      </c>
      <c r="AO312" t="s">
        <v>47</v>
      </c>
    </row>
    <row r="313" spans="1:41">
      <c r="A313" t="s">
        <v>462</v>
      </c>
      <c r="B313">
        <v>2020</v>
      </c>
      <c r="C313" s="1">
        <v>43959</v>
      </c>
      <c r="D313" t="s">
        <v>95</v>
      </c>
      <c r="E313" t="s">
        <v>107</v>
      </c>
      <c r="F313">
        <v>77</v>
      </c>
      <c r="G313" t="s">
        <v>44</v>
      </c>
      <c r="H313" t="s">
        <v>45</v>
      </c>
      <c r="I313">
        <v>25</v>
      </c>
      <c r="J313">
        <v>22</v>
      </c>
      <c r="K313" t="s">
        <v>47</v>
      </c>
      <c r="L313" t="s">
        <v>47</v>
      </c>
      <c r="M313" t="s">
        <v>47</v>
      </c>
      <c r="N313" t="s">
        <v>50</v>
      </c>
      <c r="O313" t="s">
        <v>49</v>
      </c>
      <c r="P313">
        <v>28.1</v>
      </c>
      <c r="Q313" t="s">
        <v>50</v>
      </c>
      <c r="R313" t="s">
        <v>46</v>
      </c>
      <c r="S313" t="s">
        <v>47</v>
      </c>
      <c r="T313" t="s">
        <v>47</v>
      </c>
      <c r="U313" t="s">
        <v>47</v>
      </c>
      <c r="V313" t="s">
        <v>51</v>
      </c>
      <c r="W313" t="s">
        <v>46</v>
      </c>
      <c r="X313" t="s">
        <v>46</v>
      </c>
      <c r="Y313" t="s">
        <v>46</v>
      </c>
      <c r="Z313" t="s">
        <v>47</v>
      </c>
      <c r="AA313" t="s">
        <v>47</v>
      </c>
      <c r="AB313" t="s">
        <v>46</v>
      </c>
      <c r="AC313" t="s">
        <v>47</v>
      </c>
      <c r="AD313" t="s">
        <v>47</v>
      </c>
      <c r="AE313" t="s">
        <v>47</v>
      </c>
      <c r="AF313" t="s">
        <v>47</v>
      </c>
      <c r="AG313" t="s">
        <v>121</v>
      </c>
      <c r="AH313" t="s">
        <v>122</v>
      </c>
      <c r="AI313" t="s">
        <v>54</v>
      </c>
      <c r="AJ313">
        <v>8</v>
      </c>
      <c r="AK313" t="s">
        <v>46</v>
      </c>
      <c r="AL313" t="s">
        <v>66</v>
      </c>
      <c r="AM313" t="s">
        <v>82</v>
      </c>
      <c r="AN313">
        <v>13</v>
      </c>
      <c r="AO313" t="s">
        <v>46</v>
      </c>
    </row>
    <row r="314" spans="1:41">
      <c r="A314" t="s">
        <v>463</v>
      </c>
      <c r="B314">
        <v>2025</v>
      </c>
      <c r="C314" s="1">
        <v>45726</v>
      </c>
      <c r="D314" t="s">
        <v>58</v>
      </c>
      <c r="E314" t="s">
        <v>150</v>
      </c>
      <c r="F314">
        <v>59</v>
      </c>
      <c r="G314" t="s">
        <v>60</v>
      </c>
      <c r="H314" t="s">
        <v>70</v>
      </c>
      <c r="I314">
        <v>0</v>
      </c>
      <c r="J314">
        <v>0</v>
      </c>
      <c r="K314" t="s">
        <v>46</v>
      </c>
      <c r="L314" t="s">
        <v>47</v>
      </c>
      <c r="M314" t="s">
        <v>46</v>
      </c>
      <c r="N314" t="s">
        <v>50</v>
      </c>
      <c r="O314" t="s">
        <v>49</v>
      </c>
      <c r="P314">
        <v>28.3</v>
      </c>
      <c r="Q314" t="s">
        <v>62</v>
      </c>
      <c r="R314" t="s">
        <v>47</v>
      </c>
      <c r="S314" t="s">
        <v>46</v>
      </c>
      <c r="T314" t="s">
        <v>47</v>
      </c>
      <c r="U314" t="s">
        <v>46</v>
      </c>
      <c r="V314" t="s">
        <v>86</v>
      </c>
      <c r="W314" t="s">
        <v>46</v>
      </c>
      <c r="X314" t="s">
        <v>47</v>
      </c>
      <c r="Y314" t="s">
        <v>47</v>
      </c>
      <c r="Z314" t="s">
        <v>47</v>
      </c>
      <c r="AA314" t="s">
        <v>46</v>
      </c>
      <c r="AB314" t="s">
        <v>46</v>
      </c>
      <c r="AC314" t="s">
        <v>47</v>
      </c>
      <c r="AD314" t="s">
        <v>47</v>
      </c>
      <c r="AE314" t="s">
        <v>47</v>
      </c>
      <c r="AF314" t="s">
        <v>47</v>
      </c>
      <c r="AG314" t="s">
        <v>52</v>
      </c>
      <c r="AH314" t="s">
        <v>90</v>
      </c>
      <c r="AI314" t="s">
        <v>80</v>
      </c>
      <c r="AJ314">
        <v>6.8</v>
      </c>
      <c r="AK314" t="s">
        <v>47</v>
      </c>
      <c r="AL314" t="s">
        <v>100</v>
      </c>
      <c r="AM314" t="s">
        <v>118</v>
      </c>
      <c r="AN314">
        <v>13</v>
      </c>
      <c r="AO314" t="s">
        <v>47</v>
      </c>
    </row>
    <row r="315" spans="1:41">
      <c r="A315" t="s">
        <v>464</v>
      </c>
      <c r="B315">
        <v>2017</v>
      </c>
      <c r="C315" s="1">
        <v>43087</v>
      </c>
      <c r="D315" t="s">
        <v>98</v>
      </c>
      <c r="E315" t="s">
        <v>465</v>
      </c>
      <c r="F315">
        <v>69</v>
      </c>
      <c r="G315" t="s">
        <v>60</v>
      </c>
      <c r="H315" t="s">
        <v>70</v>
      </c>
      <c r="I315">
        <v>0</v>
      </c>
      <c r="J315">
        <v>0</v>
      </c>
      <c r="K315" t="s">
        <v>46</v>
      </c>
      <c r="L315" t="s">
        <v>46</v>
      </c>
      <c r="M315" t="s">
        <v>47</v>
      </c>
      <c r="N315" t="s">
        <v>62</v>
      </c>
      <c r="O315" t="s">
        <v>49</v>
      </c>
      <c r="P315">
        <v>29.2</v>
      </c>
      <c r="Q315" t="s">
        <v>50</v>
      </c>
      <c r="R315" t="s">
        <v>46</v>
      </c>
      <c r="S315" t="s">
        <v>47</v>
      </c>
      <c r="T315" t="s">
        <v>47</v>
      </c>
      <c r="U315" t="s">
        <v>47</v>
      </c>
      <c r="V315" t="s">
        <v>51</v>
      </c>
      <c r="W315" t="s">
        <v>46</v>
      </c>
      <c r="X315" t="s">
        <v>47</v>
      </c>
      <c r="Y315" t="s">
        <v>47</v>
      </c>
      <c r="Z315" t="s">
        <v>47</v>
      </c>
      <c r="AA315" t="s">
        <v>47</v>
      </c>
      <c r="AB315" t="s">
        <v>47</v>
      </c>
      <c r="AC315" t="s">
        <v>47</v>
      </c>
      <c r="AD315" t="s">
        <v>47</v>
      </c>
      <c r="AE315" t="s">
        <v>47</v>
      </c>
      <c r="AF315" t="s">
        <v>47</v>
      </c>
      <c r="AG315" t="s">
        <v>52</v>
      </c>
      <c r="AH315" t="s">
        <v>53</v>
      </c>
      <c r="AI315" t="s">
        <v>87</v>
      </c>
      <c r="AJ315">
        <v>4.4000000000000004</v>
      </c>
      <c r="AK315" t="s">
        <v>47</v>
      </c>
      <c r="AL315" t="s">
        <v>81</v>
      </c>
      <c r="AM315" t="s">
        <v>103</v>
      </c>
      <c r="AN315">
        <v>30</v>
      </c>
      <c r="AO315" t="s">
        <v>46</v>
      </c>
    </row>
    <row r="316" spans="1:41">
      <c r="A316" t="s">
        <v>466</v>
      </c>
      <c r="B316">
        <v>2022</v>
      </c>
      <c r="C316" s="1">
        <v>44683</v>
      </c>
      <c r="D316" t="s">
        <v>84</v>
      </c>
      <c r="E316" t="s">
        <v>218</v>
      </c>
      <c r="F316">
        <v>41</v>
      </c>
      <c r="G316" t="s">
        <v>44</v>
      </c>
      <c r="H316" t="s">
        <v>70</v>
      </c>
      <c r="I316">
        <v>0</v>
      </c>
      <c r="J316">
        <v>0</v>
      </c>
      <c r="K316" t="s">
        <v>47</v>
      </c>
      <c r="L316" t="s">
        <v>47</v>
      </c>
      <c r="M316" t="s">
        <v>47</v>
      </c>
      <c r="N316" t="s">
        <v>48</v>
      </c>
      <c r="O316" t="s">
        <v>48</v>
      </c>
      <c r="P316">
        <v>22.5</v>
      </c>
      <c r="Q316" t="s">
        <v>62</v>
      </c>
      <c r="R316" t="s">
        <v>47</v>
      </c>
      <c r="S316" t="s">
        <v>47</v>
      </c>
      <c r="T316" t="s">
        <v>47</v>
      </c>
      <c r="U316" t="s">
        <v>46</v>
      </c>
      <c r="V316" t="s">
        <v>51</v>
      </c>
      <c r="W316" t="s">
        <v>46</v>
      </c>
      <c r="X316" t="s">
        <v>46</v>
      </c>
      <c r="Y316" t="s">
        <v>47</v>
      </c>
      <c r="Z316" t="s">
        <v>47</v>
      </c>
      <c r="AA316" t="s">
        <v>46</v>
      </c>
      <c r="AB316" t="s">
        <v>47</v>
      </c>
      <c r="AC316" t="s">
        <v>46</v>
      </c>
      <c r="AD316" t="s">
        <v>46</v>
      </c>
      <c r="AE316" t="s">
        <v>47</v>
      </c>
      <c r="AF316" t="s">
        <v>47</v>
      </c>
      <c r="AG316" t="s">
        <v>52</v>
      </c>
      <c r="AH316" t="s">
        <v>53</v>
      </c>
      <c r="AI316" t="s">
        <v>54</v>
      </c>
      <c r="AJ316">
        <v>10.5</v>
      </c>
      <c r="AK316" t="s">
        <v>46</v>
      </c>
      <c r="AL316" t="s">
        <v>66</v>
      </c>
      <c r="AM316" t="s">
        <v>77</v>
      </c>
      <c r="AN316">
        <v>4</v>
      </c>
      <c r="AO316" t="s">
        <v>47</v>
      </c>
    </row>
    <row r="317" spans="1:41">
      <c r="A317" t="s">
        <v>467</v>
      </c>
      <c r="B317">
        <v>2024</v>
      </c>
      <c r="C317" s="1">
        <v>45545</v>
      </c>
      <c r="D317" t="s">
        <v>42</v>
      </c>
      <c r="E317" t="s">
        <v>166</v>
      </c>
      <c r="F317">
        <v>60</v>
      </c>
      <c r="G317" t="s">
        <v>60</v>
      </c>
      <c r="H317" t="s">
        <v>70</v>
      </c>
      <c r="I317">
        <v>0</v>
      </c>
      <c r="J317">
        <v>0</v>
      </c>
      <c r="K317" t="s">
        <v>47</v>
      </c>
      <c r="L317" t="s">
        <v>46</v>
      </c>
      <c r="M317" t="s">
        <v>47</v>
      </c>
      <c r="N317" t="s">
        <v>62</v>
      </c>
      <c r="O317" t="s">
        <v>63</v>
      </c>
      <c r="P317">
        <v>26.4</v>
      </c>
      <c r="Q317" t="s">
        <v>62</v>
      </c>
      <c r="R317" t="s">
        <v>47</v>
      </c>
      <c r="S317" t="s">
        <v>47</v>
      </c>
      <c r="T317" t="s">
        <v>47</v>
      </c>
      <c r="U317" t="s">
        <v>47</v>
      </c>
      <c r="V317" t="s">
        <v>86</v>
      </c>
      <c r="W317" t="s">
        <v>46</v>
      </c>
      <c r="X317" t="s">
        <v>47</v>
      </c>
      <c r="Y317" t="s">
        <v>47</v>
      </c>
      <c r="Z317" t="s">
        <v>47</v>
      </c>
      <c r="AA317" t="s">
        <v>46</v>
      </c>
      <c r="AB317" t="s">
        <v>46</v>
      </c>
      <c r="AC317" t="s">
        <v>47</v>
      </c>
      <c r="AD317" t="s">
        <v>46</v>
      </c>
      <c r="AE317" t="s">
        <v>47</v>
      </c>
      <c r="AF317" t="s">
        <v>47</v>
      </c>
      <c r="AG317" t="s">
        <v>52</v>
      </c>
      <c r="AH317" t="s">
        <v>53</v>
      </c>
      <c r="AI317" t="s">
        <v>87</v>
      </c>
      <c r="AJ317">
        <v>3.8</v>
      </c>
      <c r="AK317" t="s">
        <v>47</v>
      </c>
      <c r="AL317" t="s">
        <v>76</v>
      </c>
      <c r="AM317" t="s">
        <v>103</v>
      </c>
      <c r="AN317">
        <v>24</v>
      </c>
      <c r="AO317" t="s">
        <v>47</v>
      </c>
    </row>
    <row r="318" spans="1:41">
      <c r="A318" t="s">
        <v>468</v>
      </c>
      <c r="B318">
        <v>2016</v>
      </c>
      <c r="C318" s="1">
        <v>42702</v>
      </c>
      <c r="D318" t="s">
        <v>110</v>
      </c>
      <c r="E318" t="s">
        <v>225</v>
      </c>
      <c r="F318">
        <v>45</v>
      </c>
      <c r="G318" t="s">
        <v>44</v>
      </c>
      <c r="H318" t="s">
        <v>70</v>
      </c>
      <c r="I318">
        <v>0</v>
      </c>
      <c r="J318">
        <v>0</v>
      </c>
      <c r="K318" t="s">
        <v>47</v>
      </c>
      <c r="L318" t="s">
        <v>47</v>
      </c>
      <c r="M318" t="s">
        <v>46</v>
      </c>
      <c r="N318" t="s">
        <v>50</v>
      </c>
      <c r="O318" t="s">
        <v>48</v>
      </c>
      <c r="P318">
        <v>22.9</v>
      </c>
      <c r="Q318" t="s">
        <v>62</v>
      </c>
      <c r="R318" t="s">
        <v>47</v>
      </c>
      <c r="S318" t="s">
        <v>47</v>
      </c>
      <c r="T318" t="s">
        <v>47</v>
      </c>
      <c r="U318" t="s">
        <v>47</v>
      </c>
      <c r="V318" t="s">
        <v>51</v>
      </c>
      <c r="W318" t="s">
        <v>47</v>
      </c>
      <c r="X318" t="s">
        <v>47</v>
      </c>
      <c r="Y318" t="s">
        <v>47</v>
      </c>
      <c r="Z318" t="s">
        <v>47</v>
      </c>
      <c r="AA318" t="s">
        <v>46</v>
      </c>
      <c r="AB318" t="s">
        <v>47</v>
      </c>
      <c r="AC318" t="s">
        <v>47</v>
      </c>
      <c r="AD318" t="s">
        <v>46</v>
      </c>
      <c r="AE318" t="s">
        <v>47</v>
      </c>
      <c r="AF318" t="s">
        <v>47</v>
      </c>
      <c r="AG318" t="s">
        <v>52</v>
      </c>
      <c r="AH318" t="s">
        <v>53</v>
      </c>
      <c r="AI318" t="s">
        <v>87</v>
      </c>
      <c r="AJ318">
        <v>5.3</v>
      </c>
      <c r="AK318" t="s">
        <v>47</v>
      </c>
      <c r="AL318" t="s">
        <v>66</v>
      </c>
      <c r="AM318" t="s">
        <v>67</v>
      </c>
      <c r="AN318">
        <v>33</v>
      </c>
      <c r="AO318" t="s">
        <v>47</v>
      </c>
    </row>
    <row r="319" spans="1:41">
      <c r="A319" t="s">
        <v>469</v>
      </c>
      <c r="B319">
        <v>2018</v>
      </c>
      <c r="C319" s="1">
        <v>43159</v>
      </c>
      <c r="D319" t="s">
        <v>58</v>
      </c>
      <c r="E319" t="s">
        <v>150</v>
      </c>
      <c r="F319">
        <v>53</v>
      </c>
      <c r="G319" t="s">
        <v>60</v>
      </c>
      <c r="H319" t="s">
        <v>61</v>
      </c>
      <c r="I319">
        <v>15</v>
      </c>
      <c r="J319">
        <v>3</v>
      </c>
      <c r="K319" t="s">
        <v>46</v>
      </c>
      <c r="L319" t="s">
        <v>47</v>
      </c>
      <c r="M319" t="s">
        <v>47</v>
      </c>
      <c r="N319" t="s">
        <v>50</v>
      </c>
      <c r="O319" t="s">
        <v>49</v>
      </c>
      <c r="P319">
        <v>29</v>
      </c>
      <c r="Q319" t="s">
        <v>62</v>
      </c>
      <c r="R319" t="s">
        <v>46</v>
      </c>
      <c r="S319" t="s">
        <v>47</v>
      </c>
      <c r="T319" t="s">
        <v>46</v>
      </c>
      <c r="U319" t="s">
        <v>47</v>
      </c>
      <c r="V319" t="s">
        <v>64</v>
      </c>
      <c r="W319" t="s">
        <v>47</v>
      </c>
      <c r="X319" t="s">
        <v>46</v>
      </c>
      <c r="Y319" t="s">
        <v>47</v>
      </c>
      <c r="Z319" t="s">
        <v>46</v>
      </c>
      <c r="AA319" t="s">
        <v>46</v>
      </c>
      <c r="AB319" t="s">
        <v>47</v>
      </c>
      <c r="AC319" t="s">
        <v>47</v>
      </c>
      <c r="AD319" t="s">
        <v>47</v>
      </c>
      <c r="AE319" t="s">
        <v>47</v>
      </c>
      <c r="AF319" t="s">
        <v>47</v>
      </c>
      <c r="AG319" t="s">
        <v>52</v>
      </c>
      <c r="AH319" t="s">
        <v>90</v>
      </c>
      <c r="AI319" t="s">
        <v>54</v>
      </c>
      <c r="AJ319">
        <v>8</v>
      </c>
      <c r="AK319" t="s">
        <v>46</v>
      </c>
      <c r="AL319" t="s">
        <v>100</v>
      </c>
      <c r="AM319" t="s">
        <v>265</v>
      </c>
      <c r="AN319">
        <v>5</v>
      </c>
      <c r="AO319" t="s">
        <v>47</v>
      </c>
    </row>
    <row r="320" spans="1:41">
      <c r="A320" t="s">
        <v>470</v>
      </c>
      <c r="B320">
        <v>2016</v>
      </c>
      <c r="C320" s="1">
        <v>42653</v>
      </c>
      <c r="D320" t="s">
        <v>42</v>
      </c>
      <c r="E320" t="s">
        <v>210</v>
      </c>
      <c r="F320">
        <v>61</v>
      </c>
      <c r="G320" t="s">
        <v>60</v>
      </c>
      <c r="H320" t="s">
        <v>70</v>
      </c>
      <c r="I320">
        <v>0</v>
      </c>
      <c r="J320">
        <v>0</v>
      </c>
      <c r="K320" t="s">
        <v>47</v>
      </c>
      <c r="L320" t="s">
        <v>47</v>
      </c>
      <c r="M320" t="s">
        <v>47</v>
      </c>
      <c r="N320" t="s">
        <v>50</v>
      </c>
      <c r="O320" t="s">
        <v>48</v>
      </c>
      <c r="P320">
        <v>23.7</v>
      </c>
      <c r="Q320" t="s">
        <v>48</v>
      </c>
      <c r="R320" t="s">
        <v>47</v>
      </c>
      <c r="S320" t="s">
        <v>47</v>
      </c>
      <c r="T320" t="s">
        <v>47</v>
      </c>
      <c r="U320" t="s">
        <v>47</v>
      </c>
      <c r="V320" t="s">
        <v>51</v>
      </c>
      <c r="W320" t="s">
        <v>47</v>
      </c>
      <c r="X320" t="s">
        <v>47</v>
      </c>
      <c r="Y320" t="s">
        <v>47</v>
      </c>
      <c r="Z320" t="s">
        <v>47</v>
      </c>
      <c r="AA320" t="s">
        <v>47</v>
      </c>
      <c r="AB320" t="s">
        <v>47</v>
      </c>
      <c r="AC320" t="s">
        <v>47</v>
      </c>
      <c r="AD320" t="s">
        <v>47</v>
      </c>
      <c r="AE320" t="s">
        <v>47</v>
      </c>
      <c r="AF320" t="s">
        <v>47</v>
      </c>
      <c r="AG320" t="s">
        <v>52</v>
      </c>
      <c r="AH320" t="s">
        <v>71</v>
      </c>
      <c r="AI320" t="s">
        <v>65</v>
      </c>
      <c r="AJ320">
        <v>2.2999999999999998</v>
      </c>
      <c r="AK320" t="s">
        <v>47</v>
      </c>
      <c r="AL320" t="s">
        <v>76</v>
      </c>
      <c r="AM320" t="s">
        <v>82</v>
      </c>
      <c r="AN320">
        <v>52</v>
      </c>
      <c r="AO320" t="s">
        <v>46</v>
      </c>
    </row>
    <row r="321" spans="1:41">
      <c r="A321" t="s">
        <v>471</v>
      </c>
      <c r="B321">
        <v>2023</v>
      </c>
      <c r="C321" s="1">
        <v>45153</v>
      </c>
      <c r="D321" t="s">
        <v>42</v>
      </c>
      <c r="E321" t="s">
        <v>136</v>
      </c>
      <c r="F321">
        <v>71</v>
      </c>
      <c r="G321" t="s">
        <v>44</v>
      </c>
      <c r="H321" t="s">
        <v>70</v>
      </c>
      <c r="I321">
        <v>0</v>
      </c>
      <c r="J321">
        <v>0</v>
      </c>
      <c r="K321" t="s">
        <v>46</v>
      </c>
      <c r="L321" t="s">
        <v>47</v>
      </c>
      <c r="M321" t="s">
        <v>47</v>
      </c>
      <c r="N321" t="s">
        <v>62</v>
      </c>
      <c r="O321" t="s">
        <v>48</v>
      </c>
      <c r="P321">
        <v>26.7</v>
      </c>
      <c r="Q321" t="s">
        <v>48</v>
      </c>
      <c r="R321" t="s">
        <v>47</v>
      </c>
      <c r="S321" t="s">
        <v>47</v>
      </c>
      <c r="T321" t="s">
        <v>47</v>
      </c>
      <c r="U321" t="s">
        <v>47</v>
      </c>
      <c r="V321" t="s">
        <v>51</v>
      </c>
      <c r="W321" t="s">
        <v>46</v>
      </c>
      <c r="X321" t="s">
        <v>47</v>
      </c>
      <c r="Y321" t="s">
        <v>47</v>
      </c>
      <c r="Z321" t="s">
        <v>47</v>
      </c>
      <c r="AA321" t="s">
        <v>47</v>
      </c>
      <c r="AB321" t="s">
        <v>47</v>
      </c>
      <c r="AC321" t="s">
        <v>47</v>
      </c>
      <c r="AD321" t="s">
        <v>46</v>
      </c>
      <c r="AE321" t="s">
        <v>47</v>
      </c>
      <c r="AF321" t="s">
        <v>46</v>
      </c>
      <c r="AG321" t="s">
        <v>52</v>
      </c>
      <c r="AH321" t="s">
        <v>53</v>
      </c>
      <c r="AI321" t="s">
        <v>80</v>
      </c>
      <c r="AJ321">
        <v>4.9000000000000004</v>
      </c>
      <c r="AK321" t="s">
        <v>47</v>
      </c>
      <c r="AL321" t="s">
        <v>76</v>
      </c>
      <c r="AM321" t="s">
        <v>77</v>
      </c>
      <c r="AN321">
        <v>16</v>
      </c>
      <c r="AO321" t="s">
        <v>47</v>
      </c>
    </row>
    <row r="322" spans="1:41">
      <c r="A322" t="s">
        <v>472</v>
      </c>
      <c r="B322">
        <v>2022</v>
      </c>
      <c r="C322" s="1">
        <v>44622</v>
      </c>
      <c r="D322" t="s">
        <v>95</v>
      </c>
      <c r="E322" t="s">
        <v>130</v>
      </c>
      <c r="F322">
        <v>57</v>
      </c>
      <c r="G322" t="s">
        <v>60</v>
      </c>
      <c r="H322" t="s">
        <v>70</v>
      </c>
      <c r="I322">
        <v>0</v>
      </c>
      <c r="J322">
        <v>0</v>
      </c>
      <c r="K322" t="s">
        <v>47</v>
      </c>
      <c r="L322" t="s">
        <v>46</v>
      </c>
      <c r="M322" t="s">
        <v>46</v>
      </c>
      <c r="N322" t="s">
        <v>62</v>
      </c>
      <c r="O322" t="s">
        <v>48</v>
      </c>
      <c r="P322">
        <v>24.9</v>
      </c>
      <c r="Q322" t="s">
        <v>48</v>
      </c>
      <c r="R322" t="s">
        <v>47</v>
      </c>
      <c r="S322" t="s">
        <v>47</v>
      </c>
      <c r="T322" t="s">
        <v>47</v>
      </c>
      <c r="U322" t="s">
        <v>47</v>
      </c>
      <c r="V322" t="s">
        <v>117</v>
      </c>
      <c r="W322" t="s">
        <v>47</v>
      </c>
      <c r="X322" t="s">
        <v>47</v>
      </c>
      <c r="Y322" t="s">
        <v>47</v>
      </c>
      <c r="Z322" t="s">
        <v>47</v>
      </c>
      <c r="AA322" t="s">
        <v>46</v>
      </c>
      <c r="AB322" t="s">
        <v>46</v>
      </c>
      <c r="AC322" t="s">
        <v>47</v>
      </c>
      <c r="AD322" t="s">
        <v>46</v>
      </c>
      <c r="AE322" t="s">
        <v>47</v>
      </c>
      <c r="AF322" t="s">
        <v>47</v>
      </c>
      <c r="AG322" t="s">
        <v>52</v>
      </c>
      <c r="AH322" t="s">
        <v>53</v>
      </c>
      <c r="AI322" t="s">
        <v>80</v>
      </c>
      <c r="AJ322">
        <v>3</v>
      </c>
      <c r="AK322" t="s">
        <v>47</v>
      </c>
      <c r="AL322" t="s">
        <v>81</v>
      </c>
      <c r="AM322" t="s">
        <v>118</v>
      </c>
      <c r="AN322">
        <v>12</v>
      </c>
      <c r="AO322" t="s">
        <v>47</v>
      </c>
    </row>
    <row r="323" spans="1:41">
      <c r="A323" t="s">
        <v>473</v>
      </c>
      <c r="B323">
        <v>2019</v>
      </c>
      <c r="C323" s="1">
        <v>43681</v>
      </c>
      <c r="D323" t="s">
        <v>42</v>
      </c>
      <c r="E323" t="s">
        <v>69</v>
      </c>
      <c r="F323">
        <v>85</v>
      </c>
      <c r="G323" t="s">
        <v>60</v>
      </c>
      <c r="H323" t="s">
        <v>45</v>
      </c>
      <c r="I323">
        <v>17</v>
      </c>
      <c r="J323">
        <v>33</v>
      </c>
      <c r="K323" t="s">
        <v>46</v>
      </c>
      <c r="L323" t="s">
        <v>47</v>
      </c>
      <c r="M323" t="s">
        <v>47</v>
      </c>
      <c r="N323" t="s">
        <v>62</v>
      </c>
      <c r="O323" t="s">
        <v>49</v>
      </c>
      <c r="P323">
        <v>25.2</v>
      </c>
      <c r="Q323" t="s">
        <v>62</v>
      </c>
      <c r="R323" t="s">
        <v>47</v>
      </c>
      <c r="S323" t="s">
        <v>47</v>
      </c>
      <c r="T323" t="s">
        <v>47</v>
      </c>
      <c r="U323" t="s">
        <v>47</v>
      </c>
      <c r="V323" t="s">
        <v>151</v>
      </c>
      <c r="W323" t="s">
        <v>46</v>
      </c>
      <c r="X323" t="s">
        <v>46</v>
      </c>
      <c r="Y323" t="s">
        <v>46</v>
      </c>
      <c r="Z323" t="s">
        <v>46</v>
      </c>
      <c r="AA323" t="s">
        <v>46</v>
      </c>
      <c r="AB323" t="s">
        <v>46</v>
      </c>
      <c r="AC323" t="s">
        <v>46</v>
      </c>
      <c r="AD323" t="s">
        <v>46</v>
      </c>
      <c r="AE323" t="s">
        <v>47</v>
      </c>
      <c r="AF323" t="s">
        <v>47</v>
      </c>
      <c r="AG323" t="s">
        <v>52</v>
      </c>
      <c r="AH323" t="s">
        <v>53</v>
      </c>
      <c r="AI323" t="s">
        <v>65</v>
      </c>
      <c r="AJ323">
        <v>0.9</v>
      </c>
      <c r="AK323" t="s">
        <v>47</v>
      </c>
      <c r="AL323" t="s">
        <v>76</v>
      </c>
      <c r="AM323" t="s">
        <v>73</v>
      </c>
      <c r="AN323">
        <v>86</v>
      </c>
      <c r="AO323" t="s">
        <v>46</v>
      </c>
    </row>
    <row r="324" spans="1:41">
      <c r="A324" t="s">
        <v>474</v>
      </c>
      <c r="B324">
        <v>2019</v>
      </c>
      <c r="C324" s="1">
        <v>43662</v>
      </c>
      <c r="D324" t="s">
        <v>84</v>
      </c>
      <c r="E324" t="s">
        <v>85</v>
      </c>
      <c r="F324">
        <v>61</v>
      </c>
      <c r="G324" t="s">
        <v>44</v>
      </c>
      <c r="H324" t="s">
        <v>70</v>
      </c>
      <c r="I324">
        <v>0</v>
      </c>
      <c r="J324">
        <v>0</v>
      </c>
      <c r="K324" t="s">
        <v>46</v>
      </c>
      <c r="L324" t="s">
        <v>47</v>
      </c>
      <c r="M324" t="s">
        <v>46</v>
      </c>
      <c r="N324" t="s">
        <v>62</v>
      </c>
      <c r="O324" t="s">
        <v>48</v>
      </c>
      <c r="P324">
        <v>32.9</v>
      </c>
      <c r="Q324" t="s">
        <v>48</v>
      </c>
      <c r="R324" t="s">
        <v>46</v>
      </c>
      <c r="S324" t="s">
        <v>47</v>
      </c>
      <c r="T324" t="s">
        <v>47</v>
      </c>
      <c r="U324" t="s">
        <v>47</v>
      </c>
      <c r="V324" t="s">
        <v>117</v>
      </c>
      <c r="W324" t="s">
        <v>47</v>
      </c>
      <c r="X324" t="s">
        <v>47</v>
      </c>
      <c r="Y324" t="s">
        <v>47</v>
      </c>
      <c r="Z324" t="s">
        <v>46</v>
      </c>
      <c r="AA324" t="s">
        <v>47</v>
      </c>
      <c r="AB324" t="s">
        <v>47</v>
      </c>
      <c r="AC324" t="s">
        <v>47</v>
      </c>
      <c r="AD324" t="s">
        <v>47</v>
      </c>
      <c r="AE324" t="s">
        <v>47</v>
      </c>
      <c r="AF324" t="s">
        <v>47</v>
      </c>
      <c r="AG324" t="s">
        <v>52</v>
      </c>
      <c r="AH324" t="s">
        <v>90</v>
      </c>
      <c r="AI324" t="s">
        <v>87</v>
      </c>
      <c r="AJ324">
        <v>4.5</v>
      </c>
      <c r="AK324" t="s">
        <v>47</v>
      </c>
      <c r="AL324" t="s">
        <v>100</v>
      </c>
      <c r="AM324" t="s">
        <v>73</v>
      </c>
      <c r="AN324">
        <v>29</v>
      </c>
      <c r="AO324" t="s">
        <v>46</v>
      </c>
    </row>
    <row r="325" spans="1:41">
      <c r="A325" t="s">
        <v>475</v>
      </c>
      <c r="B325">
        <v>2019</v>
      </c>
      <c r="C325" s="1">
        <v>43759</v>
      </c>
      <c r="D325" t="s">
        <v>42</v>
      </c>
      <c r="E325" t="s">
        <v>43</v>
      </c>
      <c r="F325">
        <v>44</v>
      </c>
      <c r="G325" t="s">
        <v>60</v>
      </c>
      <c r="H325" t="s">
        <v>45</v>
      </c>
      <c r="I325">
        <v>35</v>
      </c>
      <c r="J325">
        <v>21</v>
      </c>
      <c r="K325" t="s">
        <v>47</v>
      </c>
      <c r="L325" t="s">
        <v>47</v>
      </c>
      <c r="M325" t="s">
        <v>47</v>
      </c>
      <c r="N325" t="s">
        <v>48</v>
      </c>
      <c r="O325" t="s">
        <v>48</v>
      </c>
      <c r="P325">
        <v>36.1</v>
      </c>
      <c r="Q325" t="s">
        <v>48</v>
      </c>
      <c r="R325" t="s">
        <v>46</v>
      </c>
      <c r="S325" t="s">
        <v>47</v>
      </c>
      <c r="T325" t="s">
        <v>46</v>
      </c>
      <c r="U325" t="s">
        <v>47</v>
      </c>
      <c r="V325" t="s">
        <v>64</v>
      </c>
      <c r="W325" t="s">
        <v>46</v>
      </c>
      <c r="X325" t="s">
        <v>47</v>
      </c>
      <c r="Y325" t="s">
        <v>46</v>
      </c>
      <c r="Z325" t="s">
        <v>46</v>
      </c>
      <c r="AA325" t="s">
        <v>46</v>
      </c>
      <c r="AB325" t="s">
        <v>47</v>
      </c>
      <c r="AC325" t="s">
        <v>46</v>
      </c>
      <c r="AD325" t="s">
        <v>47</v>
      </c>
      <c r="AE325" t="s">
        <v>47</v>
      </c>
      <c r="AF325" t="s">
        <v>46</v>
      </c>
      <c r="AG325" t="s">
        <v>52</v>
      </c>
      <c r="AH325" t="s">
        <v>53</v>
      </c>
      <c r="AI325" t="s">
        <v>54</v>
      </c>
      <c r="AJ325">
        <v>8.4</v>
      </c>
      <c r="AK325" t="s">
        <v>46</v>
      </c>
      <c r="AL325" t="s">
        <v>81</v>
      </c>
      <c r="AM325" t="s">
        <v>265</v>
      </c>
      <c r="AN325">
        <v>13</v>
      </c>
      <c r="AO325" t="s">
        <v>47</v>
      </c>
    </row>
    <row r="326" spans="1:41">
      <c r="A326" t="s">
        <v>476</v>
      </c>
      <c r="B326">
        <v>2021</v>
      </c>
      <c r="C326" s="1">
        <v>44260</v>
      </c>
      <c r="D326" t="s">
        <v>42</v>
      </c>
      <c r="E326" t="s">
        <v>154</v>
      </c>
      <c r="F326">
        <v>69</v>
      </c>
      <c r="G326" t="s">
        <v>60</v>
      </c>
      <c r="H326" t="s">
        <v>70</v>
      </c>
      <c r="I326">
        <v>0</v>
      </c>
      <c r="J326">
        <v>0</v>
      </c>
      <c r="K326" t="s">
        <v>47</v>
      </c>
      <c r="L326" t="s">
        <v>47</v>
      </c>
      <c r="M326" t="s">
        <v>47</v>
      </c>
      <c r="N326" t="s">
        <v>62</v>
      </c>
      <c r="O326" t="s">
        <v>49</v>
      </c>
      <c r="P326">
        <v>19.100000000000001</v>
      </c>
      <c r="Q326" t="s">
        <v>62</v>
      </c>
      <c r="R326" t="s">
        <v>47</v>
      </c>
      <c r="S326" t="s">
        <v>47</v>
      </c>
      <c r="T326" t="s">
        <v>47</v>
      </c>
      <c r="U326" t="s">
        <v>47</v>
      </c>
      <c r="V326" t="s">
        <v>86</v>
      </c>
      <c r="W326" t="s">
        <v>47</v>
      </c>
      <c r="X326" t="s">
        <v>46</v>
      </c>
      <c r="Y326" t="s">
        <v>47</v>
      </c>
      <c r="Z326" t="s">
        <v>47</v>
      </c>
      <c r="AA326" t="s">
        <v>46</v>
      </c>
      <c r="AB326" t="s">
        <v>47</v>
      </c>
      <c r="AC326" t="s">
        <v>47</v>
      </c>
      <c r="AD326" t="s">
        <v>47</v>
      </c>
      <c r="AE326" t="s">
        <v>47</v>
      </c>
      <c r="AF326" t="s">
        <v>47</v>
      </c>
      <c r="AG326" t="s">
        <v>52</v>
      </c>
      <c r="AH326" t="s">
        <v>90</v>
      </c>
      <c r="AI326" t="s">
        <v>65</v>
      </c>
      <c r="AJ326">
        <v>2.6</v>
      </c>
      <c r="AK326" t="s">
        <v>47</v>
      </c>
      <c r="AL326" t="s">
        <v>76</v>
      </c>
      <c r="AM326" t="s">
        <v>73</v>
      </c>
      <c r="AN326">
        <v>73</v>
      </c>
      <c r="AO326" t="s">
        <v>46</v>
      </c>
    </row>
    <row r="327" spans="1:41">
      <c r="A327" t="s">
        <v>477</v>
      </c>
      <c r="B327">
        <v>2015</v>
      </c>
      <c r="C327" s="1">
        <v>42127</v>
      </c>
      <c r="D327" t="s">
        <v>95</v>
      </c>
      <c r="E327" t="s">
        <v>132</v>
      </c>
      <c r="F327">
        <v>62</v>
      </c>
      <c r="G327" t="s">
        <v>60</v>
      </c>
      <c r="H327" t="s">
        <v>45</v>
      </c>
      <c r="I327">
        <v>27</v>
      </c>
      <c r="J327">
        <v>27</v>
      </c>
      <c r="K327" t="s">
        <v>47</v>
      </c>
      <c r="L327" t="s">
        <v>46</v>
      </c>
      <c r="M327" t="s">
        <v>47</v>
      </c>
      <c r="N327" t="s">
        <v>62</v>
      </c>
      <c r="O327" t="s">
        <v>48</v>
      </c>
      <c r="P327">
        <v>30.5</v>
      </c>
      <c r="Q327" t="s">
        <v>50</v>
      </c>
      <c r="R327" t="s">
        <v>47</v>
      </c>
      <c r="S327" t="s">
        <v>47</v>
      </c>
      <c r="T327" t="s">
        <v>47</v>
      </c>
      <c r="U327" t="s">
        <v>47</v>
      </c>
      <c r="V327" t="s">
        <v>51</v>
      </c>
      <c r="W327" t="s">
        <v>46</v>
      </c>
      <c r="X327" t="s">
        <v>47</v>
      </c>
      <c r="Y327" t="s">
        <v>47</v>
      </c>
      <c r="Z327" t="s">
        <v>47</v>
      </c>
      <c r="AA327" t="s">
        <v>46</v>
      </c>
      <c r="AB327" t="s">
        <v>46</v>
      </c>
      <c r="AC327" t="s">
        <v>47</v>
      </c>
      <c r="AD327" t="s">
        <v>46</v>
      </c>
      <c r="AE327" t="s">
        <v>47</v>
      </c>
      <c r="AF327" t="s">
        <v>47</v>
      </c>
      <c r="AG327" t="s">
        <v>52</v>
      </c>
      <c r="AH327" t="s">
        <v>90</v>
      </c>
      <c r="AI327" t="s">
        <v>80</v>
      </c>
      <c r="AJ327">
        <v>6.1</v>
      </c>
      <c r="AK327" t="s">
        <v>47</v>
      </c>
      <c r="AL327" t="s">
        <v>55</v>
      </c>
      <c r="AM327" t="s">
        <v>77</v>
      </c>
      <c r="AN327">
        <v>7</v>
      </c>
      <c r="AO327" t="s">
        <v>47</v>
      </c>
    </row>
    <row r="328" spans="1:41">
      <c r="A328" t="s">
        <v>478</v>
      </c>
      <c r="B328">
        <v>2016</v>
      </c>
      <c r="C328" s="1">
        <v>42418</v>
      </c>
      <c r="D328" t="s">
        <v>42</v>
      </c>
      <c r="E328" t="s">
        <v>79</v>
      </c>
      <c r="F328">
        <v>64</v>
      </c>
      <c r="G328" t="s">
        <v>60</v>
      </c>
      <c r="H328" t="s">
        <v>70</v>
      </c>
      <c r="I328">
        <v>0</v>
      </c>
      <c r="J328">
        <v>0</v>
      </c>
      <c r="K328" t="s">
        <v>47</v>
      </c>
      <c r="L328" t="s">
        <v>47</v>
      </c>
      <c r="M328" t="s">
        <v>46</v>
      </c>
      <c r="N328" t="s">
        <v>48</v>
      </c>
      <c r="O328" t="s">
        <v>48</v>
      </c>
      <c r="P328">
        <v>26.6</v>
      </c>
      <c r="Q328" t="s">
        <v>62</v>
      </c>
      <c r="R328" t="s">
        <v>47</v>
      </c>
      <c r="S328" t="s">
        <v>47</v>
      </c>
      <c r="T328" t="s">
        <v>47</v>
      </c>
      <c r="U328" t="s">
        <v>47</v>
      </c>
      <c r="V328" t="s">
        <v>51</v>
      </c>
      <c r="W328" t="s">
        <v>47</v>
      </c>
      <c r="X328" t="s">
        <v>47</v>
      </c>
      <c r="Y328" t="s">
        <v>46</v>
      </c>
      <c r="Z328" t="s">
        <v>47</v>
      </c>
      <c r="AA328" t="s">
        <v>46</v>
      </c>
      <c r="AB328" t="s">
        <v>46</v>
      </c>
      <c r="AC328" t="s">
        <v>47</v>
      </c>
      <c r="AD328" t="s">
        <v>47</v>
      </c>
      <c r="AE328" t="s">
        <v>47</v>
      </c>
      <c r="AF328" t="s">
        <v>47</v>
      </c>
      <c r="AG328" t="s">
        <v>52</v>
      </c>
      <c r="AH328" t="s">
        <v>53</v>
      </c>
      <c r="AI328" t="s">
        <v>80</v>
      </c>
      <c r="AJ328">
        <v>5.2</v>
      </c>
      <c r="AK328" t="s">
        <v>47</v>
      </c>
      <c r="AL328" t="s">
        <v>81</v>
      </c>
      <c r="AM328" t="s">
        <v>77</v>
      </c>
      <c r="AN328">
        <v>30</v>
      </c>
      <c r="AO328" t="s">
        <v>47</v>
      </c>
    </row>
    <row r="329" spans="1:41">
      <c r="A329" t="s">
        <v>479</v>
      </c>
      <c r="B329">
        <v>2015</v>
      </c>
      <c r="C329" s="1">
        <v>42297</v>
      </c>
      <c r="D329" t="s">
        <v>84</v>
      </c>
      <c r="E329" t="s">
        <v>449</v>
      </c>
      <c r="F329">
        <v>58</v>
      </c>
      <c r="G329" t="s">
        <v>60</v>
      </c>
      <c r="H329" t="s">
        <v>61</v>
      </c>
      <c r="I329">
        <v>23</v>
      </c>
      <c r="J329">
        <v>4</v>
      </c>
      <c r="K329" t="s">
        <v>46</v>
      </c>
      <c r="L329" t="s">
        <v>47</v>
      </c>
      <c r="M329" t="s">
        <v>47</v>
      </c>
      <c r="N329" t="s">
        <v>50</v>
      </c>
      <c r="O329" t="s">
        <v>48</v>
      </c>
      <c r="P329">
        <v>21.3</v>
      </c>
      <c r="Q329" t="s">
        <v>48</v>
      </c>
      <c r="R329" t="s">
        <v>47</v>
      </c>
      <c r="S329" t="s">
        <v>47</v>
      </c>
      <c r="T329" t="s">
        <v>47</v>
      </c>
      <c r="U329" t="s">
        <v>47</v>
      </c>
      <c r="V329" t="s">
        <v>151</v>
      </c>
      <c r="W329" t="s">
        <v>46</v>
      </c>
      <c r="X329" t="s">
        <v>46</v>
      </c>
      <c r="Y329" t="s">
        <v>47</v>
      </c>
      <c r="Z329" t="s">
        <v>47</v>
      </c>
      <c r="AA329" t="s">
        <v>47</v>
      </c>
      <c r="AB329" t="s">
        <v>46</v>
      </c>
      <c r="AC329" t="s">
        <v>47</v>
      </c>
      <c r="AD329" t="s">
        <v>47</v>
      </c>
      <c r="AE329" t="s">
        <v>47</v>
      </c>
      <c r="AF329" t="s">
        <v>47</v>
      </c>
      <c r="AG329" t="s">
        <v>52</v>
      </c>
      <c r="AH329" t="s">
        <v>53</v>
      </c>
      <c r="AI329" t="s">
        <v>80</v>
      </c>
      <c r="AJ329">
        <v>4.2</v>
      </c>
      <c r="AK329" t="s">
        <v>47</v>
      </c>
      <c r="AL329" t="s">
        <v>76</v>
      </c>
      <c r="AM329" t="s">
        <v>56</v>
      </c>
      <c r="AN329">
        <v>24</v>
      </c>
      <c r="AO329" t="s">
        <v>47</v>
      </c>
    </row>
    <row r="330" spans="1:41">
      <c r="A330" t="s">
        <v>480</v>
      </c>
      <c r="B330">
        <v>2018</v>
      </c>
      <c r="C330" s="1">
        <v>43215</v>
      </c>
      <c r="D330" t="s">
        <v>42</v>
      </c>
      <c r="E330" t="s">
        <v>75</v>
      </c>
      <c r="F330">
        <v>71</v>
      </c>
      <c r="G330" t="s">
        <v>60</v>
      </c>
      <c r="H330" t="s">
        <v>45</v>
      </c>
      <c r="I330">
        <v>28</v>
      </c>
      <c r="J330">
        <v>43</v>
      </c>
      <c r="K330" t="s">
        <v>46</v>
      </c>
      <c r="L330" t="s">
        <v>47</v>
      </c>
      <c r="M330" t="s">
        <v>47</v>
      </c>
      <c r="N330" t="s">
        <v>48</v>
      </c>
      <c r="O330" t="s">
        <v>48</v>
      </c>
      <c r="P330">
        <v>28</v>
      </c>
      <c r="Q330" t="s">
        <v>48</v>
      </c>
      <c r="R330" t="s">
        <v>47</v>
      </c>
      <c r="S330" t="s">
        <v>47</v>
      </c>
      <c r="T330" t="s">
        <v>47</v>
      </c>
      <c r="U330" t="s">
        <v>47</v>
      </c>
      <c r="V330" t="s">
        <v>51</v>
      </c>
      <c r="W330" t="s">
        <v>47</v>
      </c>
      <c r="X330" t="s">
        <v>46</v>
      </c>
      <c r="Y330" t="s">
        <v>47</v>
      </c>
      <c r="Z330" t="s">
        <v>47</v>
      </c>
      <c r="AA330" t="s">
        <v>46</v>
      </c>
      <c r="AB330" t="s">
        <v>47</v>
      </c>
      <c r="AC330" t="s">
        <v>46</v>
      </c>
      <c r="AD330" t="s">
        <v>47</v>
      </c>
      <c r="AE330" t="s">
        <v>47</v>
      </c>
      <c r="AF330" t="s">
        <v>47</v>
      </c>
      <c r="AG330" t="s">
        <v>121</v>
      </c>
      <c r="AH330" t="s">
        <v>122</v>
      </c>
      <c r="AI330" t="s">
        <v>80</v>
      </c>
      <c r="AJ330">
        <v>5.5</v>
      </c>
      <c r="AK330" t="s">
        <v>47</v>
      </c>
      <c r="AL330" t="s">
        <v>156</v>
      </c>
      <c r="AM330" t="s">
        <v>77</v>
      </c>
      <c r="AN330">
        <v>18</v>
      </c>
      <c r="AO330" t="s">
        <v>47</v>
      </c>
    </row>
    <row r="331" spans="1:41">
      <c r="A331" t="s">
        <v>481</v>
      </c>
      <c r="B331">
        <v>2025</v>
      </c>
      <c r="C331" s="1">
        <v>45853</v>
      </c>
      <c r="D331" t="s">
        <v>42</v>
      </c>
      <c r="E331" t="s">
        <v>210</v>
      </c>
      <c r="F331">
        <v>57</v>
      </c>
      <c r="G331" t="s">
        <v>60</v>
      </c>
      <c r="H331" t="s">
        <v>45</v>
      </c>
      <c r="I331">
        <v>34</v>
      </c>
      <c r="J331">
        <v>24</v>
      </c>
      <c r="K331" t="s">
        <v>47</v>
      </c>
      <c r="L331" t="s">
        <v>47</v>
      </c>
      <c r="M331" t="s">
        <v>46</v>
      </c>
      <c r="N331" t="s">
        <v>62</v>
      </c>
      <c r="O331" t="s">
        <v>63</v>
      </c>
      <c r="P331">
        <v>20.399999999999999</v>
      </c>
      <c r="Q331" t="s">
        <v>62</v>
      </c>
      <c r="R331" t="s">
        <v>46</v>
      </c>
      <c r="S331" t="s">
        <v>47</v>
      </c>
      <c r="T331" t="s">
        <v>47</v>
      </c>
      <c r="U331" t="s">
        <v>47</v>
      </c>
      <c r="V331" t="s">
        <v>151</v>
      </c>
      <c r="W331" t="s">
        <v>46</v>
      </c>
      <c r="X331" t="s">
        <v>47</v>
      </c>
      <c r="Y331" t="s">
        <v>47</v>
      </c>
      <c r="Z331" t="s">
        <v>46</v>
      </c>
      <c r="AA331" t="s">
        <v>46</v>
      </c>
      <c r="AB331" t="s">
        <v>47</v>
      </c>
      <c r="AC331" t="s">
        <v>46</v>
      </c>
      <c r="AD331" t="s">
        <v>46</v>
      </c>
      <c r="AE331" t="s">
        <v>47</v>
      </c>
      <c r="AF331" t="s">
        <v>47</v>
      </c>
      <c r="AG331" t="s">
        <v>52</v>
      </c>
      <c r="AH331" t="s">
        <v>71</v>
      </c>
      <c r="AI331" t="s">
        <v>54</v>
      </c>
      <c r="AJ331">
        <v>8.4</v>
      </c>
      <c r="AK331" t="s">
        <v>46</v>
      </c>
      <c r="AL331" t="s">
        <v>76</v>
      </c>
      <c r="AM331" t="s">
        <v>77</v>
      </c>
      <c r="AN331">
        <v>3</v>
      </c>
      <c r="AO331" t="s">
        <v>47</v>
      </c>
    </row>
    <row r="332" spans="1:41">
      <c r="A332" t="s">
        <v>482</v>
      </c>
      <c r="B332">
        <v>2016</v>
      </c>
      <c r="C332" s="1">
        <v>42518</v>
      </c>
      <c r="D332" t="s">
        <v>58</v>
      </c>
      <c r="E332" t="s">
        <v>163</v>
      </c>
      <c r="F332">
        <v>52</v>
      </c>
      <c r="G332" t="s">
        <v>44</v>
      </c>
      <c r="H332" t="s">
        <v>70</v>
      </c>
      <c r="I332">
        <v>0</v>
      </c>
      <c r="J332">
        <v>0</v>
      </c>
      <c r="K332" t="s">
        <v>46</v>
      </c>
      <c r="L332" t="s">
        <v>46</v>
      </c>
      <c r="M332" t="s">
        <v>47</v>
      </c>
      <c r="N332" t="s">
        <v>48</v>
      </c>
      <c r="O332" t="s">
        <v>48</v>
      </c>
      <c r="P332">
        <v>28.9</v>
      </c>
      <c r="Q332" t="s">
        <v>62</v>
      </c>
      <c r="R332" t="s">
        <v>47</v>
      </c>
      <c r="S332" t="s">
        <v>47</v>
      </c>
      <c r="T332" t="s">
        <v>46</v>
      </c>
      <c r="U332" t="s">
        <v>47</v>
      </c>
      <c r="V332" t="s">
        <v>51</v>
      </c>
      <c r="W332" t="s">
        <v>47</v>
      </c>
      <c r="X332" t="s">
        <v>47</v>
      </c>
      <c r="Y332" t="s">
        <v>47</v>
      </c>
      <c r="Z332" t="s">
        <v>47</v>
      </c>
      <c r="AA332" t="s">
        <v>46</v>
      </c>
      <c r="AB332" t="s">
        <v>47</v>
      </c>
      <c r="AC332" t="s">
        <v>47</v>
      </c>
      <c r="AD332" t="s">
        <v>47</v>
      </c>
      <c r="AE332" t="s">
        <v>47</v>
      </c>
      <c r="AF332" t="s">
        <v>47</v>
      </c>
      <c r="AG332" t="s">
        <v>52</v>
      </c>
      <c r="AH332" t="s">
        <v>53</v>
      </c>
      <c r="AI332" t="s">
        <v>87</v>
      </c>
      <c r="AJ332">
        <v>4.2</v>
      </c>
      <c r="AK332" t="s">
        <v>47</v>
      </c>
      <c r="AL332" t="s">
        <v>55</v>
      </c>
      <c r="AM332" t="s">
        <v>73</v>
      </c>
      <c r="AN332">
        <v>27</v>
      </c>
      <c r="AO332" t="s">
        <v>47</v>
      </c>
    </row>
    <row r="333" spans="1:41">
      <c r="A333" t="s">
        <v>483</v>
      </c>
      <c r="B333">
        <v>2020</v>
      </c>
      <c r="C333" s="1">
        <v>44022</v>
      </c>
      <c r="D333" t="s">
        <v>98</v>
      </c>
      <c r="E333" t="s">
        <v>484</v>
      </c>
      <c r="F333">
        <v>51</v>
      </c>
      <c r="G333" t="s">
        <v>60</v>
      </c>
      <c r="H333" t="s">
        <v>45</v>
      </c>
      <c r="I333">
        <v>29</v>
      </c>
      <c r="J333">
        <v>19</v>
      </c>
      <c r="K333" t="s">
        <v>46</v>
      </c>
      <c r="L333" t="s">
        <v>46</v>
      </c>
      <c r="M333" t="s">
        <v>47</v>
      </c>
      <c r="N333" t="s">
        <v>62</v>
      </c>
      <c r="O333" t="s">
        <v>48</v>
      </c>
      <c r="P333">
        <v>27.1</v>
      </c>
      <c r="Q333" t="s">
        <v>50</v>
      </c>
      <c r="R333" t="s">
        <v>46</v>
      </c>
      <c r="S333" t="s">
        <v>47</v>
      </c>
      <c r="T333" t="s">
        <v>47</v>
      </c>
      <c r="U333" t="s">
        <v>47</v>
      </c>
      <c r="V333" t="s">
        <v>64</v>
      </c>
      <c r="W333" t="s">
        <v>46</v>
      </c>
      <c r="X333" t="s">
        <v>46</v>
      </c>
      <c r="Y333" t="s">
        <v>47</v>
      </c>
      <c r="Z333" t="s">
        <v>47</v>
      </c>
      <c r="AA333" t="s">
        <v>46</v>
      </c>
      <c r="AB333" t="s">
        <v>47</v>
      </c>
      <c r="AC333" t="s">
        <v>46</v>
      </c>
      <c r="AD333" t="s">
        <v>46</v>
      </c>
      <c r="AE333" t="s">
        <v>47</v>
      </c>
      <c r="AF333" t="s">
        <v>47</v>
      </c>
      <c r="AG333" t="s">
        <v>52</v>
      </c>
      <c r="AH333" t="s">
        <v>71</v>
      </c>
      <c r="AI333" t="s">
        <v>54</v>
      </c>
      <c r="AJ333">
        <v>7.9</v>
      </c>
      <c r="AK333" t="s">
        <v>46</v>
      </c>
      <c r="AL333" t="s">
        <v>66</v>
      </c>
      <c r="AM333" t="s">
        <v>265</v>
      </c>
      <c r="AN333">
        <v>15</v>
      </c>
      <c r="AO333" t="s">
        <v>47</v>
      </c>
    </row>
    <row r="334" spans="1:41">
      <c r="A334" t="s">
        <v>485</v>
      </c>
      <c r="B334">
        <v>2023</v>
      </c>
      <c r="C334" s="1">
        <v>45201</v>
      </c>
      <c r="D334" t="s">
        <v>42</v>
      </c>
      <c r="E334" t="s">
        <v>154</v>
      </c>
      <c r="F334">
        <v>70</v>
      </c>
      <c r="G334" t="s">
        <v>60</v>
      </c>
      <c r="H334" t="s">
        <v>45</v>
      </c>
      <c r="I334">
        <v>33</v>
      </c>
      <c r="J334">
        <v>23</v>
      </c>
      <c r="K334" t="s">
        <v>47</v>
      </c>
      <c r="L334" t="s">
        <v>47</v>
      </c>
      <c r="M334" t="s">
        <v>46</v>
      </c>
      <c r="N334" t="s">
        <v>50</v>
      </c>
      <c r="O334" t="s">
        <v>48</v>
      </c>
      <c r="P334">
        <v>27.4</v>
      </c>
      <c r="Q334" t="s">
        <v>50</v>
      </c>
      <c r="R334" t="s">
        <v>46</v>
      </c>
      <c r="S334" t="s">
        <v>47</v>
      </c>
      <c r="T334" t="s">
        <v>47</v>
      </c>
      <c r="U334" t="s">
        <v>47</v>
      </c>
      <c r="V334" t="s">
        <v>51</v>
      </c>
      <c r="W334" t="s">
        <v>47</v>
      </c>
      <c r="X334" t="s">
        <v>47</v>
      </c>
      <c r="Y334" t="s">
        <v>47</v>
      </c>
      <c r="Z334" t="s">
        <v>46</v>
      </c>
      <c r="AA334" t="s">
        <v>46</v>
      </c>
      <c r="AB334" t="s">
        <v>46</v>
      </c>
      <c r="AC334" t="s">
        <v>47</v>
      </c>
      <c r="AD334" t="s">
        <v>47</v>
      </c>
      <c r="AE334" t="s">
        <v>47</v>
      </c>
      <c r="AF334" t="s">
        <v>47</v>
      </c>
      <c r="AG334" t="s">
        <v>52</v>
      </c>
      <c r="AH334" t="s">
        <v>53</v>
      </c>
      <c r="AI334" t="s">
        <v>80</v>
      </c>
      <c r="AJ334">
        <v>8.1999999999999993</v>
      </c>
      <c r="AK334" t="s">
        <v>47</v>
      </c>
      <c r="AL334" t="s">
        <v>76</v>
      </c>
      <c r="AM334" t="s">
        <v>77</v>
      </c>
      <c r="AN334">
        <v>13</v>
      </c>
      <c r="AO334" t="s">
        <v>47</v>
      </c>
    </row>
    <row r="335" spans="1:41">
      <c r="A335" t="s">
        <v>486</v>
      </c>
      <c r="B335">
        <v>2018</v>
      </c>
      <c r="C335" s="1">
        <v>43438</v>
      </c>
      <c r="D335" t="s">
        <v>95</v>
      </c>
      <c r="E335" t="s">
        <v>132</v>
      </c>
      <c r="F335">
        <v>74</v>
      </c>
      <c r="G335" t="s">
        <v>60</v>
      </c>
      <c r="H335" t="s">
        <v>61</v>
      </c>
      <c r="I335">
        <v>11</v>
      </c>
      <c r="J335">
        <v>23</v>
      </c>
      <c r="K335" t="s">
        <v>47</v>
      </c>
      <c r="L335" t="s">
        <v>47</v>
      </c>
      <c r="M335" t="s">
        <v>47</v>
      </c>
      <c r="N335" t="s">
        <v>50</v>
      </c>
      <c r="O335" t="s">
        <v>49</v>
      </c>
      <c r="P335">
        <v>27.4</v>
      </c>
      <c r="Q335" t="s">
        <v>50</v>
      </c>
      <c r="R335" t="s">
        <v>47</v>
      </c>
      <c r="S335" t="s">
        <v>47</v>
      </c>
      <c r="T335" t="s">
        <v>47</v>
      </c>
      <c r="U335" t="s">
        <v>47</v>
      </c>
      <c r="V335" t="s">
        <v>92</v>
      </c>
      <c r="W335" t="s">
        <v>47</v>
      </c>
      <c r="X335" t="s">
        <v>47</v>
      </c>
      <c r="Y335" t="s">
        <v>47</v>
      </c>
      <c r="Z335" t="s">
        <v>47</v>
      </c>
      <c r="AA335" t="s">
        <v>46</v>
      </c>
      <c r="AB335" t="s">
        <v>46</v>
      </c>
      <c r="AC335" t="s">
        <v>46</v>
      </c>
      <c r="AD335" t="s">
        <v>47</v>
      </c>
      <c r="AE335" t="s">
        <v>47</v>
      </c>
      <c r="AF335" t="s">
        <v>47</v>
      </c>
      <c r="AG335" t="s">
        <v>52</v>
      </c>
      <c r="AH335" t="s">
        <v>53</v>
      </c>
      <c r="AI335" t="s">
        <v>65</v>
      </c>
      <c r="AJ335">
        <v>2.6</v>
      </c>
      <c r="AK335" t="s">
        <v>47</v>
      </c>
      <c r="AL335" t="s">
        <v>72</v>
      </c>
      <c r="AM335" t="s">
        <v>73</v>
      </c>
      <c r="AN335">
        <v>43</v>
      </c>
      <c r="AO335" t="s">
        <v>47</v>
      </c>
    </row>
    <row r="336" spans="1:41">
      <c r="A336" t="s">
        <v>487</v>
      </c>
      <c r="B336">
        <v>2020</v>
      </c>
      <c r="C336" s="1">
        <v>44142</v>
      </c>
      <c r="D336" t="s">
        <v>42</v>
      </c>
      <c r="E336" t="s">
        <v>247</v>
      </c>
      <c r="F336">
        <v>74</v>
      </c>
      <c r="G336" t="s">
        <v>60</v>
      </c>
      <c r="H336" t="s">
        <v>70</v>
      </c>
      <c r="I336">
        <v>0</v>
      </c>
      <c r="J336">
        <v>0</v>
      </c>
      <c r="K336" t="s">
        <v>46</v>
      </c>
      <c r="L336" t="s">
        <v>47</v>
      </c>
      <c r="M336" t="s">
        <v>46</v>
      </c>
      <c r="N336" t="s">
        <v>48</v>
      </c>
      <c r="O336" t="s">
        <v>48</v>
      </c>
      <c r="P336">
        <v>29.5</v>
      </c>
      <c r="Q336" t="s">
        <v>62</v>
      </c>
      <c r="R336" t="s">
        <v>47</v>
      </c>
      <c r="S336" t="s">
        <v>47</v>
      </c>
      <c r="T336" t="s">
        <v>47</v>
      </c>
      <c r="U336" t="s">
        <v>47</v>
      </c>
      <c r="V336" t="s">
        <v>117</v>
      </c>
      <c r="W336" t="s">
        <v>46</v>
      </c>
      <c r="X336" t="s">
        <v>47</v>
      </c>
      <c r="Y336" t="s">
        <v>46</v>
      </c>
      <c r="Z336" t="s">
        <v>47</v>
      </c>
      <c r="AA336" t="s">
        <v>47</v>
      </c>
      <c r="AB336" t="s">
        <v>47</v>
      </c>
      <c r="AC336" t="s">
        <v>47</v>
      </c>
      <c r="AD336" t="s">
        <v>47</v>
      </c>
      <c r="AE336" t="s">
        <v>47</v>
      </c>
      <c r="AF336" t="s">
        <v>47</v>
      </c>
      <c r="AG336" t="s">
        <v>52</v>
      </c>
      <c r="AH336" t="s">
        <v>71</v>
      </c>
      <c r="AI336" t="s">
        <v>80</v>
      </c>
      <c r="AJ336">
        <v>5.7</v>
      </c>
      <c r="AK336" t="s">
        <v>47</v>
      </c>
      <c r="AL336" t="s">
        <v>100</v>
      </c>
      <c r="AM336" t="s">
        <v>77</v>
      </c>
      <c r="AN336">
        <v>13</v>
      </c>
      <c r="AO336" t="s">
        <v>47</v>
      </c>
    </row>
    <row r="337" spans="1:41">
      <c r="A337" t="s">
        <v>488</v>
      </c>
      <c r="B337">
        <v>2019</v>
      </c>
      <c r="C337" s="1">
        <v>43772</v>
      </c>
      <c r="D337" t="s">
        <v>42</v>
      </c>
      <c r="E337" t="s">
        <v>166</v>
      </c>
      <c r="F337">
        <v>66</v>
      </c>
      <c r="G337" t="s">
        <v>44</v>
      </c>
      <c r="H337" t="s">
        <v>70</v>
      </c>
      <c r="I337">
        <v>0</v>
      </c>
      <c r="J337">
        <v>0</v>
      </c>
      <c r="K337" t="s">
        <v>46</v>
      </c>
      <c r="L337" t="s">
        <v>46</v>
      </c>
      <c r="M337" t="s">
        <v>47</v>
      </c>
      <c r="N337" t="s">
        <v>62</v>
      </c>
      <c r="O337" t="s">
        <v>48</v>
      </c>
      <c r="P337">
        <v>22.8</v>
      </c>
      <c r="Q337" t="s">
        <v>50</v>
      </c>
      <c r="R337" t="s">
        <v>47</v>
      </c>
      <c r="S337" t="s">
        <v>47</v>
      </c>
      <c r="T337" t="s">
        <v>47</v>
      </c>
      <c r="U337" t="s">
        <v>47</v>
      </c>
      <c r="V337" t="s">
        <v>64</v>
      </c>
      <c r="W337" t="s">
        <v>47</v>
      </c>
      <c r="X337" t="s">
        <v>47</v>
      </c>
      <c r="Y337" t="s">
        <v>47</v>
      </c>
      <c r="Z337" t="s">
        <v>47</v>
      </c>
      <c r="AA337" t="s">
        <v>47</v>
      </c>
      <c r="AB337" t="s">
        <v>47</v>
      </c>
      <c r="AC337" t="s">
        <v>46</v>
      </c>
      <c r="AD337" t="s">
        <v>47</v>
      </c>
      <c r="AE337" t="s">
        <v>47</v>
      </c>
      <c r="AF337" t="s">
        <v>47</v>
      </c>
      <c r="AG337" t="s">
        <v>52</v>
      </c>
      <c r="AH337" t="s">
        <v>53</v>
      </c>
      <c r="AI337" t="s">
        <v>54</v>
      </c>
      <c r="AJ337">
        <v>6</v>
      </c>
      <c r="AK337" t="s">
        <v>46</v>
      </c>
      <c r="AL337" t="s">
        <v>76</v>
      </c>
      <c r="AM337" t="s">
        <v>56</v>
      </c>
      <c r="AN337">
        <v>1</v>
      </c>
      <c r="AO337" t="s">
        <v>47</v>
      </c>
    </row>
    <row r="338" spans="1:41">
      <c r="A338" t="s">
        <v>489</v>
      </c>
      <c r="B338">
        <v>2017</v>
      </c>
      <c r="C338" s="1">
        <v>42831</v>
      </c>
      <c r="D338" t="s">
        <v>84</v>
      </c>
      <c r="E338" t="s">
        <v>89</v>
      </c>
      <c r="F338">
        <v>64</v>
      </c>
      <c r="G338" t="s">
        <v>60</v>
      </c>
      <c r="H338" t="s">
        <v>70</v>
      </c>
      <c r="I338">
        <v>0</v>
      </c>
      <c r="J338">
        <v>0</v>
      </c>
      <c r="K338" t="s">
        <v>46</v>
      </c>
      <c r="L338" t="s">
        <v>47</v>
      </c>
      <c r="M338" t="s">
        <v>46</v>
      </c>
      <c r="N338" t="s">
        <v>62</v>
      </c>
      <c r="O338" t="s">
        <v>63</v>
      </c>
      <c r="P338">
        <v>25.6</v>
      </c>
      <c r="Q338" t="s">
        <v>48</v>
      </c>
      <c r="R338" t="s">
        <v>47</v>
      </c>
      <c r="S338" t="s">
        <v>47</v>
      </c>
      <c r="T338" t="s">
        <v>47</v>
      </c>
      <c r="U338" t="s">
        <v>47</v>
      </c>
      <c r="V338" t="s">
        <v>117</v>
      </c>
      <c r="W338" t="s">
        <v>46</v>
      </c>
      <c r="X338" t="s">
        <v>47</v>
      </c>
      <c r="Y338" t="s">
        <v>47</v>
      </c>
      <c r="Z338" t="s">
        <v>47</v>
      </c>
      <c r="AA338" t="s">
        <v>46</v>
      </c>
      <c r="AB338" t="s">
        <v>47</v>
      </c>
      <c r="AC338" t="s">
        <v>47</v>
      </c>
      <c r="AD338" t="s">
        <v>47</v>
      </c>
      <c r="AE338" t="s">
        <v>47</v>
      </c>
      <c r="AF338" t="s">
        <v>47</v>
      </c>
      <c r="AG338" t="s">
        <v>52</v>
      </c>
      <c r="AH338" t="s">
        <v>53</v>
      </c>
      <c r="AI338" t="s">
        <v>87</v>
      </c>
      <c r="AJ338">
        <v>3.7</v>
      </c>
      <c r="AK338" t="s">
        <v>47</v>
      </c>
      <c r="AL338" t="s">
        <v>76</v>
      </c>
      <c r="AM338" t="s">
        <v>118</v>
      </c>
      <c r="AN338">
        <v>31</v>
      </c>
      <c r="AO338" t="s">
        <v>47</v>
      </c>
    </row>
    <row r="339" spans="1:41">
      <c r="A339" t="s">
        <v>490</v>
      </c>
      <c r="B339">
        <v>2020</v>
      </c>
      <c r="C339" s="1">
        <v>43867</v>
      </c>
      <c r="D339" t="s">
        <v>98</v>
      </c>
      <c r="E339" t="s">
        <v>99</v>
      </c>
      <c r="F339">
        <v>72</v>
      </c>
      <c r="G339" t="s">
        <v>60</v>
      </c>
      <c r="H339" t="s">
        <v>70</v>
      </c>
      <c r="I339">
        <v>0</v>
      </c>
      <c r="J339">
        <v>0</v>
      </c>
      <c r="K339" t="s">
        <v>47</v>
      </c>
      <c r="L339" t="s">
        <v>46</v>
      </c>
      <c r="M339" t="s">
        <v>47</v>
      </c>
      <c r="N339" t="s">
        <v>48</v>
      </c>
      <c r="O339" t="s">
        <v>48</v>
      </c>
      <c r="P339">
        <v>28.3</v>
      </c>
      <c r="Q339" t="s">
        <v>48</v>
      </c>
      <c r="R339" t="s">
        <v>47</v>
      </c>
      <c r="S339" t="s">
        <v>47</v>
      </c>
      <c r="T339" t="s">
        <v>47</v>
      </c>
      <c r="U339" t="s">
        <v>47</v>
      </c>
      <c r="V339" t="s">
        <v>51</v>
      </c>
      <c r="W339" t="s">
        <v>46</v>
      </c>
      <c r="X339" t="s">
        <v>47</v>
      </c>
      <c r="Y339" t="s">
        <v>47</v>
      </c>
      <c r="Z339" t="s">
        <v>47</v>
      </c>
      <c r="AA339" t="s">
        <v>46</v>
      </c>
      <c r="AB339" t="s">
        <v>47</v>
      </c>
      <c r="AC339" t="s">
        <v>47</v>
      </c>
      <c r="AD339" t="s">
        <v>47</v>
      </c>
      <c r="AE339" t="s">
        <v>47</v>
      </c>
      <c r="AF339" t="s">
        <v>47</v>
      </c>
      <c r="AG339" t="s">
        <v>52</v>
      </c>
      <c r="AH339" t="s">
        <v>53</v>
      </c>
      <c r="AI339" t="s">
        <v>80</v>
      </c>
      <c r="AJ339">
        <v>3.1</v>
      </c>
      <c r="AK339" t="s">
        <v>46</v>
      </c>
      <c r="AL339" t="s">
        <v>156</v>
      </c>
      <c r="AM339" t="s">
        <v>77</v>
      </c>
      <c r="AN339">
        <v>20</v>
      </c>
      <c r="AO339" t="s">
        <v>47</v>
      </c>
    </row>
    <row r="340" spans="1:41">
      <c r="A340" t="s">
        <v>491</v>
      </c>
      <c r="B340">
        <v>2025</v>
      </c>
      <c r="C340" s="1">
        <v>45853</v>
      </c>
      <c r="D340" t="s">
        <v>95</v>
      </c>
      <c r="E340" t="s">
        <v>255</v>
      </c>
      <c r="F340">
        <v>54</v>
      </c>
      <c r="G340" t="s">
        <v>60</v>
      </c>
      <c r="H340" t="s">
        <v>70</v>
      </c>
      <c r="I340">
        <v>0</v>
      </c>
      <c r="J340">
        <v>0</v>
      </c>
      <c r="K340" t="s">
        <v>47</v>
      </c>
      <c r="L340" t="s">
        <v>47</v>
      </c>
      <c r="M340" t="s">
        <v>47</v>
      </c>
      <c r="N340" t="s">
        <v>62</v>
      </c>
      <c r="O340" t="s">
        <v>48</v>
      </c>
      <c r="P340">
        <v>24.3</v>
      </c>
      <c r="Q340" t="s">
        <v>48</v>
      </c>
      <c r="R340" t="s">
        <v>47</v>
      </c>
      <c r="S340" t="s">
        <v>47</v>
      </c>
      <c r="T340" t="s">
        <v>46</v>
      </c>
      <c r="U340" t="s">
        <v>47</v>
      </c>
      <c r="V340" t="s">
        <v>86</v>
      </c>
      <c r="W340" t="s">
        <v>47</v>
      </c>
      <c r="X340" t="s">
        <v>47</v>
      </c>
      <c r="Y340" t="s">
        <v>46</v>
      </c>
      <c r="Z340" t="s">
        <v>47</v>
      </c>
      <c r="AA340" t="s">
        <v>46</v>
      </c>
      <c r="AB340" t="s">
        <v>47</v>
      </c>
      <c r="AC340" t="s">
        <v>47</v>
      </c>
      <c r="AD340" t="s">
        <v>47</v>
      </c>
      <c r="AE340" t="s">
        <v>47</v>
      </c>
      <c r="AF340" t="s">
        <v>46</v>
      </c>
      <c r="AG340" t="s">
        <v>52</v>
      </c>
      <c r="AH340" t="s">
        <v>53</v>
      </c>
      <c r="AI340" t="s">
        <v>80</v>
      </c>
      <c r="AJ340">
        <v>5.6</v>
      </c>
      <c r="AK340" t="s">
        <v>46</v>
      </c>
      <c r="AL340" t="s">
        <v>55</v>
      </c>
      <c r="AM340" t="s">
        <v>56</v>
      </c>
      <c r="AN340">
        <v>8</v>
      </c>
      <c r="AO340" t="s">
        <v>47</v>
      </c>
    </row>
    <row r="341" spans="1:41">
      <c r="A341" t="s">
        <v>492</v>
      </c>
      <c r="B341">
        <v>2022</v>
      </c>
      <c r="C341" s="1">
        <v>44783</v>
      </c>
      <c r="D341" t="s">
        <v>42</v>
      </c>
      <c r="E341" t="s">
        <v>43</v>
      </c>
      <c r="F341">
        <v>54</v>
      </c>
      <c r="G341" t="s">
        <v>60</v>
      </c>
      <c r="H341" t="s">
        <v>61</v>
      </c>
      <c r="I341">
        <v>12</v>
      </c>
      <c r="J341">
        <v>10</v>
      </c>
      <c r="K341" t="s">
        <v>47</v>
      </c>
      <c r="L341" t="s">
        <v>47</v>
      </c>
      <c r="M341" t="s">
        <v>47</v>
      </c>
      <c r="N341" t="s">
        <v>62</v>
      </c>
      <c r="O341" t="s">
        <v>48</v>
      </c>
      <c r="P341">
        <v>22</v>
      </c>
      <c r="Q341" t="s">
        <v>50</v>
      </c>
      <c r="R341" t="s">
        <v>46</v>
      </c>
      <c r="S341" t="s">
        <v>47</v>
      </c>
      <c r="T341" t="s">
        <v>47</v>
      </c>
      <c r="U341" t="s">
        <v>47</v>
      </c>
      <c r="V341" t="s">
        <v>92</v>
      </c>
      <c r="W341" t="s">
        <v>46</v>
      </c>
      <c r="X341" t="s">
        <v>46</v>
      </c>
      <c r="Y341" t="s">
        <v>47</v>
      </c>
      <c r="Z341" t="s">
        <v>47</v>
      </c>
      <c r="AA341" t="s">
        <v>46</v>
      </c>
      <c r="AB341" t="s">
        <v>47</v>
      </c>
      <c r="AC341" t="s">
        <v>46</v>
      </c>
      <c r="AD341" t="s">
        <v>47</v>
      </c>
      <c r="AE341" t="s">
        <v>47</v>
      </c>
      <c r="AF341" t="s">
        <v>47</v>
      </c>
      <c r="AG341" t="s">
        <v>52</v>
      </c>
      <c r="AH341" t="s">
        <v>53</v>
      </c>
      <c r="AI341" t="s">
        <v>54</v>
      </c>
      <c r="AJ341">
        <v>4.8</v>
      </c>
      <c r="AK341" t="s">
        <v>46</v>
      </c>
      <c r="AL341" t="s">
        <v>66</v>
      </c>
      <c r="AM341" t="s">
        <v>82</v>
      </c>
      <c r="AN341">
        <v>4</v>
      </c>
      <c r="AO341" t="s">
        <v>47</v>
      </c>
    </row>
    <row r="342" spans="1:41">
      <c r="A342" t="s">
        <v>493</v>
      </c>
      <c r="B342">
        <v>2021</v>
      </c>
      <c r="C342" s="1">
        <v>44296</v>
      </c>
      <c r="D342" t="s">
        <v>95</v>
      </c>
      <c r="E342" t="s">
        <v>130</v>
      </c>
      <c r="F342">
        <v>56</v>
      </c>
      <c r="G342" t="s">
        <v>60</v>
      </c>
      <c r="H342" t="s">
        <v>45</v>
      </c>
      <c r="I342">
        <v>36</v>
      </c>
      <c r="J342">
        <v>38</v>
      </c>
      <c r="K342" t="s">
        <v>47</v>
      </c>
      <c r="L342" t="s">
        <v>47</v>
      </c>
      <c r="M342" t="s">
        <v>47</v>
      </c>
      <c r="N342" t="s">
        <v>50</v>
      </c>
      <c r="O342" t="s">
        <v>63</v>
      </c>
      <c r="P342">
        <v>30.1</v>
      </c>
      <c r="Q342" t="s">
        <v>48</v>
      </c>
      <c r="R342" t="s">
        <v>47</v>
      </c>
      <c r="S342" t="s">
        <v>47</v>
      </c>
      <c r="T342" t="s">
        <v>47</v>
      </c>
      <c r="U342" t="s">
        <v>47</v>
      </c>
      <c r="V342" t="s">
        <v>51</v>
      </c>
      <c r="W342" t="s">
        <v>47</v>
      </c>
      <c r="X342" t="s">
        <v>46</v>
      </c>
      <c r="Y342" t="s">
        <v>46</v>
      </c>
      <c r="Z342" t="s">
        <v>46</v>
      </c>
      <c r="AA342" t="s">
        <v>46</v>
      </c>
      <c r="AB342" t="s">
        <v>46</v>
      </c>
      <c r="AC342" t="s">
        <v>46</v>
      </c>
      <c r="AD342" t="s">
        <v>47</v>
      </c>
      <c r="AE342" t="s">
        <v>47</v>
      </c>
      <c r="AF342" t="s">
        <v>47</v>
      </c>
      <c r="AG342" t="s">
        <v>52</v>
      </c>
      <c r="AH342" t="s">
        <v>53</v>
      </c>
      <c r="AI342" t="s">
        <v>54</v>
      </c>
      <c r="AJ342">
        <v>7</v>
      </c>
      <c r="AK342" t="s">
        <v>46</v>
      </c>
      <c r="AL342" t="s">
        <v>100</v>
      </c>
      <c r="AM342" t="s">
        <v>77</v>
      </c>
      <c r="AN342">
        <v>13</v>
      </c>
      <c r="AO342" t="s">
        <v>47</v>
      </c>
    </row>
    <row r="343" spans="1:41">
      <c r="A343" t="s">
        <v>494</v>
      </c>
      <c r="B343">
        <v>2015</v>
      </c>
      <c r="C343" s="1">
        <v>42366</v>
      </c>
      <c r="D343" t="s">
        <v>42</v>
      </c>
      <c r="E343" t="s">
        <v>210</v>
      </c>
      <c r="F343">
        <v>65</v>
      </c>
      <c r="G343" t="s">
        <v>60</v>
      </c>
      <c r="H343" t="s">
        <v>70</v>
      </c>
      <c r="I343">
        <v>0</v>
      </c>
      <c r="J343">
        <v>0</v>
      </c>
      <c r="K343" t="s">
        <v>47</v>
      </c>
      <c r="L343" t="s">
        <v>47</v>
      </c>
      <c r="M343" t="s">
        <v>47</v>
      </c>
      <c r="N343" t="s">
        <v>62</v>
      </c>
      <c r="O343" t="s">
        <v>63</v>
      </c>
      <c r="P343">
        <v>30.6</v>
      </c>
      <c r="Q343" t="s">
        <v>62</v>
      </c>
      <c r="R343" t="s">
        <v>47</v>
      </c>
      <c r="S343" t="s">
        <v>47</v>
      </c>
      <c r="T343" t="s">
        <v>47</v>
      </c>
      <c r="U343" t="s">
        <v>47</v>
      </c>
      <c r="V343" t="s">
        <v>128</v>
      </c>
      <c r="W343" t="s">
        <v>46</v>
      </c>
      <c r="X343" t="s">
        <v>47</v>
      </c>
      <c r="Y343" t="s">
        <v>47</v>
      </c>
      <c r="Z343" t="s">
        <v>47</v>
      </c>
      <c r="AA343" t="s">
        <v>46</v>
      </c>
      <c r="AB343" t="s">
        <v>47</v>
      </c>
      <c r="AC343" t="s">
        <v>47</v>
      </c>
      <c r="AD343" t="s">
        <v>47</v>
      </c>
      <c r="AE343" t="s">
        <v>47</v>
      </c>
      <c r="AF343" t="s">
        <v>47</v>
      </c>
      <c r="AG343" t="s">
        <v>52</v>
      </c>
      <c r="AH343" t="s">
        <v>71</v>
      </c>
      <c r="AI343" t="s">
        <v>87</v>
      </c>
      <c r="AJ343">
        <v>2.5</v>
      </c>
      <c r="AK343" t="s">
        <v>47</v>
      </c>
      <c r="AL343" t="s">
        <v>81</v>
      </c>
      <c r="AM343" t="s">
        <v>73</v>
      </c>
      <c r="AN343">
        <v>53</v>
      </c>
      <c r="AO343" t="s">
        <v>47</v>
      </c>
    </row>
    <row r="344" spans="1:41">
      <c r="A344" t="s">
        <v>495</v>
      </c>
      <c r="B344">
        <v>2015</v>
      </c>
      <c r="C344" s="1">
        <v>42057</v>
      </c>
      <c r="D344" t="s">
        <v>58</v>
      </c>
      <c r="E344" t="s">
        <v>59</v>
      </c>
      <c r="F344">
        <v>72</v>
      </c>
      <c r="G344" t="s">
        <v>60</v>
      </c>
      <c r="H344" t="s">
        <v>45</v>
      </c>
      <c r="I344">
        <v>13</v>
      </c>
      <c r="J344">
        <v>25</v>
      </c>
      <c r="K344" t="s">
        <v>46</v>
      </c>
      <c r="L344" t="s">
        <v>47</v>
      </c>
      <c r="M344" t="s">
        <v>46</v>
      </c>
      <c r="N344" t="s">
        <v>62</v>
      </c>
      <c r="O344" t="s">
        <v>49</v>
      </c>
      <c r="P344">
        <v>30.1</v>
      </c>
      <c r="Q344" t="s">
        <v>48</v>
      </c>
      <c r="R344" t="s">
        <v>47</v>
      </c>
      <c r="S344" t="s">
        <v>47</v>
      </c>
      <c r="T344" t="s">
        <v>47</v>
      </c>
      <c r="U344" t="s">
        <v>47</v>
      </c>
      <c r="V344" t="s">
        <v>51</v>
      </c>
      <c r="W344" t="s">
        <v>47</v>
      </c>
      <c r="X344" t="s">
        <v>47</v>
      </c>
      <c r="Y344" t="s">
        <v>46</v>
      </c>
      <c r="Z344" t="s">
        <v>47</v>
      </c>
      <c r="AA344" t="s">
        <v>46</v>
      </c>
      <c r="AB344" t="s">
        <v>46</v>
      </c>
      <c r="AC344" t="s">
        <v>47</v>
      </c>
      <c r="AD344" t="s">
        <v>46</v>
      </c>
      <c r="AE344" t="s">
        <v>46</v>
      </c>
      <c r="AF344" t="s">
        <v>47</v>
      </c>
      <c r="AG344" t="s">
        <v>52</v>
      </c>
      <c r="AH344" t="s">
        <v>71</v>
      </c>
      <c r="AI344" t="s">
        <v>54</v>
      </c>
      <c r="AJ344">
        <v>7.3</v>
      </c>
      <c r="AK344" t="s">
        <v>46</v>
      </c>
      <c r="AL344" t="s">
        <v>76</v>
      </c>
      <c r="AM344" t="s">
        <v>82</v>
      </c>
      <c r="AN344">
        <v>6</v>
      </c>
      <c r="AO344" t="s">
        <v>46</v>
      </c>
    </row>
    <row r="345" spans="1:41">
      <c r="A345" t="s">
        <v>496</v>
      </c>
      <c r="B345">
        <v>2017</v>
      </c>
      <c r="C345" s="1">
        <v>42881</v>
      </c>
      <c r="D345" t="s">
        <v>42</v>
      </c>
      <c r="E345" t="s">
        <v>154</v>
      </c>
      <c r="F345">
        <v>53</v>
      </c>
      <c r="G345" t="s">
        <v>60</v>
      </c>
      <c r="H345" t="s">
        <v>70</v>
      </c>
      <c r="I345">
        <v>0</v>
      </c>
      <c r="J345">
        <v>0</v>
      </c>
      <c r="K345" t="s">
        <v>46</v>
      </c>
      <c r="L345" t="s">
        <v>47</v>
      </c>
      <c r="M345" t="s">
        <v>47</v>
      </c>
      <c r="N345" t="s">
        <v>50</v>
      </c>
      <c r="O345" t="s">
        <v>48</v>
      </c>
      <c r="P345">
        <v>26.6</v>
      </c>
      <c r="Q345" t="s">
        <v>50</v>
      </c>
      <c r="R345" t="s">
        <v>47</v>
      </c>
      <c r="S345" t="s">
        <v>47</v>
      </c>
      <c r="T345" t="s">
        <v>46</v>
      </c>
      <c r="U345" t="s">
        <v>47</v>
      </c>
      <c r="V345" t="s">
        <v>92</v>
      </c>
      <c r="W345" t="s">
        <v>47</v>
      </c>
      <c r="X345" t="s">
        <v>47</v>
      </c>
      <c r="Y345" t="s">
        <v>47</v>
      </c>
      <c r="Z345" t="s">
        <v>47</v>
      </c>
      <c r="AA345" t="s">
        <v>46</v>
      </c>
      <c r="AB345" t="s">
        <v>47</v>
      </c>
      <c r="AC345" t="s">
        <v>46</v>
      </c>
      <c r="AD345" t="s">
        <v>47</v>
      </c>
      <c r="AE345" t="s">
        <v>47</v>
      </c>
      <c r="AF345" t="s">
        <v>46</v>
      </c>
      <c r="AG345" t="s">
        <v>52</v>
      </c>
      <c r="AH345" t="s">
        <v>90</v>
      </c>
      <c r="AI345" t="s">
        <v>54</v>
      </c>
      <c r="AJ345">
        <v>8.9</v>
      </c>
      <c r="AK345" t="s">
        <v>46</v>
      </c>
      <c r="AL345" t="s">
        <v>76</v>
      </c>
      <c r="AM345" t="s">
        <v>77</v>
      </c>
      <c r="AN345">
        <v>17</v>
      </c>
      <c r="AO345" t="s">
        <v>47</v>
      </c>
    </row>
    <row r="346" spans="1:41">
      <c r="A346" t="s">
        <v>497</v>
      </c>
      <c r="B346">
        <v>2017</v>
      </c>
      <c r="C346" s="1">
        <v>43065</v>
      </c>
      <c r="D346" t="s">
        <v>42</v>
      </c>
      <c r="E346" t="s">
        <v>160</v>
      </c>
      <c r="F346">
        <v>59</v>
      </c>
      <c r="G346" t="s">
        <v>44</v>
      </c>
      <c r="H346" t="s">
        <v>70</v>
      </c>
      <c r="I346">
        <v>0</v>
      </c>
      <c r="J346">
        <v>0</v>
      </c>
      <c r="K346" t="s">
        <v>47</v>
      </c>
      <c r="L346" t="s">
        <v>47</v>
      </c>
      <c r="M346" t="s">
        <v>47</v>
      </c>
      <c r="N346" t="s">
        <v>62</v>
      </c>
      <c r="O346" t="s">
        <v>48</v>
      </c>
      <c r="P346">
        <v>31.3</v>
      </c>
      <c r="Q346" t="s">
        <v>48</v>
      </c>
      <c r="R346" t="s">
        <v>46</v>
      </c>
      <c r="S346" t="s">
        <v>47</v>
      </c>
      <c r="T346" t="s">
        <v>47</v>
      </c>
      <c r="U346" t="s">
        <v>47</v>
      </c>
      <c r="V346" t="s">
        <v>117</v>
      </c>
      <c r="W346" t="s">
        <v>46</v>
      </c>
      <c r="X346" t="s">
        <v>47</v>
      </c>
      <c r="Y346" t="s">
        <v>47</v>
      </c>
      <c r="Z346" t="s">
        <v>46</v>
      </c>
      <c r="AA346" t="s">
        <v>46</v>
      </c>
      <c r="AB346" t="s">
        <v>47</v>
      </c>
      <c r="AC346" t="s">
        <v>47</v>
      </c>
      <c r="AD346" t="s">
        <v>47</v>
      </c>
      <c r="AE346" t="s">
        <v>47</v>
      </c>
      <c r="AF346" t="s">
        <v>47</v>
      </c>
      <c r="AG346" t="s">
        <v>52</v>
      </c>
      <c r="AH346" t="s">
        <v>53</v>
      </c>
      <c r="AI346" t="s">
        <v>54</v>
      </c>
      <c r="AJ346">
        <v>8</v>
      </c>
      <c r="AK346" t="s">
        <v>46</v>
      </c>
      <c r="AL346" t="s">
        <v>81</v>
      </c>
      <c r="AM346" t="s">
        <v>82</v>
      </c>
      <c r="AN346">
        <v>2</v>
      </c>
      <c r="AO346" t="s">
        <v>47</v>
      </c>
    </row>
    <row r="347" spans="1:41">
      <c r="A347" t="s">
        <v>498</v>
      </c>
      <c r="B347">
        <v>2025</v>
      </c>
      <c r="C347" s="1">
        <v>45842</v>
      </c>
      <c r="D347" t="s">
        <v>95</v>
      </c>
      <c r="E347" t="s">
        <v>147</v>
      </c>
      <c r="F347">
        <v>52</v>
      </c>
      <c r="G347" t="s">
        <v>44</v>
      </c>
      <c r="H347" t="s">
        <v>70</v>
      </c>
      <c r="I347">
        <v>0</v>
      </c>
      <c r="J347">
        <v>0</v>
      </c>
      <c r="K347" t="s">
        <v>46</v>
      </c>
      <c r="L347" t="s">
        <v>46</v>
      </c>
      <c r="M347" t="s">
        <v>47</v>
      </c>
      <c r="N347" t="s">
        <v>50</v>
      </c>
      <c r="O347" t="s">
        <v>48</v>
      </c>
      <c r="P347">
        <v>26.9</v>
      </c>
      <c r="Q347" t="s">
        <v>50</v>
      </c>
      <c r="R347" t="s">
        <v>47</v>
      </c>
      <c r="S347" t="s">
        <v>47</v>
      </c>
      <c r="T347" t="s">
        <v>47</v>
      </c>
      <c r="U347" t="s">
        <v>47</v>
      </c>
      <c r="V347" t="s">
        <v>128</v>
      </c>
      <c r="W347" t="s">
        <v>47</v>
      </c>
      <c r="X347" t="s">
        <v>47</v>
      </c>
      <c r="Y347" t="s">
        <v>47</v>
      </c>
      <c r="Z347" t="s">
        <v>47</v>
      </c>
      <c r="AA347" t="s">
        <v>47</v>
      </c>
      <c r="AB347" t="s">
        <v>46</v>
      </c>
      <c r="AC347" t="s">
        <v>47</v>
      </c>
      <c r="AD347" t="s">
        <v>47</v>
      </c>
      <c r="AE347" t="s">
        <v>47</v>
      </c>
      <c r="AF347" t="s">
        <v>47</v>
      </c>
      <c r="AG347" t="s">
        <v>52</v>
      </c>
      <c r="AH347" t="s">
        <v>71</v>
      </c>
      <c r="AI347" t="s">
        <v>54</v>
      </c>
      <c r="AJ347">
        <v>6.7</v>
      </c>
      <c r="AK347" t="s">
        <v>46</v>
      </c>
      <c r="AL347" t="s">
        <v>76</v>
      </c>
      <c r="AM347" t="s">
        <v>77</v>
      </c>
      <c r="AN347">
        <v>17</v>
      </c>
      <c r="AO347" t="s">
        <v>47</v>
      </c>
    </row>
    <row r="348" spans="1:41">
      <c r="A348" t="s">
        <v>499</v>
      </c>
      <c r="B348">
        <v>2015</v>
      </c>
      <c r="C348" s="1">
        <v>42115</v>
      </c>
      <c r="D348" t="s">
        <v>110</v>
      </c>
      <c r="E348" t="s">
        <v>294</v>
      </c>
      <c r="F348">
        <v>49</v>
      </c>
      <c r="G348" t="s">
        <v>44</v>
      </c>
      <c r="H348" t="s">
        <v>61</v>
      </c>
      <c r="I348">
        <v>27</v>
      </c>
      <c r="J348">
        <v>5</v>
      </c>
      <c r="K348" t="s">
        <v>46</v>
      </c>
      <c r="L348" t="s">
        <v>47</v>
      </c>
      <c r="M348" t="s">
        <v>47</v>
      </c>
      <c r="N348" t="s">
        <v>48</v>
      </c>
      <c r="O348" t="s">
        <v>49</v>
      </c>
      <c r="P348">
        <v>24.7</v>
      </c>
      <c r="Q348" t="s">
        <v>50</v>
      </c>
      <c r="R348" t="s">
        <v>47</v>
      </c>
      <c r="S348" t="s">
        <v>47</v>
      </c>
      <c r="T348" t="s">
        <v>47</v>
      </c>
      <c r="U348" t="s">
        <v>47</v>
      </c>
      <c r="V348" t="s">
        <v>51</v>
      </c>
      <c r="W348" t="s">
        <v>47</v>
      </c>
      <c r="X348" t="s">
        <v>47</v>
      </c>
      <c r="Y348" t="s">
        <v>46</v>
      </c>
      <c r="Z348" t="s">
        <v>47</v>
      </c>
      <c r="AA348" t="s">
        <v>47</v>
      </c>
      <c r="AB348" t="s">
        <v>46</v>
      </c>
      <c r="AC348" t="s">
        <v>46</v>
      </c>
      <c r="AD348" t="s">
        <v>47</v>
      </c>
      <c r="AE348" t="s">
        <v>46</v>
      </c>
      <c r="AF348" t="s">
        <v>47</v>
      </c>
      <c r="AG348" t="s">
        <v>52</v>
      </c>
      <c r="AH348" t="s">
        <v>71</v>
      </c>
      <c r="AI348" t="s">
        <v>87</v>
      </c>
      <c r="AJ348">
        <v>2.6</v>
      </c>
      <c r="AK348" t="s">
        <v>47</v>
      </c>
      <c r="AL348" t="s">
        <v>66</v>
      </c>
      <c r="AM348" t="s">
        <v>82</v>
      </c>
      <c r="AN348">
        <v>44</v>
      </c>
      <c r="AO348" t="s">
        <v>46</v>
      </c>
    </row>
    <row r="349" spans="1:41">
      <c r="A349" t="s">
        <v>500</v>
      </c>
      <c r="B349">
        <v>2022</v>
      </c>
      <c r="C349" s="1">
        <v>44708</v>
      </c>
      <c r="D349" t="s">
        <v>58</v>
      </c>
      <c r="E349" t="s">
        <v>142</v>
      </c>
      <c r="F349">
        <v>65</v>
      </c>
      <c r="G349" t="s">
        <v>60</v>
      </c>
      <c r="H349" t="s">
        <v>70</v>
      </c>
      <c r="I349">
        <v>0</v>
      </c>
      <c r="J349">
        <v>0</v>
      </c>
      <c r="K349" t="s">
        <v>46</v>
      </c>
      <c r="L349" t="s">
        <v>47</v>
      </c>
      <c r="M349" t="s">
        <v>46</v>
      </c>
      <c r="N349" t="s">
        <v>48</v>
      </c>
      <c r="O349" t="s">
        <v>48</v>
      </c>
      <c r="P349">
        <v>21.5</v>
      </c>
      <c r="Q349" t="s">
        <v>48</v>
      </c>
      <c r="R349" t="s">
        <v>47</v>
      </c>
      <c r="S349" t="s">
        <v>47</v>
      </c>
      <c r="T349" t="s">
        <v>46</v>
      </c>
      <c r="U349" t="s">
        <v>47</v>
      </c>
      <c r="V349" t="s">
        <v>86</v>
      </c>
      <c r="W349" t="s">
        <v>47</v>
      </c>
      <c r="X349" t="s">
        <v>46</v>
      </c>
      <c r="Y349" t="s">
        <v>47</v>
      </c>
      <c r="Z349" t="s">
        <v>46</v>
      </c>
      <c r="AA349" t="s">
        <v>46</v>
      </c>
      <c r="AB349" t="s">
        <v>47</v>
      </c>
      <c r="AC349" t="s">
        <v>47</v>
      </c>
      <c r="AD349" t="s">
        <v>47</v>
      </c>
      <c r="AE349" t="s">
        <v>47</v>
      </c>
      <c r="AF349" t="s">
        <v>47</v>
      </c>
      <c r="AG349" t="s">
        <v>52</v>
      </c>
      <c r="AH349" t="s">
        <v>53</v>
      </c>
      <c r="AI349" t="s">
        <v>65</v>
      </c>
      <c r="AJ349">
        <v>1.1000000000000001</v>
      </c>
      <c r="AK349" t="s">
        <v>47</v>
      </c>
      <c r="AL349" t="s">
        <v>76</v>
      </c>
      <c r="AM349" t="s">
        <v>73</v>
      </c>
      <c r="AN349">
        <v>62</v>
      </c>
      <c r="AO349" t="s">
        <v>46</v>
      </c>
    </row>
    <row r="350" spans="1:41">
      <c r="A350" t="s">
        <v>501</v>
      </c>
      <c r="B350">
        <v>2016</v>
      </c>
      <c r="C350" s="1">
        <v>42402</v>
      </c>
      <c r="D350" t="s">
        <v>110</v>
      </c>
      <c r="E350" t="s">
        <v>294</v>
      </c>
      <c r="F350">
        <v>50</v>
      </c>
      <c r="G350" t="s">
        <v>60</v>
      </c>
      <c r="H350" t="s">
        <v>70</v>
      </c>
      <c r="I350">
        <v>0</v>
      </c>
      <c r="J350">
        <v>0</v>
      </c>
      <c r="K350" t="s">
        <v>47</v>
      </c>
      <c r="L350" t="s">
        <v>47</v>
      </c>
      <c r="M350" t="s">
        <v>47</v>
      </c>
      <c r="N350" t="s">
        <v>48</v>
      </c>
      <c r="O350" t="s">
        <v>63</v>
      </c>
      <c r="P350">
        <v>24.9</v>
      </c>
      <c r="Q350" t="s">
        <v>50</v>
      </c>
      <c r="R350" t="s">
        <v>47</v>
      </c>
      <c r="S350" t="s">
        <v>47</v>
      </c>
      <c r="T350" t="s">
        <v>47</v>
      </c>
      <c r="U350" t="s">
        <v>47</v>
      </c>
      <c r="V350" t="s">
        <v>64</v>
      </c>
      <c r="W350" t="s">
        <v>46</v>
      </c>
      <c r="X350" t="s">
        <v>46</v>
      </c>
      <c r="Y350" t="s">
        <v>46</v>
      </c>
      <c r="Z350" t="s">
        <v>47</v>
      </c>
      <c r="AA350" t="s">
        <v>46</v>
      </c>
      <c r="AB350" t="s">
        <v>47</v>
      </c>
      <c r="AC350" t="s">
        <v>47</v>
      </c>
      <c r="AD350" t="s">
        <v>47</v>
      </c>
      <c r="AE350" t="s">
        <v>47</v>
      </c>
      <c r="AF350" t="s">
        <v>47</v>
      </c>
      <c r="AG350" t="s">
        <v>52</v>
      </c>
      <c r="AH350" t="s">
        <v>53</v>
      </c>
      <c r="AI350" t="s">
        <v>65</v>
      </c>
      <c r="AJ350">
        <v>2.1</v>
      </c>
      <c r="AK350" t="s">
        <v>46</v>
      </c>
      <c r="AL350" t="s">
        <v>76</v>
      </c>
      <c r="AM350" t="s">
        <v>103</v>
      </c>
      <c r="AN350">
        <v>21</v>
      </c>
      <c r="AO350" t="s">
        <v>46</v>
      </c>
    </row>
    <row r="351" spans="1:41">
      <c r="A351" t="s">
        <v>502</v>
      </c>
      <c r="B351">
        <v>2021</v>
      </c>
      <c r="C351" s="1">
        <v>44336</v>
      </c>
      <c r="D351" t="s">
        <v>95</v>
      </c>
      <c r="E351" t="s">
        <v>255</v>
      </c>
      <c r="F351">
        <v>66</v>
      </c>
      <c r="G351" t="s">
        <v>44</v>
      </c>
      <c r="H351" t="s">
        <v>70</v>
      </c>
      <c r="I351">
        <v>0</v>
      </c>
      <c r="J351">
        <v>0</v>
      </c>
      <c r="K351" t="s">
        <v>47</v>
      </c>
      <c r="L351" t="s">
        <v>46</v>
      </c>
      <c r="M351" t="s">
        <v>47</v>
      </c>
      <c r="N351" t="s">
        <v>48</v>
      </c>
      <c r="O351" t="s">
        <v>49</v>
      </c>
      <c r="P351">
        <v>26.5</v>
      </c>
      <c r="Q351" t="s">
        <v>50</v>
      </c>
      <c r="R351" t="s">
        <v>47</v>
      </c>
      <c r="S351" t="s">
        <v>47</v>
      </c>
      <c r="T351" t="s">
        <v>47</v>
      </c>
      <c r="U351" t="s">
        <v>47</v>
      </c>
      <c r="V351" t="s">
        <v>51</v>
      </c>
      <c r="W351" t="s">
        <v>47</v>
      </c>
      <c r="X351" t="s">
        <v>47</v>
      </c>
      <c r="Y351" t="s">
        <v>47</v>
      </c>
      <c r="Z351" t="s">
        <v>47</v>
      </c>
      <c r="AA351" t="s">
        <v>47</v>
      </c>
      <c r="AB351" t="s">
        <v>47</v>
      </c>
      <c r="AC351" t="s">
        <v>47</v>
      </c>
      <c r="AD351" t="s">
        <v>46</v>
      </c>
      <c r="AE351" t="s">
        <v>47</v>
      </c>
      <c r="AF351" t="s">
        <v>47</v>
      </c>
      <c r="AG351" t="s">
        <v>52</v>
      </c>
      <c r="AH351" t="s">
        <v>53</v>
      </c>
      <c r="AI351" t="s">
        <v>65</v>
      </c>
      <c r="AJ351">
        <v>2.8</v>
      </c>
      <c r="AK351" t="s">
        <v>47</v>
      </c>
      <c r="AL351" t="s">
        <v>76</v>
      </c>
      <c r="AM351" t="s">
        <v>67</v>
      </c>
      <c r="AN351">
        <v>78</v>
      </c>
      <c r="AO351" t="s">
        <v>46</v>
      </c>
    </row>
    <row r="352" spans="1:41">
      <c r="A352" t="s">
        <v>503</v>
      </c>
      <c r="B352">
        <v>2017</v>
      </c>
      <c r="C352" s="1">
        <v>42870</v>
      </c>
      <c r="D352" t="s">
        <v>95</v>
      </c>
      <c r="E352" t="s">
        <v>120</v>
      </c>
      <c r="F352">
        <v>58</v>
      </c>
      <c r="G352" t="s">
        <v>60</v>
      </c>
      <c r="H352" t="s">
        <v>45</v>
      </c>
      <c r="I352">
        <v>41</v>
      </c>
      <c r="J352">
        <v>18</v>
      </c>
      <c r="K352" t="s">
        <v>46</v>
      </c>
      <c r="L352" t="s">
        <v>46</v>
      </c>
      <c r="M352" t="s">
        <v>47</v>
      </c>
      <c r="N352" t="s">
        <v>50</v>
      </c>
      <c r="O352" t="s">
        <v>49</v>
      </c>
      <c r="P352">
        <v>23.8</v>
      </c>
      <c r="Q352" t="s">
        <v>48</v>
      </c>
      <c r="R352" t="s">
        <v>46</v>
      </c>
      <c r="S352" t="s">
        <v>47</v>
      </c>
      <c r="T352" t="s">
        <v>47</v>
      </c>
      <c r="U352" t="s">
        <v>47</v>
      </c>
      <c r="V352" t="s">
        <v>51</v>
      </c>
      <c r="W352" t="s">
        <v>46</v>
      </c>
      <c r="X352" t="s">
        <v>47</v>
      </c>
      <c r="Y352" t="s">
        <v>47</v>
      </c>
      <c r="Z352" t="s">
        <v>47</v>
      </c>
      <c r="AA352" t="s">
        <v>46</v>
      </c>
      <c r="AB352" t="s">
        <v>46</v>
      </c>
      <c r="AC352" t="s">
        <v>46</v>
      </c>
      <c r="AD352" t="s">
        <v>47</v>
      </c>
      <c r="AE352" t="s">
        <v>47</v>
      </c>
      <c r="AF352" t="s">
        <v>47</v>
      </c>
      <c r="AG352" t="s">
        <v>52</v>
      </c>
      <c r="AH352" t="s">
        <v>71</v>
      </c>
      <c r="AI352" t="s">
        <v>80</v>
      </c>
      <c r="AJ352">
        <v>4.5999999999999996</v>
      </c>
      <c r="AK352" t="s">
        <v>47</v>
      </c>
      <c r="AL352" t="s">
        <v>156</v>
      </c>
      <c r="AM352" t="s">
        <v>118</v>
      </c>
      <c r="AN352">
        <v>19</v>
      </c>
      <c r="AO352" t="s">
        <v>47</v>
      </c>
    </row>
    <row r="353" spans="1:41">
      <c r="A353" t="s">
        <v>504</v>
      </c>
      <c r="B353">
        <v>2025</v>
      </c>
      <c r="C353" s="1">
        <v>45892</v>
      </c>
      <c r="D353" t="s">
        <v>42</v>
      </c>
      <c r="E353" t="s">
        <v>247</v>
      </c>
      <c r="F353">
        <v>53</v>
      </c>
      <c r="G353" t="s">
        <v>60</v>
      </c>
      <c r="H353" t="s">
        <v>70</v>
      </c>
      <c r="I353">
        <v>0</v>
      </c>
      <c r="J353">
        <v>0</v>
      </c>
      <c r="K353" t="s">
        <v>46</v>
      </c>
      <c r="L353" t="s">
        <v>47</v>
      </c>
      <c r="M353" t="s">
        <v>46</v>
      </c>
      <c r="N353" t="s">
        <v>48</v>
      </c>
      <c r="O353" t="s">
        <v>49</v>
      </c>
      <c r="P353">
        <v>23.4</v>
      </c>
      <c r="Q353" t="s">
        <v>62</v>
      </c>
      <c r="R353" t="s">
        <v>47</v>
      </c>
      <c r="S353" t="s">
        <v>47</v>
      </c>
      <c r="T353" t="s">
        <v>47</v>
      </c>
      <c r="U353" t="s">
        <v>47</v>
      </c>
      <c r="V353" t="s">
        <v>86</v>
      </c>
      <c r="W353" t="s">
        <v>47</v>
      </c>
      <c r="X353" t="s">
        <v>47</v>
      </c>
      <c r="Y353" t="s">
        <v>47</v>
      </c>
      <c r="Z353" t="s">
        <v>47</v>
      </c>
      <c r="AA353" t="s">
        <v>46</v>
      </c>
      <c r="AB353" t="s">
        <v>47</v>
      </c>
      <c r="AC353" t="s">
        <v>47</v>
      </c>
      <c r="AD353" t="s">
        <v>47</v>
      </c>
      <c r="AE353" t="s">
        <v>47</v>
      </c>
      <c r="AF353" t="s">
        <v>47</v>
      </c>
      <c r="AG353" t="s">
        <v>52</v>
      </c>
      <c r="AH353" t="s">
        <v>53</v>
      </c>
      <c r="AI353" t="s">
        <v>87</v>
      </c>
      <c r="AJ353">
        <v>3.9</v>
      </c>
      <c r="AK353" t="s">
        <v>47</v>
      </c>
      <c r="AL353" t="s">
        <v>76</v>
      </c>
      <c r="AM353" t="s">
        <v>67</v>
      </c>
      <c r="AN353">
        <v>50</v>
      </c>
      <c r="AO353" t="s">
        <v>47</v>
      </c>
    </row>
    <row r="354" spans="1:41">
      <c r="A354" t="s">
        <v>505</v>
      </c>
      <c r="B354">
        <v>2019</v>
      </c>
      <c r="C354" s="1">
        <v>43812</v>
      </c>
      <c r="D354" t="s">
        <v>95</v>
      </c>
      <c r="E354" t="s">
        <v>130</v>
      </c>
      <c r="F354">
        <v>58</v>
      </c>
      <c r="G354" t="s">
        <v>60</v>
      </c>
      <c r="H354" t="s">
        <v>61</v>
      </c>
      <c r="I354">
        <v>16</v>
      </c>
      <c r="J354">
        <v>8</v>
      </c>
      <c r="K354" t="s">
        <v>47</v>
      </c>
      <c r="L354" t="s">
        <v>46</v>
      </c>
      <c r="M354" t="s">
        <v>47</v>
      </c>
      <c r="N354" t="s">
        <v>48</v>
      </c>
      <c r="O354" t="s">
        <v>63</v>
      </c>
      <c r="P354">
        <v>21.7</v>
      </c>
      <c r="Q354" t="s">
        <v>48</v>
      </c>
      <c r="R354" t="s">
        <v>47</v>
      </c>
      <c r="S354" t="s">
        <v>47</v>
      </c>
      <c r="T354" t="s">
        <v>47</v>
      </c>
      <c r="U354" t="s">
        <v>47</v>
      </c>
      <c r="V354" t="s">
        <v>64</v>
      </c>
      <c r="W354" t="s">
        <v>47</v>
      </c>
      <c r="X354" t="s">
        <v>46</v>
      </c>
      <c r="Y354" t="s">
        <v>46</v>
      </c>
      <c r="Z354" t="s">
        <v>47</v>
      </c>
      <c r="AA354" t="s">
        <v>46</v>
      </c>
      <c r="AB354" t="s">
        <v>47</v>
      </c>
      <c r="AC354" t="s">
        <v>47</v>
      </c>
      <c r="AD354" t="s">
        <v>46</v>
      </c>
      <c r="AE354" t="s">
        <v>47</v>
      </c>
      <c r="AF354" t="s">
        <v>47</v>
      </c>
      <c r="AG354" t="s">
        <v>52</v>
      </c>
      <c r="AH354" t="s">
        <v>53</v>
      </c>
      <c r="AI354" t="s">
        <v>54</v>
      </c>
      <c r="AJ354">
        <v>5.3</v>
      </c>
      <c r="AK354" t="s">
        <v>46</v>
      </c>
      <c r="AL354" t="s">
        <v>66</v>
      </c>
      <c r="AM354" t="s">
        <v>77</v>
      </c>
      <c r="AN354">
        <v>2</v>
      </c>
      <c r="AO354" t="s">
        <v>47</v>
      </c>
    </row>
    <row r="355" spans="1:41">
      <c r="A355" t="s">
        <v>506</v>
      </c>
      <c r="B355">
        <v>2019</v>
      </c>
      <c r="C355" s="1">
        <v>43726</v>
      </c>
      <c r="D355" t="s">
        <v>95</v>
      </c>
      <c r="E355" t="s">
        <v>96</v>
      </c>
      <c r="F355">
        <v>52</v>
      </c>
      <c r="G355" t="s">
        <v>60</v>
      </c>
      <c r="H355" t="s">
        <v>70</v>
      </c>
      <c r="I355">
        <v>0</v>
      </c>
      <c r="J355">
        <v>0</v>
      </c>
      <c r="K355" t="s">
        <v>47</v>
      </c>
      <c r="L355" t="s">
        <v>47</v>
      </c>
      <c r="M355" t="s">
        <v>47</v>
      </c>
      <c r="N355" t="s">
        <v>50</v>
      </c>
      <c r="O355" t="s">
        <v>49</v>
      </c>
      <c r="P355">
        <v>28.1</v>
      </c>
      <c r="Q355" t="s">
        <v>48</v>
      </c>
      <c r="R355" t="s">
        <v>47</v>
      </c>
      <c r="S355" t="s">
        <v>47</v>
      </c>
      <c r="T355" t="s">
        <v>47</v>
      </c>
      <c r="U355" t="s">
        <v>47</v>
      </c>
      <c r="V355" t="s">
        <v>112</v>
      </c>
      <c r="W355" t="s">
        <v>47</v>
      </c>
      <c r="X355" t="s">
        <v>46</v>
      </c>
      <c r="Y355" t="s">
        <v>46</v>
      </c>
      <c r="Z355" t="s">
        <v>47</v>
      </c>
      <c r="AA355" t="s">
        <v>46</v>
      </c>
      <c r="AB355" t="s">
        <v>47</v>
      </c>
      <c r="AC355" t="s">
        <v>47</v>
      </c>
      <c r="AD355" t="s">
        <v>47</v>
      </c>
      <c r="AE355" t="s">
        <v>47</v>
      </c>
      <c r="AF355" t="s">
        <v>47</v>
      </c>
      <c r="AG355" t="s">
        <v>52</v>
      </c>
      <c r="AH355" t="s">
        <v>53</v>
      </c>
      <c r="AI355" t="s">
        <v>65</v>
      </c>
      <c r="AJ355">
        <v>4</v>
      </c>
      <c r="AK355" t="s">
        <v>46</v>
      </c>
      <c r="AL355" t="s">
        <v>72</v>
      </c>
      <c r="AM355" t="s">
        <v>118</v>
      </c>
      <c r="AN355">
        <v>40</v>
      </c>
      <c r="AO355" t="s">
        <v>46</v>
      </c>
    </row>
    <row r="356" spans="1:41">
      <c r="A356" t="s">
        <v>507</v>
      </c>
      <c r="B356">
        <v>2025</v>
      </c>
      <c r="C356" s="1">
        <v>45872</v>
      </c>
      <c r="D356" t="s">
        <v>84</v>
      </c>
      <c r="E356" t="s">
        <v>449</v>
      </c>
      <c r="F356">
        <v>45</v>
      </c>
      <c r="G356" t="s">
        <v>60</v>
      </c>
      <c r="H356" t="s">
        <v>61</v>
      </c>
      <c r="I356">
        <v>13</v>
      </c>
      <c r="J356">
        <v>16</v>
      </c>
      <c r="K356" t="s">
        <v>46</v>
      </c>
      <c r="L356" t="s">
        <v>47</v>
      </c>
      <c r="M356" t="s">
        <v>46</v>
      </c>
      <c r="N356" t="s">
        <v>48</v>
      </c>
      <c r="O356" t="s">
        <v>49</v>
      </c>
      <c r="P356">
        <v>27.8</v>
      </c>
      <c r="Q356" t="s">
        <v>50</v>
      </c>
      <c r="R356" t="s">
        <v>47</v>
      </c>
      <c r="S356" t="s">
        <v>47</v>
      </c>
      <c r="T356" t="s">
        <v>46</v>
      </c>
      <c r="U356" t="s">
        <v>47</v>
      </c>
      <c r="V356" t="s">
        <v>51</v>
      </c>
      <c r="W356" t="s">
        <v>47</v>
      </c>
      <c r="X356" t="s">
        <v>47</v>
      </c>
      <c r="Y356" t="s">
        <v>46</v>
      </c>
      <c r="Z356" t="s">
        <v>47</v>
      </c>
      <c r="AA356" t="s">
        <v>47</v>
      </c>
      <c r="AB356" t="s">
        <v>47</v>
      </c>
      <c r="AC356" t="s">
        <v>47</v>
      </c>
      <c r="AD356" t="s">
        <v>47</v>
      </c>
      <c r="AE356" t="s">
        <v>47</v>
      </c>
      <c r="AF356" t="s">
        <v>47</v>
      </c>
      <c r="AG356" t="s">
        <v>52</v>
      </c>
      <c r="AH356" t="s">
        <v>53</v>
      </c>
      <c r="AI356" t="s">
        <v>54</v>
      </c>
      <c r="AJ356">
        <v>6.8</v>
      </c>
      <c r="AK356" t="s">
        <v>46</v>
      </c>
      <c r="AL356" t="s">
        <v>100</v>
      </c>
      <c r="AM356" t="s">
        <v>118</v>
      </c>
      <c r="AN356">
        <v>10</v>
      </c>
      <c r="AO356" t="s">
        <v>47</v>
      </c>
    </row>
    <row r="357" spans="1:41">
      <c r="A357" t="s">
        <v>508</v>
      </c>
      <c r="B357">
        <v>2024</v>
      </c>
      <c r="C357" s="1">
        <v>45305</v>
      </c>
      <c r="D357" t="s">
        <v>42</v>
      </c>
      <c r="E357" t="s">
        <v>136</v>
      </c>
      <c r="F357">
        <v>76</v>
      </c>
      <c r="G357" t="s">
        <v>60</v>
      </c>
      <c r="H357" t="s">
        <v>70</v>
      </c>
      <c r="I357">
        <v>0</v>
      </c>
      <c r="J357">
        <v>0</v>
      </c>
      <c r="K357" t="s">
        <v>47</v>
      </c>
      <c r="L357" t="s">
        <v>46</v>
      </c>
      <c r="M357" t="s">
        <v>47</v>
      </c>
      <c r="N357" t="s">
        <v>48</v>
      </c>
      <c r="O357" t="s">
        <v>48</v>
      </c>
      <c r="P357">
        <v>23.8</v>
      </c>
      <c r="Q357" t="s">
        <v>62</v>
      </c>
      <c r="R357" t="s">
        <v>47</v>
      </c>
      <c r="S357" t="s">
        <v>47</v>
      </c>
      <c r="T357" t="s">
        <v>47</v>
      </c>
      <c r="U357" t="s">
        <v>47</v>
      </c>
      <c r="V357" t="s">
        <v>86</v>
      </c>
      <c r="W357" t="s">
        <v>47</v>
      </c>
      <c r="X357" t="s">
        <v>47</v>
      </c>
      <c r="Y357" t="s">
        <v>46</v>
      </c>
      <c r="Z357" t="s">
        <v>46</v>
      </c>
      <c r="AA357" t="s">
        <v>47</v>
      </c>
      <c r="AB357" t="s">
        <v>47</v>
      </c>
      <c r="AC357" t="s">
        <v>47</v>
      </c>
      <c r="AD357" t="s">
        <v>46</v>
      </c>
      <c r="AE357" t="s">
        <v>47</v>
      </c>
      <c r="AF357" t="s">
        <v>47</v>
      </c>
      <c r="AG357" t="s">
        <v>52</v>
      </c>
      <c r="AH357" t="s">
        <v>53</v>
      </c>
      <c r="AI357" t="s">
        <v>87</v>
      </c>
      <c r="AJ357">
        <v>3.8</v>
      </c>
      <c r="AK357" t="s">
        <v>47</v>
      </c>
      <c r="AL357" t="s">
        <v>81</v>
      </c>
      <c r="AM357" t="s">
        <v>67</v>
      </c>
      <c r="AN357">
        <v>19</v>
      </c>
      <c r="AO357" t="s">
        <v>47</v>
      </c>
    </row>
    <row r="358" spans="1:41">
      <c r="A358" t="s">
        <v>509</v>
      </c>
      <c r="B358">
        <v>2019</v>
      </c>
      <c r="C358" s="1">
        <v>43747</v>
      </c>
      <c r="D358" t="s">
        <v>95</v>
      </c>
      <c r="E358" t="s">
        <v>114</v>
      </c>
      <c r="F358">
        <v>65</v>
      </c>
      <c r="G358" t="s">
        <v>60</v>
      </c>
      <c r="H358" t="s">
        <v>61</v>
      </c>
      <c r="I358">
        <v>10</v>
      </c>
      <c r="J358">
        <v>18</v>
      </c>
      <c r="K358" t="s">
        <v>46</v>
      </c>
      <c r="L358" t="s">
        <v>47</v>
      </c>
      <c r="M358" t="s">
        <v>46</v>
      </c>
      <c r="N358" t="s">
        <v>48</v>
      </c>
      <c r="O358" t="s">
        <v>63</v>
      </c>
      <c r="P358">
        <v>29.6</v>
      </c>
      <c r="Q358" t="s">
        <v>48</v>
      </c>
      <c r="R358" t="s">
        <v>47</v>
      </c>
      <c r="S358" t="s">
        <v>47</v>
      </c>
      <c r="T358" t="s">
        <v>47</v>
      </c>
      <c r="U358" t="s">
        <v>47</v>
      </c>
      <c r="V358" t="s">
        <v>171</v>
      </c>
      <c r="W358" t="s">
        <v>46</v>
      </c>
      <c r="X358" t="s">
        <v>46</v>
      </c>
      <c r="Y358" t="s">
        <v>47</v>
      </c>
      <c r="Z358" t="s">
        <v>47</v>
      </c>
      <c r="AA358" t="s">
        <v>47</v>
      </c>
      <c r="AB358" t="s">
        <v>46</v>
      </c>
      <c r="AC358" t="s">
        <v>47</v>
      </c>
      <c r="AD358" t="s">
        <v>47</v>
      </c>
      <c r="AE358" t="s">
        <v>47</v>
      </c>
      <c r="AF358" t="s">
        <v>47</v>
      </c>
      <c r="AG358" t="s">
        <v>52</v>
      </c>
      <c r="AH358" t="s">
        <v>53</v>
      </c>
      <c r="AI358" t="s">
        <v>65</v>
      </c>
      <c r="AJ358">
        <v>2.9</v>
      </c>
      <c r="AK358" t="s">
        <v>47</v>
      </c>
      <c r="AL358" t="s">
        <v>81</v>
      </c>
      <c r="AM358" t="s">
        <v>103</v>
      </c>
      <c r="AN358">
        <v>49</v>
      </c>
      <c r="AO358" t="s">
        <v>46</v>
      </c>
    </row>
    <row r="359" spans="1:41">
      <c r="A359" t="s">
        <v>510</v>
      </c>
      <c r="B359">
        <v>2025</v>
      </c>
      <c r="C359" s="1">
        <v>45696</v>
      </c>
      <c r="D359" t="s">
        <v>42</v>
      </c>
      <c r="E359" t="s">
        <v>154</v>
      </c>
      <c r="F359">
        <v>58</v>
      </c>
      <c r="G359" t="s">
        <v>44</v>
      </c>
      <c r="H359" t="s">
        <v>70</v>
      </c>
      <c r="I359">
        <v>0</v>
      </c>
      <c r="J359">
        <v>0</v>
      </c>
      <c r="K359" t="s">
        <v>47</v>
      </c>
      <c r="L359" t="s">
        <v>47</v>
      </c>
      <c r="M359" t="s">
        <v>47</v>
      </c>
      <c r="N359" t="s">
        <v>48</v>
      </c>
      <c r="O359" t="s">
        <v>49</v>
      </c>
      <c r="P359">
        <v>24.1</v>
      </c>
      <c r="Q359" t="s">
        <v>50</v>
      </c>
      <c r="R359" t="s">
        <v>47</v>
      </c>
      <c r="S359" t="s">
        <v>47</v>
      </c>
      <c r="T359" t="s">
        <v>47</v>
      </c>
      <c r="U359" t="s">
        <v>47</v>
      </c>
      <c r="V359" t="s">
        <v>117</v>
      </c>
      <c r="W359" t="s">
        <v>47</v>
      </c>
      <c r="X359" t="s">
        <v>46</v>
      </c>
      <c r="Y359" t="s">
        <v>47</v>
      </c>
      <c r="Z359" t="s">
        <v>47</v>
      </c>
      <c r="AA359" t="s">
        <v>46</v>
      </c>
      <c r="AB359" t="s">
        <v>47</v>
      </c>
      <c r="AC359" t="s">
        <v>47</v>
      </c>
      <c r="AD359" t="s">
        <v>46</v>
      </c>
      <c r="AE359" t="s">
        <v>47</v>
      </c>
      <c r="AF359" t="s">
        <v>47</v>
      </c>
      <c r="AG359" t="s">
        <v>52</v>
      </c>
      <c r="AH359" t="s">
        <v>53</v>
      </c>
      <c r="AI359" t="s">
        <v>87</v>
      </c>
      <c r="AJ359">
        <v>4.4000000000000004</v>
      </c>
      <c r="AK359" t="s">
        <v>47</v>
      </c>
      <c r="AL359" t="s">
        <v>156</v>
      </c>
      <c r="AM359" t="s">
        <v>67</v>
      </c>
      <c r="AN359">
        <v>32</v>
      </c>
      <c r="AO359" t="s">
        <v>47</v>
      </c>
    </row>
    <row r="360" spans="1:41">
      <c r="A360" t="s">
        <v>511</v>
      </c>
      <c r="B360">
        <v>2022</v>
      </c>
      <c r="C360" s="1">
        <v>44835</v>
      </c>
      <c r="D360" t="s">
        <v>42</v>
      </c>
      <c r="E360" t="s">
        <v>247</v>
      </c>
      <c r="F360">
        <v>68</v>
      </c>
      <c r="G360" t="s">
        <v>60</v>
      </c>
      <c r="H360" t="s">
        <v>70</v>
      </c>
      <c r="I360">
        <v>0</v>
      </c>
      <c r="J360">
        <v>0</v>
      </c>
      <c r="K360" t="s">
        <v>46</v>
      </c>
      <c r="L360" t="s">
        <v>47</v>
      </c>
      <c r="M360" t="s">
        <v>47</v>
      </c>
      <c r="N360" t="s">
        <v>48</v>
      </c>
      <c r="O360" t="s">
        <v>48</v>
      </c>
      <c r="P360">
        <v>18.2</v>
      </c>
      <c r="Q360" t="s">
        <v>50</v>
      </c>
      <c r="R360" t="s">
        <v>47</v>
      </c>
      <c r="S360" t="s">
        <v>47</v>
      </c>
      <c r="T360" t="s">
        <v>47</v>
      </c>
      <c r="U360" t="s">
        <v>47</v>
      </c>
      <c r="V360" t="s">
        <v>151</v>
      </c>
      <c r="W360" t="s">
        <v>47</v>
      </c>
      <c r="X360" t="s">
        <v>47</v>
      </c>
      <c r="Y360" t="s">
        <v>46</v>
      </c>
      <c r="Z360" t="s">
        <v>47</v>
      </c>
      <c r="AA360" t="s">
        <v>47</v>
      </c>
      <c r="AB360" t="s">
        <v>47</v>
      </c>
      <c r="AC360" t="s">
        <v>46</v>
      </c>
      <c r="AD360" t="s">
        <v>46</v>
      </c>
      <c r="AE360" t="s">
        <v>47</v>
      </c>
      <c r="AF360" t="s">
        <v>47</v>
      </c>
      <c r="AG360" t="s">
        <v>52</v>
      </c>
      <c r="AH360" t="s">
        <v>71</v>
      </c>
      <c r="AI360" t="s">
        <v>65</v>
      </c>
      <c r="AJ360">
        <v>2.4</v>
      </c>
      <c r="AK360" t="s">
        <v>47</v>
      </c>
      <c r="AL360" t="s">
        <v>76</v>
      </c>
      <c r="AM360" t="s">
        <v>82</v>
      </c>
      <c r="AN360">
        <v>43</v>
      </c>
      <c r="AO360" t="s">
        <v>46</v>
      </c>
    </row>
    <row r="361" spans="1:41">
      <c r="A361" t="s">
        <v>512</v>
      </c>
      <c r="B361">
        <v>2024</v>
      </c>
      <c r="C361" s="1">
        <v>45567</v>
      </c>
      <c r="D361" t="s">
        <v>110</v>
      </c>
      <c r="E361" t="s">
        <v>294</v>
      </c>
      <c r="F361">
        <v>58</v>
      </c>
      <c r="G361" t="s">
        <v>60</v>
      </c>
      <c r="H361" t="s">
        <v>70</v>
      </c>
      <c r="I361">
        <v>0</v>
      </c>
      <c r="J361">
        <v>0</v>
      </c>
      <c r="K361" t="s">
        <v>47</v>
      </c>
      <c r="L361" t="s">
        <v>47</v>
      </c>
      <c r="M361" t="s">
        <v>47</v>
      </c>
      <c r="N361" t="s">
        <v>62</v>
      </c>
      <c r="O361" t="s">
        <v>49</v>
      </c>
      <c r="P361">
        <v>20.6</v>
      </c>
      <c r="Q361" t="s">
        <v>50</v>
      </c>
      <c r="R361" t="s">
        <v>47</v>
      </c>
      <c r="S361" t="s">
        <v>47</v>
      </c>
      <c r="T361" t="s">
        <v>47</v>
      </c>
      <c r="U361" t="s">
        <v>47</v>
      </c>
      <c r="V361" t="s">
        <v>64</v>
      </c>
      <c r="W361" t="s">
        <v>46</v>
      </c>
      <c r="X361" t="s">
        <v>46</v>
      </c>
      <c r="Y361" t="s">
        <v>47</v>
      </c>
      <c r="Z361" t="s">
        <v>47</v>
      </c>
      <c r="AA361" t="s">
        <v>46</v>
      </c>
      <c r="AB361" t="s">
        <v>47</v>
      </c>
      <c r="AC361" t="s">
        <v>47</v>
      </c>
      <c r="AD361" t="s">
        <v>47</v>
      </c>
      <c r="AE361" t="s">
        <v>47</v>
      </c>
      <c r="AF361" t="s">
        <v>47</v>
      </c>
      <c r="AG361" t="s">
        <v>52</v>
      </c>
      <c r="AH361" t="s">
        <v>71</v>
      </c>
      <c r="AI361" t="s">
        <v>65</v>
      </c>
      <c r="AJ361">
        <v>1.6</v>
      </c>
      <c r="AK361" t="s">
        <v>47</v>
      </c>
      <c r="AL361" t="s">
        <v>76</v>
      </c>
      <c r="AM361" t="s">
        <v>73</v>
      </c>
      <c r="AN361">
        <v>59</v>
      </c>
      <c r="AO361" t="s">
        <v>46</v>
      </c>
    </row>
    <row r="362" spans="1:41">
      <c r="A362" t="s">
        <v>513</v>
      </c>
      <c r="B362">
        <v>2022</v>
      </c>
      <c r="C362" s="1">
        <v>44790</v>
      </c>
      <c r="D362" t="s">
        <v>95</v>
      </c>
      <c r="E362" t="s">
        <v>96</v>
      </c>
      <c r="F362">
        <v>57</v>
      </c>
      <c r="G362" t="s">
        <v>60</v>
      </c>
      <c r="H362" t="s">
        <v>70</v>
      </c>
      <c r="I362">
        <v>0</v>
      </c>
      <c r="J362">
        <v>0</v>
      </c>
      <c r="K362" t="s">
        <v>47</v>
      </c>
      <c r="L362" t="s">
        <v>46</v>
      </c>
      <c r="M362" t="s">
        <v>46</v>
      </c>
      <c r="N362" t="s">
        <v>50</v>
      </c>
      <c r="O362" t="s">
        <v>48</v>
      </c>
      <c r="P362">
        <v>26.5</v>
      </c>
      <c r="Q362" t="s">
        <v>48</v>
      </c>
      <c r="R362" t="s">
        <v>47</v>
      </c>
      <c r="S362" t="s">
        <v>47</v>
      </c>
      <c r="T362" t="s">
        <v>47</v>
      </c>
      <c r="U362" t="s">
        <v>47</v>
      </c>
      <c r="V362" t="s">
        <v>51</v>
      </c>
      <c r="W362" t="s">
        <v>47</v>
      </c>
      <c r="X362" t="s">
        <v>47</v>
      </c>
      <c r="Y362" t="s">
        <v>47</v>
      </c>
      <c r="Z362" t="s">
        <v>47</v>
      </c>
      <c r="AA362" t="s">
        <v>46</v>
      </c>
      <c r="AB362" t="s">
        <v>47</v>
      </c>
      <c r="AC362" t="s">
        <v>47</v>
      </c>
      <c r="AD362" t="s">
        <v>47</v>
      </c>
      <c r="AE362" t="s">
        <v>47</v>
      </c>
      <c r="AF362" t="s">
        <v>47</v>
      </c>
      <c r="AG362" t="s">
        <v>52</v>
      </c>
      <c r="AH362" t="s">
        <v>53</v>
      </c>
      <c r="AI362" t="s">
        <v>65</v>
      </c>
      <c r="AJ362">
        <v>2.2000000000000002</v>
      </c>
      <c r="AK362" t="s">
        <v>47</v>
      </c>
      <c r="AL362" t="s">
        <v>76</v>
      </c>
      <c r="AM362" t="s">
        <v>103</v>
      </c>
      <c r="AN362">
        <v>58</v>
      </c>
      <c r="AO362" t="s">
        <v>46</v>
      </c>
    </row>
    <row r="363" spans="1:41">
      <c r="A363" t="s">
        <v>514</v>
      </c>
      <c r="B363">
        <v>2016</v>
      </c>
      <c r="C363" s="1">
        <v>42496</v>
      </c>
      <c r="D363" t="s">
        <v>42</v>
      </c>
      <c r="E363" t="s">
        <v>154</v>
      </c>
      <c r="F363">
        <v>78</v>
      </c>
      <c r="G363" t="s">
        <v>60</v>
      </c>
      <c r="H363" t="s">
        <v>61</v>
      </c>
      <c r="I363">
        <v>22</v>
      </c>
      <c r="J363">
        <v>18</v>
      </c>
      <c r="K363" t="s">
        <v>46</v>
      </c>
      <c r="L363" t="s">
        <v>47</v>
      </c>
      <c r="M363" t="s">
        <v>47</v>
      </c>
      <c r="N363" t="s">
        <v>48</v>
      </c>
      <c r="O363" t="s">
        <v>49</v>
      </c>
      <c r="P363">
        <v>30.6</v>
      </c>
      <c r="Q363" t="s">
        <v>50</v>
      </c>
      <c r="R363" t="s">
        <v>46</v>
      </c>
      <c r="S363" t="s">
        <v>47</v>
      </c>
      <c r="T363" t="s">
        <v>47</v>
      </c>
      <c r="U363" t="s">
        <v>47</v>
      </c>
      <c r="V363" t="s">
        <v>51</v>
      </c>
      <c r="W363" t="s">
        <v>46</v>
      </c>
      <c r="X363" t="s">
        <v>46</v>
      </c>
      <c r="Y363" t="s">
        <v>47</v>
      </c>
      <c r="Z363" t="s">
        <v>47</v>
      </c>
      <c r="AA363" t="s">
        <v>47</v>
      </c>
      <c r="AB363" t="s">
        <v>47</v>
      </c>
      <c r="AC363" t="s">
        <v>47</v>
      </c>
      <c r="AD363" t="s">
        <v>46</v>
      </c>
      <c r="AE363" t="s">
        <v>47</v>
      </c>
      <c r="AF363" t="s">
        <v>47</v>
      </c>
      <c r="AG363" t="s">
        <v>52</v>
      </c>
      <c r="AH363" t="s">
        <v>71</v>
      </c>
      <c r="AI363" t="s">
        <v>80</v>
      </c>
      <c r="AJ363">
        <v>3.9</v>
      </c>
      <c r="AK363" t="s">
        <v>47</v>
      </c>
      <c r="AL363" t="s">
        <v>76</v>
      </c>
      <c r="AM363" t="s">
        <v>118</v>
      </c>
      <c r="AN363">
        <v>21</v>
      </c>
      <c r="AO363" t="s">
        <v>46</v>
      </c>
    </row>
    <row r="364" spans="1:41">
      <c r="A364" t="s">
        <v>515</v>
      </c>
      <c r="B364">
        <v>2019</v>
      </c>
      <c r="C364" s="1">
        <v>43667</v>
      </c>
      <c r="D364" t="s">
        <v>58</v>
      </c>
      <c r="E364" t="s">
        <v>252</v>
      </c>
      <c r="F364">
        <v>63</v>
      </c>
      <c r="G364" t="s">
        <v>60</v>
      </c>
      <c r="H364" t="s">
        <v>70</v>
      </c>
      <c r="I364">
        <v>0</v>
      </c>
      <c r="J364">
        <v>0</v>
      </c>
      <c r="K364" t="s">
        <v>46</v>
      </c>
      <c r="L364" t="s">
        <v>47</v>
      </c>
      <c r="M364" t="s">
        <v>46</v>
      </c>
      <c r="N364" t="s">
        <v>48</v>
      </c>
      <c r="O364" t="s">
        <v>49</v>
      </c>
      <c r="P364">
        <v>27.3</v>
      </c>
      <c r="Q364" t="s">
        <v>62</v>
      </c>
      <c r="R364" t="s">
        <v>47</v>
      </c>
      <c r="S364" t="s">
        <v>47</v>
      </c>
      <c r="T364" t="s">
        <v>47</v>
      </c>
      <c r="U364" t="s">
        <v>47</v>
      </c>
      <c r="V364" t="s">
        <v>86</v>
      </c>
      <c r="W364" t="s">
        <v>46</v>
      </c>
      <c r="X364" t="s">
        <v>46</v>
      </c>
      <c r="Y364" t="s">
        <v>47</v>
      </c>
      <c r="Z364" t="s">
        <v>47</v>
      </c>
      <c r="AA364" t="s">
        <v>46</v>
      </c>
      <c r="AB364" t="s">
        <v>46</v>
      </c>
      <c r="AC364" t="s">
        <v>47</v>
      </c>
      <c r="AD364" t="s">
        <v>47</v>
      </c>
      <c r="AE364" t="s">
        <v>47</v>
      </c>
      <c r="AF364" t="s">
        <v>47</v>
      </c>
      <c r="AG364" t="s">
        <v>121</v>
      </c>
      <c r="AH364" t="s">
        <v>122</v>
      </c>
      <c r="AI364" t="s">
        <v>54</v>
      </c>
      <c r="AJ364">
        <v>5.8</v>
      </c>
      <c r="AK364" t="s">
        <v>46</v>
      </c>
      <c r="AL364" t="s">
        <v>55</v>
      </c>
      <c r="AM364" t="s">
        <v>56</v>
      </c>
      <c r="AN364">
        <v>5</v>
      </c>
      <c r="AO364" t="s">
        <v>47</v>
      </c>
    </row>
    <row r="365" spans="1:41">
      <c r="A365" t="s">
        <v>516</v>
      </c>
      <c r="B365">
        <v>2019</v>
      </c>
      <c r="C365" s="1">
        <v>43512</v>
      </c>
      <c r="D365" t="s">
        <v>42</v>
      </c>
      <c r="E365" t="s">
        <v>136</v>
      </c>
      <c r="F365">
        <v>49</v>
      </c>
      <c r="G365" t="s">
        <v>44</v>
      </c>
      <c r="H365" t="s">
        <v>70</v>
      </c>
      <c r="I365">
        <v>0</v>
      </c>
      <c r="J365">
        <v>0</v>
      </c>
      <c r="K365" t="s">
        <v>47</v>
      </c>
      <c r="L365" t="s">
        <v>46</v>
      </c>
      <c r="M365" t="s">
        <v>47</v>
      </c>
      <c r="N365" t="s">
        <v>48</v>
      </c>
      <c r="O365" t="s">
        <v>49</v>
      </c>
      <c r="P365">
        <v>28.9</v>
      </c>
      <c r="Q365" t="s">
        <v>48</v>
      </c>
      <c r="R365" t="s">
        <v>47</v>
      </c>
      <c r="S365" t="s">
        <v>47</v>
      </c>
      <c r="T365" t="s">
        <v>47</v>
      </c>
      <c r="U365" t="s">
        <v>47</v>
      </c>
      <c r="V365" t="s">
        <v>51</v>
      </c>
      <c r="W365" t="s">
        <v>47</v>
      </c>
      <c r="X365" t="s">
        <v>46</v>
      </c>
      <c r="Y365" t="s">
        <v>46</v>
      </c>
      <c r="Z365" t="s">
        <v>47</v>
      </c>
      <c r="AA365" t="s">
        <v>46</v>
      </c>
      <c r="AB365" t="s">
        <v>46</v>
      </c>
      <c r="AC365" t="s">
        <v>46</v>
      </c>
      <c r="AD365" t="s">
        <v>47</v>
      </c>
      <c r="AE365" t="s">
        <v>47</v>
      </c>
      <c r="AF365" t="s">
        <v>47</v>
      </c>
      <c r="AG365" t="s">
        <v>52</v>
      </c>
      <c r="AH365" t="s">
        <v>53</v>
      </c>
      <c r="AI365" t="s">
        <v>65</v>
      </c>
      <c r="AJ365">
        <v>2</v>
      </c>
      <c r="AK365" t="s">
        <v>47</v>
      </c>
      <c r="AL365" t="s">
        <v>76</v>
      </c>
      <c r="AM365" t="s">
        <v>73</v>
      </c>
      <c r="AN365">
        <v>44</v>
      </c>
      <c r="AO365" t="s">
        <v>46</v>
      </c>
    </row>
    <row r="366" spans="1:41">
      <c r="A366" t="s">
        <v>517</v>
      </c>
      <c r="B366">
        <v>2017</v>
      </c>
      <c r="C366" s="1">
        <v>42927</v>
      </c>
      <c r="D366" t="s">
        <v>95</v>
      </c>
      <c r="E366" t="s">
        <v>107</v>
      </c>
      <c r="F366">
        <v>64</v>
      </c>
      <c r="G366" t="s">
        <v>44</v>
      </c>
      <c r="H366" t="s">
        <v>70</v>
      </c>
      <c r="I366">
        <v>0</v>
      </c>
      <c r="J366">
        <v>0</v>
      </c>
      <c r="K366" t="s">
        <v>47</v>
      </c>
      <c r="L366" t="s">
        <v>47</v>
      </c>
      <c r="M366" t="s">
        <v>47</v>
      </c>
      <c r="N366" t="s">
        <v>48</v>
      </c>
      <c r="O366" t="s">
        <v>48</v>
      </c>
      <c r="P366">
        <v>28.9</v>
      </c>
      <c r="Q366" t="s">
        <v>62</v>
      </c>
      <c r="R366" t="s">
        <v>46</v>
      </c>
      <c r="S366" t="s">
        <v>47</v>
      </c>
      <c r="T366" t="s">
        <v>47</v>
      </c>
      <c r="U366" t="s">
        <v>47</v>
      </c>
      <c r="V366" t="s">
        <v>86</v>
      </c>
      <c r="W366" t="s">
        <v>47</v>
      </c>
      <c r="X366" t="s">
        <v>46</v>
      </c>
      <c r="Y366" t="s">
        <v>47</v>
      </c>
      <c r="Z366" t="s">
        <v>47</v>
      </c>
      <c r="AA366" t="s">
        <v>46</v>
      </c>
      <c r="AB366" t="s">
        <v>47</v>
      </c>
      <c r="AC366" t="s">
        <v>47</v>
      </c>
      <c r="AD366" t="s">
        <v>47</v>
      </c>
      <c r="AE366" t="s">
        <v>47</v>
      </c>
      <c r="AF366" t="s">
        <v>47</v>
      </c>
      <c r="AG366" t="s">
        <v>121</v>
      </c>
      <c r="AH366" t="s">
        <v>122</v>
      </c>
      <c r="AI366" t="s">
        <v>87</v>
      </c>
      <c r="AJ366">
        <v>4.5999999999999996</v>
      </c>
      <c r="AK366" t="s">
        <v>47</v>
      </c>
      <c r="AL366" t="s">
        <v>156</v>
      </c>
      <c r="AM366" t="s">
        <v>103</v>
      </c>
      <c r="AN366">
        <v>35</v>
      </c>
      <c r="AO366" t="s">
        <v>47</v>
      </c>
    </row>
    <row r="367" spans="1:41">
      <c r="A367" t="s">
        <v>518</v>
      </c>
      <c r="B367">
        <v>2020</v>
      </c>
      <c r="C367" s="1">
        <v>44139</v>
      </c>
      <c r="D367" t="s">
        <v>110</v>
      </c>
      <c r="E367" t="s">
        <v>294</v>
      </c>
      <c r="F367">
        <v>65</v>
      </c>
      <c r="G367" t="s">
        <v>60</v>
      </c>
      <c r="H367" t="s">
        <v>45</v>
      </c>
      <c r="I367">
        <v>22</v>
      </c>
      <c r="J367">
        <v>21</v>
      </c>
      <c r="K367" t="s">
        <v>47</v>
      </c>
      <c r="L367" t="s">
        <v>47</v>
      </c>
      <c r="M367" t="s">
        <v>47</v>
      </c>
      <c r="N367" t="s">
        <v>62</v>
      </c>
      <c r="O367" t="s">
        <v>48</v>
      </c>
      <c r="P367">
        <v>24.4</v>
      </c>
      <c r="Q367" t="s">
        <v>50</v>
      </c>
      <c r="R367" t="s">
        <v>46</v>
      </c>
      <c r="S367" t="s">
        <v>47</v>
      </c>
      <c r="T367" t="s">
        <v>47</v>
      </c>
      <c r="U367" t="s">
        <v>47</v>
      </c>
      <c r="V367" t="s">
        <v>112</v>
      </c>
      <c r="W367" t="s">
        <v>46</v>
      </c>
      <c r="X367" t="s">
        <v>46</v>
      </c>
      <c r="Y367" t="s">
        <v>46</v>
      </c>
      <c r="Z367" t="s">
        <v>46</v>
      </c>
      <c r="AA367" t="s">
        <v>46</v>
      </c>
      <c r="AB367" t="s">
        <v>46</v>
      </c>
      <c r="AC367" t="s">
        <v>46</v>
      </c>
      <c r="AD367" t="s">
        <v>47</v>
      </c>
      <c r="AE367" t="s">
        <v>47</v>
      </c>
      <c r="AF367" t="s">
        <v>47</v>
      </c>
      <c r="AG367" t="s">
        <v>52</v>
      </c>
      <c r="AH367" t="s">
        <v>90</v>
      </c>
      <c r="AI367" t="s">
        <v>54</v>
      </c>
      <c r="AJ367">
        <v>4.8</v>
      </c>
      <c r="AK367" t="s">
        <v>46</v>
      </c>
      <c r="AL367" t="s">
        <v>100</v>
      </c>
      <c r="AM367" t="s">
        <v>56</v>
      </c>
      <c r="AN367">
        <v>8</v>
      </c>
      <c r="AO367" t="s">
        <v>47</v>
      </c>
    </row>
    <row r="368" spans="1:41">
      <c r="A368" t="s">
        <v>519</v>
      </c>
      <c r="B368">
        <v>2017</v>
      </c>
      <c r="C368" s="1">
        <v>42900</v>
      </c>
      <c r="D368" t="s">
        <v>95</v>
      </c>
      <c r="E368" t="s">
        <v>96</v>
      </c>
      <c r="F368">
        <v>58</v>
      </c>
      <c r="G368" t="s">
        <v>60</v>
      </c>
      <c r="H368" t="s">
        <v>61</v>
      </c>
      <c r="I368">
        <v>29</v>
      </c>
      <c r="J368">
        <v>15</v>
      </c>
      <c r="K368" t="s">
        <v>46</v>
      </c>
      <c r="L368" t="s">
        <v>47</v>
      </c>
      <c r="M368" t="s">
        <v>47</v>
      </c>
      <c r="N368" t="s">
        <v>50</v>
      </c>
      <c r="O368" t="s">
        <v>63</v>
      </c>
      <c r="P368">
        <v>26.7</v>
      </c>
      <c r="Q368" t="s">
        <v>48</v>
      </c>
      <c r="R368" t="s">
        <v>47</v>
      </c>
      <c r="S368" t="s">
        <v>47</v>
      </c>
      <c r="T368" t="s">
        <v>47</v>
      </c>
      <c r="U368" t="s">
        <v>47</v>
      </c>
      <c r="V368" t="s">
        <v>51</v>
      </c>
      <c r="W368" t="s">
        <v>47</v>
      </c>
      <c r="X368" t="s">
        <v>47</v>
      </c>
      <c r="Y368" t="s">
        <v>47</v>
      </c>
      <c r="Z368" t="s">
        <v>47</v>
      </c>
      <c r="AA368" t="s">
        <v>46</v>
      </c>
      <c r="AB368" t="s">
        <v>47</v>
      </c>
      <c r="AC368" t="s">
        <v>47</v>
      </c>
      <c r="AD368" t="s">
        <v>47</v>
      </c>
      <c r="AE368" t="s">
        <v>47</v>
      </c>
      <c r="AF368" t="s">
        <v>47</v>
      </c>
      <c r="AG368" t="s">
        <v>52</v>
      </c>
      <c r="AH368" t="s">
        <v>53</v>
      </c>
      <c r="AI368" t="s">
        <v>80</v>
      </c>
      <c r="AJ368">
        <v>6.5</v>
      </c>
      <c r="AK368" t="s">
        <v>47</v>
      </c>
      <c r="AL368" t="s">
        <v>100</v>
      </c>
      <c r="AM368" t="s">
        <v>82</v>
      </c>
      <c r="AN368">
        <v>17</v>
      </c>
      <c r="AO368" t="s">
        <v>47</v>
      </c>
    </row>
    <row r="369" spans="1:41">
      <c r="A369" t="s">
        <v>520</v>
      </c>
      <c r="B369">
        <v>2016</v>
      </c>
      <c r="C369" s="1">
        <v>42512</v>
      </c>
      <c r="D369" t="s">
        <v>110</v>
      </c>
      <c r="E369" t="s">
        <v>231</v>
      </c>
      <c r="F369">
        <v>64</v>
      </c>
      <c r="G369" t="s">
        <v>44</v>
      </c>
      <c r="H369" t="s">
        <v>70</v>
      </c>
      <c r="I369">
        <v>0</v>
      </c>
      <c r="J369">
        <v>0</v>
      </c>
      <c r="K369" t="s">
        <v>47</v>
      </c>
      <c r="L369" t="s">
        <v>47</v>
      </c>
      <c r="M369" t="s">
        <v>47</v>
      </c>
      <c r="N369" t="s">
        <v>62</v>
      </c>
      <c r="O369" t="s">
        <v>48</v>
      </c>
      <c r="P369">
        <v>22.4</v>
      </c>
      <c r="Q369" t="s">
        <v>48</v>
      </c>
      <c r="R369" t="s">
        <v>47</v>
      </c>
      <c r="S369" t="s">
        <v>47</v>
      </c>
      <c r="T369" t="s">
        <v>47</v>
      </c>
      <c r="U369" t="s">
        <v>47</v>
      </c>
      <c r="V369" t="s">
        <v>51</v>
      </c>
      <c r="W369" t="s">
        <v>47</v>
      </c>
      <c r="X369" t="s">
        <v>47</v>
      </c>
      <c r="Y369" t="s">
        <v>47</v>
      </c>
      <c r="Z369" t="s">
        <v>47</v>
      </c>
      <c r="AA369" t="s">
        <v>47</v>
      </c>
      <c r="AB369" t="s">
        <v>46</v>
      </c>
      <c r="AC369" t="s">
        <v>47</v>
      </c>
      <c r="AD369" t="s">
        <v>46</v>
      </c>
      <c r="AE369" t="s">
        <v>47</v>
      </c>
      <c r="AF369" t="s">
        <v>47</v>
      </c>
      <c r="AG369" t="s">
        <v>52</v>
      </c>
      <c r="AH369" t="s">
        <v>90</v>
      </c>
      <c r="AI369" t="s">
        <v>87</v>
      </c>
      <c r="AJ369">
        <v>4.2</v>
      </c>
      <c r="AK369" t="s">
        <v>47</v>
      </c>
      <c r="AL369" t="s">
        <v>81</v>
      </c>
      <c r="AM369" t="s">
        <v>103</v>
      </c>
      <c r="AN369">
        <v>40</v>
      </c>
      <c r="AO369" t="s">
        <v>46</v>
      </c>
    </row>
    <row r="370" spans="1:41">
      <c r="A370" t="s">
        <v>521</v>
      </c>
      <c r="B370">
        <v>2015</v>
      </c>
      <c r="C370" s="1">
        <v>42249</v>
      </c>
      <c r="D370" t="s">
        <v>110</v>
      </c>
      <c r="E370" t="s">
        <v>225</v>
      </c>
      <c r="F370">
        <v>49</v>
      </c>
      <c r="G370" t="s">
        <v>60</v>
      </c>
      <c r="H370" t="s">
        <v>45</v>
      </c>
      <c r="I370">
        <v>27</v>
      </c>
      <c r="J370">
        <v>8</v>
      </c>
      <c r="K370" t="s">
        <v>47</v>
      </c>
      <c r="L370" t="s">
        <v>46</v>
      </c>
      <c r="M370" t="s">
        <v>47</v>
      </c>
      <c r="N370" t="s">
        <v>62</v>
      </c>
      <c r="O370" t="s">
        <v>49</v>
      </c>
      <c r="P370">
        <v>31</v>
      </c>
      <c r="Q370" t="s">
        <v>48</v>
      </c>
      <c r="R370" t="s">
        <v>47</v>
      </c>
      <c r="S370" t="s">
        <v>47</v>
      </c>
      <c r="T370" t="s">
        <v>47</v>
      </c>
      <c r="U370" t="s">
        <v>47</v>
      </c>
      <c r="V370" t="s">
        <v>64</v>
      </c>
      <c r="W370" t="s">
        <v>46</v>
      </c>
      <c r="X370" t="s">
        <v>46</v>
      </c>
      <c r="Y370" t="s">
        <v>46</v>
      </c>
      <c r="Z370" t="s">
        <v>47</v>
      </c>
      <c r="AA370" t="s">
        <v>46</v>
      </c>
      <c r="AB370" t="s">
        <v>46</v>
      </c>
      <c r="AC370" t="s">
        <v>47</v>
      </c>
      <c r="AD370" t="s">
        <v>47</v>
      </c>
      <c r="AE370" t="s">
        <v>47</v>
      </c>
      <c r="AF370" t="s">
        <v>47</v>
      </c>
      <c r="AG370" t="s">
        <v>121</v>
      </c>
      <c r="AH370" t="s">
        <v>122</v>
      </c>
      <c r="AI370" t="s">
        <v>54</v>
      </c>
      <c r="AJ370">
        <v>5.5</v>
      </c>
      <c r="AK370" t="s">
        <v>46</v>
      </c>
      <c r="AL370" t="s">
        <v>55</v>
      </c>
      <c r="AM370" t="s">
        <v>56</v>
      </c>
      <c r="AN370">
        <v>7</v>
      </c>
      <c r="AO370" t="s">
        <v>47</v>
      </c>
    </row>
    <row r="371" spans="1:41">
      <c r="A371" t="s">
        <v>522</v>
      </c>
      <c r="B371">
        <v>2019</v>
      </c>
      <c r="C371" s="1">
        <v>43507</v>
      </c>
      <c r="D371" t="s">
        <v>110</v>
      </c>
      <c r="E371" t="s">
        <v>410</v>
      </c>
      <c r="F371">
        <v>70</v>
      </c>
      <c r="G371" t="s">
        <v>60</v>
      </c>
      <c r="H371" t="s">
        <v>70</v>
      </c>
      <c r="I371">
        <v>0</v>
      </c>
      <c r="J371">
        <v>0</v>
      </c>
      <c r="K371" t="s">
        <v>47</v>
      </c>
      <c r="L371" t="s">
        <v>47</v>
      </c>
      <c r="M371" t="s">
        <v>47</v>
      </c>
      <c r="N371" t="s">
        <v>48</v>
      </c>
      <c r="O371" t="s">
        <v>48</v>
      </c>
      <c r="P371">
        <v>30.2</v>
      </c>
      <c r="Q371" t="s">
        <v>62</v>
      </c>
      <c r="R371" t="s">
        <v>47</v>
      </c>
      <c r="S371" t="s">
        <v>47</v>
      </c>
      <c r="T371" t="s">
        <v>47</v>
      </c>
      <c r="U371" t="s">
        <v>47</v>
      </c>
      <c r="V371" t="s">
        <v>117</v>
      </c>
      <c r="W371" t="s">
        <v>46</v>
      </c>
      <c r="X371" t="s">
        <v>46</v>
      </c>
      <c r="Y371" t="s">
        <v>46</v>
      </c>
      <c r="Z371" t="s">
        <v>47</v>
      </c>
      <c r="AA371" t="s">
        <v>46</v>
      </c>
      <c r="AB371" t="s">
        <v>47</v>
      </c>
      <c r="AC371" t="s">
        <v>47</v>
      </c>
      <c r="AD371" t="s">
        <v>47</v>
      </c>
      <c r="AE371" t="s">
        <v>46</v>
      </c>
      <c r="AF371" t="s">
        <v>47</v>
      </c>
      <c r="AG371" t="s">
        <v>52</v>
      </c>
      <c r="AH371" t="s">
        <v>53</v>
      </c>
      <c r="AI371" t="s">
        <v>65</v>
      </c>
      <c r="AJ371">
        <v>1.7</v>
      </c>
      <c r="AK371" t="s">
        <v>47</v>
      </c>
      <c r="AL371" t="s">
        <v>76</v>
      </c>
      <c r="AM371" t="s">
        <v>73</v>
      </c>
      <c r="AN371">
        <v>76</v>
      </c>
      <c r="AO371" t="s">
        <v>46</v>
      </c>
    </row>
    <row r="372" spans="1:41">
      <c r="A372" t="s">
        <v>523</v>
      </c>
      <c r="B372">
        <v>2021</v>
      </c>
      <c r="C372" s="1">
        <v>44351</v>
      </c>
      <c r="D372" t="s">
        <v>95</v>
      </c>
      <c r="E372" t="s">
        <v>145</v>
      </c>
      <c r="F372">
        <v>56</v>
      </c>
      <c r="G372" t="s">
        <v>44</v>
      </c>
      <c r="H372" t="s">
        <v>70</v>
      </c>
      <c r="I372">
        <v>0</v>
      </c>
      <c r="J372">
        <v>0</v>
      </c>
      <c r="K372" t="s">
        <v>47</v>
      </c>
      <c r="L372" t="s">
        <v>47</v>
      </c>
      <c r="M372" t="s">
        <v>47</v>
      </c>
      <c r="N372" t="s">
        <v>48</v>
      </c>
      <c r="O372" t="s">
        <v>63</v>
      </c>
      <c r="P372">
        <v>35.200000000000003</v>
      </c>
      <c r="Q372" t="s">
        <v>62</v>
      </c>
      <c r="R372" t="s">
        <v>47</v>
      </c>
      <c r="S372" t="s">
        <v>47</v>
      </c>
      <c r="T372" t="s">
        <v>47</v>
      </c>
      <c r="U372" t="s">
        <v>47</v>
      </c>
      <c r="V372" t="s">
        <v>86</v>
      </c>
      <c r="W372" t="s">
        <v>47</v>
      </c>
      <c r="X372" t="s">
        <v>46</v>
      </c>
      <c r="Y372" t="s">
        <v>47</v>
      </c>
      <c r="Z372" t="s">
        <v>47</v>
      </c>
      <c r="AA372" t="s">
        <v>47</v>
      </c>
      <c r="AB372" t="s">
        <v>47</v>
      </c>
      <c r="AC372" t="s">
        <v>47</v>
      </c>
      <c r="AD372" t="s">
        <v>46</v>
      </c>
      <c r="AE372" t="s">
        <v>47</v>
      </c>
      <c r="AF372" t="s">
        <v>47</v>
      </c>
      <c r="AG372" t="s">
        <v>52</v>
      </c>
      <c r="AH372" t="s">
        <v>53</v>
      </c>
      <c r="AI372" t="s">
        <v>65</v>
      </c>
      <c r="AJ372">
        <v>2</v>
      </c>
      <c r="AK372" t="s">
        <v>47</v>
      </c>
      <c r="AL372" t="s">
        <v>72</v>
      </c>
      <c r="AM372" t="s">
        <v>73</v>
      </c>
      <c r="AN372">
        <v>60</v>
      </c>
      <c r="AO372" t="s">
        <v>46</v>
      </c>
    </row>
    <row r="373" spans="1:41">
      <c r="A373" t="s">
        <v>524</v>
      </c>
      <c r="B373">
        <v>2024</v>
      </c>
      <c r="C373" s="1">
        <v>45562</v>
      </c>
      <c r="D373" t="s">
        <v>110</v>
      </c>
      <c r="E373" t="s">
        <v>177</v>
      </c>
      <c r="F373">
        <v>51</v>
      </c>
      <c r="G373" t="s">
        <v>60</v>
      </c>
      <c r="H373" t="s">
        <v>45</v>
      </c>
      <c r="I373">
        <v>25</v>
      </c>
      <c r="J373">
        <v>25</v>
      </c>
      <c r="K373" t="s">
        <v>46</v>
      </c>
      <c r="L373" t="s">
        <v>46</v>
      </c>
      <c r="M373" t="s">
        <v>47</v>
      </c>
      <c r="N373" t="s">
        <v>50</v>
      </c>
      <c r="O373" t="s">
        <v>49</v>
      </c>
      <c r="P373">
        <v>22.4</v>
      </c>
      <c r="Q373" t="s">
        <v>62</v>
      </c>
      <c r="R373" t="s">
        <v>46</v>
      </c>
      <c r="S373" t="s">
        <v>47</v>
      </c>
      <c r="T373" t="s">
        <v>47</v>
      </c>
      <c r="U373" t="s">
        <v>47</v>
      </c>
      <c r="V373" t="s">
        <v>128</v>
      </c>
      <c r="W373" t="s">
        <v>46</v>
      </c>
      <c r="X373" t="s">
        <v>47</v>
      </c>
      <c r="Y373" t="s">
        <v>46</v>
      </c>
      <c r="Z373" t="s">
        <v>47</v>
      </c>
      <c r="AA373" t="s">
        <v>46</v>
      </c>
      <c r="AB373" t="s">
        <v>47</v>
      </c>
      <c r="AC373" t="s">
        <v>47</v>
      </c>
      <c r="AD373" t="s">
        <v>47</v>
      </c>
      <c r="AE373" t="s">
        <v>47</v>
      </c>
      <c r="AF373" t="s">
        <v>47</v>
      </c>
      <c r="AG373" t="s">
        <v>121</v>
      </c>
      <c r="AH373" t="s">
        <v>122</v>
      </c>
      <c r="AI373" t="s">
        <v>54</v>
      </c>
      <c r="AJ373">
        <v>8.1999999999999993</v>
      </c>
      <c r="AK373" t="s">
        <v>46</v>
      </c>
      <c r="AL373" t="s">
        <v>55</v>
      </c>
      <c r="AM373" t="s">
        <v>82</v>
      </c>
      <c r="AN373">
        <v>5</v>
      </c>
      <c r="AO373" t="s">
        <v>47</v>
      </c>
    </row>
    <row r="374" spans="1:41">
      <c r="A374" t="s">
        <v>525</v>
      </c>
      <c r="B374">
        <v>2017</v>
      </c>
      <c r="C374" s="1">
        <v>43067</v>
      </c>
      <c r="D374" t="s">
        <v>110</v>
      </c>
      <c r="E374" t="s">
        <v>116</v>
      </c>
      <c r="F374">
        <v>61</v>
      </c>
      <c r="G374" t="s">
        <v>44</v>
      </c>
      <c r="H374" t="s">
        <v>70</v>
      </c>
      <c r="I374">
        <v>0</v>
      </c>
      <c r="J374">
        <v>0</v>
      </c>
      <c r="K374" t="s">
        <v>46</v>
      </c>
      <c r="L374" t="s">
        <v>47</v>
      </c>
      <c r="M374" t="s">
        <v>47</v>
      </c>
      <c r="N374" t="s">
        <v>48</v>
      </c>
      <c r="O374" t="s">
        <v>63</v>
      </c>
      <c r="P374">
        <v>22.5</v>
      </c>
      <c r="Q374" t="s">
        <v>62</v>
      </c>
      <c r="R374" t="s">
        <v>47</v>
      </c>
      <c r="S374" t="s">
        <v>47</v>
      </c>
      <c r="T374" t="s">
        <v>47</v>
      </c>
      <c r="U374" t="s">
        <v>47</v>
      </c>
      <c r="V374" t="s">
        <v>117</v>
      </c>
      <c r="W374" t="s">
        <v>46</v>
      </c>
      <c r="X374" t="s">
        <v>47</v>
      </c>
      <c r="Y374" t="s">
        <v>47</v>
      </c>
      <c r="Z374" t="s">
        <v>47</v>
      </c>
      <c r="AA374" t="s">
        <v>46</v>
      </c>
      <c r="AB374" t="s">
        <v>47</v>
      </c>
      <c r="AC374" t="s">
        <v>47</v>
      </c>
      <c r="AD374" t="s">
        <v>47</v>
      </c>
      <c r="AE374" t="s">
        <v>47</v>
      </c>
      <c r="AF374" t="s">
        <v>47</v>
      </c>
      <c r="AG374" t="s">
        <v>52</v>
      </c>
      <c r="AH374" t="s">
        <v>90</v>
      </c>
      <c r="AI374" t="s">
        <v>80</v>
      </c>
      <c r="AJ374">
        <v>4.5</v>
      </c>
      <c r="AK374" t="s">
        <v>47</v>
      </c>
      <c r="AL374" t="s">
        <v>81</v>
      </c>
      <c r="AM374" t="s">
        <v>77</v>
      </c>
      <c r="AN374">
        <v>26</v>
      </c>
      <c r="AO374" t="s">
        <v>47</v>
      </c>
    </row>
    <row r="375" spans="1:41">
      <c r="A375" t="s">
        <v>526</v>
      </c>
      <c r="B375">
        <v>2018</v>
      </c>
      <c r="C375" s="1">
        <v>43326</v>
      </c>
      <c r="D375" t="s">
        <v>42</v>
      </c>
      <c r="E375" t="s">
        <v>43</v>
      </c>
      <c r="F375">
        <v>66</v>
      </c>
      <c r="G375" t="s">
        <v>60</v>
      </c>
      <c r="H375" t="s">
        <v>45</v>
      </c>
      <c r="I375">
        <v>36</v>
      </c>
      <c r="J375">
        <v>15</v>
      </c>
      <c r="K375" t="s">
        <v>46</v>
      </c>
      <c r="L375" t="s">
        <v>47</v>
      </c>
      <c r="M375" t="s">
        <v>46</v>
      </c>
      <c r="N375" t="s">
        <v>62</v>
      </c>
      <c r="O375" t="s">
        <v>49</v>
      </c>
      <c r="P375">
        <v>27.9</v>
      </c>
      <c r="Q375" t="s">
        <v>48</v>
      </c>
      <c r="R375" t="s">
        <v>47</v>
      </c>
      <c r="S375" t="s">
        <v>47</v>
      </c>
      <c r="T375" t="s">
        <v>47</v>
      </c>
      <c r="U375" t="s">
        <v>47</v>
      </c>
      <c r="V375" t="s">
        <v>51</v>
      </c>
      <c r="W375" t="s">
        <v>46</v>
      </c>
      <c r="X375" t="s">
        <v>46</v>
      </c>
      <c r="Y375" t="s">
        <v>47</v>
      </c>
      <c r="Z375" t="s">
        <v>46</v>
      </c>
      <c r="AA375" t="s">
        <v>46</v>
      </c>
      <c r="AB375" t="s">
        <v>46</v>
      </c>
      <c r="AC375" t="s">
        <v>46</v>
      </c>
      <c r="AD375" t="s">
        <v>47</v>
      </c>
      <c r="AE375" t="s">
        <v>47</v>
      </c>
      <c r="AF375" t="s">
        <v>47</v>
      </c>
      <c r="AG375" t="s">
        <v>52</v>
      </c>
      <c r="AH375" t="s">
        <v>53</v>
      </c>
      <c r="AI375" t="s">
        <v>54</v>
      </c>
      <c r="AJ375">
        <v>10.7</v>
      </c>
      <c r="AK375" t="s">
        <v>46</v>
      </c>
      <c r="AL375" t="s">
        <v>66</v>
      </c>
      <c r="AM375" t="s">
        <v>82</v>
      </c>
      <c r="AN375">
        <v>9</v>
      </c>
      <c r="AO375" t="s">
        <v>47</v>
      </c>
    </row>
    <row r="376" spans="1:41">
      <c r="A376" t="s">
        <v>527</v>
      </c>
      <c r="B376">
        <v>2021</v>
      </c>
      <c r="C376" s="1">
        <v>44303</v>
      </c>
      <c r="D376" t="s">
        <v>84</v>
      </c>
      <c r="E376" t="s">
        <v>189</v>
      </c>
      <c r="F376">
        <v>50</v>
      </c>
      <c r="G376" t="s">
        <v>44</v>
      </c>
      <c r="H376" t="s">
        <v>61</v>
      </c>
      <c r="I376">
        <v>11</v>
      </c>
      <c r="J376">
        <v>17</v>
      </c>
      <c r="K376" t="s">
        <v>47</v>
      </c>
      <c r="L376" t="s">
        <v>46</v>
      </c>
      <c r="M376" t="s">
        <v>47</v>
      </c>
      <c r="N376" t="s">
        <v>62</v>
      </c>
      <c r="O376" t="s">
        <v>63</v>
      </c>
      <c r="P376">
        <v>27.8</v>
      </c>
      <c r="Q376" t="s">
        <v>48</v>
      </c>
      <c r="R376" t="s">
        <v>47</v>
      </c>
      <c r="S376" t="s">
        <v>46</v>
      </c>
      <c r="T376" t="s">
        <v>47</v>
      </c>
      <c r="U376" t="s">
        <v>47</v>
      </c>
      <c r="V376" t="s">
        <v>51</v>
      </c>
      <c r="W376" t="s">
        <v>46</v>
      </c>
      <c r="X376" t="s">
        <v>47</v>
      </c>
      <c r="Y376" t="s">
        <v>47</v>
      </c>
      <c r="Z376" t="s">
        <v>47</v>
      </c>
      <c r="AA376" t="s">
        <v>47</v>
      </c>
      <c r="AB376" t="s">
        <v>46</v>
      </c>
      <c r="AC376" t="s">
        <v>47</v>
      </c>
      <c r="AD376" t="s">
        <v>47</v>
      </c>
      <c r="AE376" t="s">
        <v>46</v>
      </c>
      <c r="AF376" t="s">
        <v>47</v>
      </c>
      <c r="AG376" t="s">
        <v>52</v>
      </c>
      <c r="AH376" t="s">
        <v>90</v>
      </c>
      <c r="AI376" t="s">
        <v>54</v>
      </c>
      <c r="AJ376">
        <v>6.4</v>
      </c>
      <c r="AK376" t="s">
        <v>46</v>
      </c>
      <c r="AL376" t="s">
        <v>100</v>
      </c>
      <c r="AM376" t="s">
        <v>118</v>
      </c>
      <c r="AN376">
        <v>7</v>
      </c>
      <c r="AO376" t="s">
        <v>47</v>
      </c>
    </row>
    <row r="377" spans="1:41">
      <c r="A377" t="s">
        <v>528</v>
      </c>
      <c r="B377">
        <v>2019</v>
      </c>
      <c r="C377" s="1">
        <v>43763</v>
      </c>
      <c r="D377" t="s">
        <v>42</v>
      </c>
      <c r="E377" t="s">
        <v>210</v>
      </c>
      <c r="F377">
        <v>43</v>
      </c>
      <c r="G377" t="s">
        <v>60</v>
      </c>
      <c r="H377" t="s">
        <v>61</v>
      </c>
      <c r="I377">
        <v>29</v>
      </c>
      <c r="J377">
        <v>3</v>
      </c>
      <c r="K377" t="s">
        <v>46</v>
      </c>
      <c r="L377" t="s">
        <v>47</v>
      </c>
      <c r="M377" t="s">
        <v>47</v>
      </c>
      <c r="N377" t="s">
        <v>50</v>
      </c>
      <c r="O377" t="s">
        <v>49</v>
      </c>
      <c r="P377">
        <v>33.9</v>
      </c>
      <c r="Q377" t="s">
        <v>50</v>
      </c>
      <c r="R377" t="s">
        <v>47</v>
      </c>
      <c r="S377" t="s">
        <v>47</v>
      </c>
      <c r="T377" t="s">
        <v>47</v>
      </c>
      <c r="U377" t="s">
        <v>47</v>
      </c>
      <c r="V377" t="s">
        <v>51</v>
      </c>
      <c r="W377" t="s">
        <v>47</v>
      </c>
      <c r="X377" t="s">
        <v>47</v>
      </c>
      <c r="Y377" t="s">
        <v>47</v>
      </c>
      <c r="Z377" t="s">
        <v>47</v>
      </c>
      <c r="AA377" t="s">
        <v>46</v>
      </c>
      <c r="AB377" t="s">
        <v>47</v>
      </c>
      <c r="AC377" t="s">
        <v>47</v>
      </c>
      <c r="AD377" t="s">
        <v>46</v>
      </c>
      <c r="AE377" t="s">
        <v>46</v>
      </c>
      <c r="AF377" t="s">
        <v>47</v>
      </c>
      <c r="AG377" t="s">
        <v>52</v>
      </c>
      <c r="AH377" t="s">
        <v>90</v>
      </c>
      <c r="AI377" t="s">
        <v>87</v>
      </c>
      <c r="AJ377">
        <v>3.2</v>
      </c>
      <c r="AK377" t="s">
        <v>47</v>
      </c>
      <c r="AL377" t="s">
        <v>76</v>
      </c>
      <c r="AM377" t="s">
        <v>67</v>
      </c>
      <c r="AN377">
        <v>29</v>
      </c>
      <c r="AO377" t="s">
        <v>47</v>
      </c>
    </row>
    <row r="378" spans="1:41">
      <c r="A378" t="s">
        <v>529</v>
      </c>
      <c r="B378">
        <v>2025</v>
      </c>
      <c r="C378" s="1">
        <v>45976</v>
      </c>
      <c r="D378" t="s">
        <v>95</v>
      </c>
      <c r="E378" t="s">
        <v>114</v>
      </c>
      <c r="F378">
        <v>89</v>
      </c>
      <c r="G378" t="s">
        <v>60</v>
      </c>
      <c r="H378" t="s">
        <v>61</v>
      </c>
      <c r="I378">
        <v>27</v>
      </c>
      <c r="J378">
        <v>16</v>
      </c>
      <c r="K378" t="s">
        <v>47</v>
      </c>
      <c r="L378" t="s">
        <v>47</v>
      </c>
      <c r="M378" t="s">
        <v>47</v>
      </c>
      <c r="N378" t="s">
        <v>62</v>
      </c>
      <c r="O378" t="s">
        <v>49</v>
      </c>
      <c r="P378">
        <v>29.1</v>
      </c>
      <c r="Q378" t="s">
        <v>48</v>
      </c>
      <c r="R378" t="s">
        <v>46</v>
      </c>
      <c r="S378" t="s">
        <v>47</v>
      </c>
      <c r="T378" t="s">
        <v>47</v>
      </c>
      <c r="U378" t="s">
        <v>47</v>
      </c>
      <c r="V378" t="s">
        <v>151</v>
      </c>
      <c r="W378" t="s">
        <v>47</v>
      </c>
      <c r="X378" t="s">
        <v>46</v>
      </c>
      <c r="Y378" t="s">
        <v>46</v>
      </c>
      <c r="Z378" t="s">
        <v>47</v>
      </c>
      <c r="AA378" t="s">
        <v>46</v>
      </c>
      <c r="AB378" t="s">
        <v>47</v>
      </c>
      <c r="AC378" t="s">
        <v>46</v>
      </c>
      <c r="AD378" t="s">
        <v>47</v>
      </c>
      <c r="AE378" t="s">
        <v>47</v>
      </c>
      <c r="AF378" t="s">
        <v>47</v>
      </c>
      <c r="AG378" t="s">
        <v>52</v>
      </c>
      <c r="AH378" t="s">
        <v>90</v>
      </c>
      <c r="AI378" t="s">
        <v>87</v>
      </c>
      <c r="AJ378">
        <v>3</v>
      </c>
      <c r="AK378" t="s">
        <v>47</v>
      </c>
      <c r="AL378" t="s">
        <v>72</v>
      </c>
      <c r="AM378" t="s">
        <v>67</v>
      </c>
      <c r="AN378">
        <v>34</v>
      </c>
      <c r="AO378" t="s">
        <v>47</v>
      </c>
    </row>
    <row r="379" spans="1:41">
      <c r="A379" t="s">
        <v>530</v>
      </c>
      <c r="B379">
        <v>2024</v>
      </c>
      <c r="C379" s="1">
        <v>45391</v>
      </c>
      <c r="D379" t="s">
        <v>42</v>
      </c>
      <c r="E379" t="s">
        <v>75</v>
      </c>
      <c r="F379">
        <v>59</v>
      </c>
      <c r="G379" t="s">
        <v>60</v>
      </c>
      <c r="H379" t="s">
        <v>70</v>
      </c>
      <c r="I379">
        <v>0</v>
      </c>
      <c r="J379">
        <v>0</v>
      </c>
      <c r="K379" t="s">
        <v>46</v>
      </c>
      <c r="L379" t="s">
        <v>46</v>
      </c>
      <c r="M379" t="s">
        <v>47</v>
      </c>
      <c r="N379" t="s">
        <v>48</v>
      </c>
      <c r="O379" t="s">
        <v>49</v>
      </c>
      <c r="P379">
        <v>29</v>
      </c>
      <c r="Q379" t="s">
        <v>50</v>
      </c>
      <c r="R379" t="s">
        <v>47</v>
      </c>
      <c r="S379" t="s">
        <v>47</v>
      </c>
      <c r="T379" t="s">
        <v>47</v>
      </c>
      <c r="U379" t="s">
        <v>47</v>
      </c>
      <c r="V379" t="s">
        <v>112</v>
      </c>
      <c r="W379" t="s">
        <v>47</v>
      </c>
      <c r="X379" t="s">
        <v>47</v>
      </c>
      <c r="Y379" t="s">
        <v>47</v>
      </c>
      <c r="Z379" t="s">
        <v>47</v>
      </c>
      <c r="AA379" t="s">
        <v>46</v>
      </c>
      <c r="AB379" t="s">
        <v>47</v>
      </c>
      <c r="AC379" t="s">
        <v>47</v>
      </c>
      <c r="AD379" t="s">
        <v>46</v>
      </c>
      <c r="AE379" t="s">
        <v>47</v>
      </c>
      <c r="AF379" t="s">
        <v>46</v>
      </c>
      <c r="AG379" t="s">
        <v>52</v>
      </c>
      <c r="AH379" t="s">
        <v>53</v>
      </c>
      <c r="AI379" t="s">
        <v>80</v>
      </c>
      <c r="AJ379">
        <v>5.2</v>
      </c>
      <c r="AK379" t="s">
        <v>47</v>
      </c>
      <c r="AL379" t="s">
        <v>81</v>
      </c>
      <c r="AM379" t="s">
        <v>118</v>
      </c>
      <c r="AN379">
        <v>18</v>
      </c>
      <c r="AO379" t="s">
        <v>47</v>
      </c>
    </row>
    <row r="380" spans="1:41">
      <c r="A380" t="s">
        <v>531</v>
      </c>
      <c r="B380">
        <v>2023</v>
      </c>
      <c r="C380" s="1">
        <v>44995</v>
      </c>
      <c r="D380" t="s">
        <v>58</v>
      </c>
      <c r="E380" t="s">
        <v>252</v>
      </c>
      <c r="F380">
        <v>84</v>
      </c>
      <c r="G380" t="s">
        <v>60</v>
      </c>
      <c r="H380" t="s">
        <v>45</v>
      </c>
      <c r="I380">
        <v>21</v>
      </c>
      <c r="J380">
        <v>33</v>
      </c>
      <c r="K380" t="s">
        <v>46</v>
      </c>
      <c r="L380" t="s">
        <v>46</v>
      </c>
      <c r="M380" t="s">
        <v>47</v>
      </c>
      <c r="N380" t="s">
        <v>48</v>
      </c>
      <c r="O380" t="s">
        <v>48</v>
      </c>
      <c r="P380">
        <v>24.3</v>
      </c>
      <c r="Q380" t="s">
        <v>62</v>
      </c>
      <c r="R380" t="s">
        <v>47</v>
      </c>
      <c r="S380" t="s">
        <v>47</v>
      </c>
      <c r="T380" t="s">
        <v>46</v>
      </c>
      <c r="U380" t="s">
        <v>47</v>
      </c>
      <c r="V380" t="s">
        <v>86</v>
      </c>
      <c r="W380" t="s">
        <v>46</v>
      </c>
      <c r="X380" t="s">
        <v>46</v>
      </c>
      <c r="Y380" t="s">
        <v>47</v>
      </c>
      <c r="Z380" t="s">
        <v>47</v>
      </c>
      <c r="AA380" t="s">
        <v>47</v>
      </c>
      <c r="AB380" t="s">
        <v>47</v>
      </c>
      <c r="AC380" t="s">
        <v>46</v>
      </c>
      <c r="AD380" t="s">
        <v>47</v>
      </c>
      <c r="AE380" t="s">
        <v>47</v>
      </c>
      <c r="AF380" t="s">
        <v>47</v>
      </c>
      <c r="AG380" t="s">
        <v>52</v>
      </c>
      <c r="AH380" t="s">
        <v>53</v>
      </c>
      <c r="AI380" t="s">
        <v>65</v>
      </c>
      <c r="AJ380">
        <v>2.4</v>
      </c>
      <c r="AK380" t="s">
        <v>47</v>
      </c>
      <c r="AL380" t="s">
        <v>72</v>
      </c>
      <c r="AM380" t="s">
        <v>73</v>
      </c>
      <c r="AN380">
        <v>61</v>
      </c>
      <c r="AO380" t="s">
        <v>47</v>
      </c>
    </row>
    <row r="381" spans="1:41">
      <c r="A381" t="s">
        <v>532</v>
      </c>
      <c r="B381">
        <v>2021</v>
      </c>
      <c r="C381" s="1">
        <v>44546</v>
      </c>
      <c r="D381" t="s">
        <v>110</v>
      </c>
      <c r="E381" t="s">
        <v>227</v>
      </c>
      <c r="F381">
        <v>60</v>
      </c>
      <c r="G381" t="s">
        <v>60</v>
      </c>
      <c r="H381" t="s">
        <v>45</v>
      </c>
      <c r="I381">
        <v>13</v>
      </c>
      <c r="J381">
        <v>19</v>
      </c>
      <c r="K381" t="s">
        <v>47</v>
      </c>
      <c r="L381" t="s">
        <v>47</v>
      </c>
      <c r="M381" t="s">
        <v>47</v>
      </c>
      <c r="N381" t="s">
        <v>50</v>
      </c>
      <c r="O381" t="s">
        <v>48</v>
      </c>
      <c r="P381">
        <v>25.2</v>
      </c>
      <c r="Q381" t="s">
        <v>62</v>
      </c>
      <c r="R381" t="s">
        <v>46</v>
      </c>
      <c r="S381" t="s">
        <v>47</v>
      </c>
      <c r="T381" t="s">
        <v>47</v>
      </c>
      <c r="U381" t="s">
        <v>47</v>
      </c>
      <c r="V381" t="s">
        <v>51</v>
      </c>
      <c r="W381" t="s">
        <v>46</v>
      </c>
      <c r="X381" t="s">
        <v>47</v>
      </c>
      <c r="Y381" t="s">
        <v>46</v>
      </c>
      <c r="Z381" t="s">
        <v>47</v>
      </c>
      <c r="AA381" t="s">
        <v>47</v>
      </c>
      <c r="AB381" t="s">
        <v>47</v>
      </c>
      <c r="AC381" t="s">
        <v>47</v>
      </c>
      <c r="AD381" t="s">
        <v>47</v>
      </c>
      <c r="AE381" t="s">
        <v>47</v>
      </c>
      <c r="AF381" t="s">
        <v>47</v>
      </c>
      <c r="AG381" t="s">
        <v>121</v>
      </c>
      <c r="AH381" t="s">
        <v>122</v>
      </c>
      <c r="AI381" t="s">
        <v>80</v>
      </c>
      <c r="AJ381">
        <v>6.9</v>
      </c>
      <c r="AK381" t="s">
        <v>46</v>
      </c>
      <c r="AL381" t="s">
        <v>72</v>
      </c>
      <c r="AM381" t="s">
        <v>118</v>
      </c>
      <c r="AN381">
        <v>21</v>
      </c>
      <c r="AO381" t="s">
        <v>47</v>
      </c>
    </row>
    <row r="382" spans="1:41">
      <c r="A382" t="s">
        <v>533</v>
      </c>
      <c r="B382">
        <v>2025</v>
      </c>
      <c r="C382" s="1">
        <v>45678</v>
      </c>
      <c r="D382" t="s">
        <v>95</v>
      </c>
      <c r="E382" t="s">
        <v>255</v>
      </c>
      <c r="F382">
        <v>65</v>
      </c>
      <c r="G382" t="s">
        <v>60</v>
      </c>
      <c r="H382" t="s">
        <v>70</v>
      </c>
      <c r="I382">
        <v>0</v>
      </c>
      <c r="J382">
        <v>0</v>
      </c>
      <c r="K382" t="s">
        <v>47</v>
      </c>
      <c r="L382" t="s">
        <v>47</v>
      </c>
      <c r="M382" t="s">
        <v>47</v>
      </c>
      <c r="N382" t="s">
        <v>50</v>
      </c>
      <c r="O382" t="s">
        <v>49</v>
      </c>
      <c r="P382">
        <v>25.4</v>
      </c>
      <c r="Q382" t="s">
        <v>62</v>
      </c>
      <c r="R382" t="s">
        <v>46</v>
      </c>
      <c r="S382" t="s">
        <v>47</v>
      </c>
      <c r="T382" t="s">
        <v>47</v>
      </c>
      <c r="U382" t="s">
        <v>47</v>
      </c>
      <c r="V382" t="s">
        <v>51</v>
      </c>
      <c r="W382" t="s">
        <v>46</v>
      </c>
      <c r="X382" t="s">
        <v>47</v>
      </c>
      <c r="Y382" t="s">
        <v>46</v>
      </c>
      <c r="Z382" t="s">
        <v>46</v>
      </c>
      <c r="AA382" t="s">
        <v>46</v>
      </c>
      <c r="AB382" t="s">
        <v>46</v>
      </c>
      <c r="AC382" t="s">
        <v>47</v>
      </c>
      <c r="AD382" t="s">
        <v>47</v>
      </c>
      <c r="AE382" t="s">
        <v>46</v>
      </c>
      <c r="AF382" t="s">
        <v>46</v>
      </c>
      <c r="AG382" t="s">
        <v>52</v>
      </c>
      <c r="AH382" t="s">
        <v>71</v>
      </c>
      <c r="AI382" t="s">
        <v>87</v>
      </c>
      <c r="AJ382">
        <v>4.5999999999999996</v>
      </c>
      <c r="AK382" t="s">
        <v>47</v>
      </c>
      <c r="AL382" t="s">
        <v>66</v>
      </c>
      <c r="AM382" t="s">
        <v>103</v>
      </c>
      <c r="AN382">
        <v>17</v>
      </c>
      <c r="AO382" t="s">
        <v>47</v>
      </c>
    </row>
    <row r="383" spans="1:41">
      <c r="A383" t="s">
        <v>534</v>
      </c>
      <c r="B383">
        <v>2023</v>
      </c>
      <c r="C383" s="1">
        <v>45039</v>
      </c>
      <c r="D383" t="s">
        <v>84</v>
      </c>
      <c r="E383" t="s">
        <v>182</v>
      </c>
      <c r="F383">
        <v>77</v>
      </c>
      <c r="G383" t="s">
        <v>44</v>
      </c>
      <c r="H383" t="s">
        <v>45</v>
      </c>
      <c r="I383">
        <v>29</v>
      </c>
      <c r="J383">
        <v>45</v>
      </c>
      <c r="K383" t="s">
        <v>47</v>
      </c>
      <c r="L383" t="s">
        <v>46</v>
      </c>
      <c r="M383" t="s">
        <v>47</v>
      </c>
      <c r="N383" t="s">
        <v>50</v>
      </c>
      <c r="O383" t="s">
        <v>63</v>
      </c>
      <c r="P383">
        <v>24.1</v>
      </c>
      <c r="Q383" t="s">
        <v>62</v>
      </c>
      <c r="R383" t="s">
        <v>46</v>
      </c>
      <c r="S383" t="s">
        <v>47</v>
      </c>
      <c r="T383" t="s">
        <v>47</v>
      </c>
      <c r="U383" t="s">
        <v>47</v>
      </c>
      <c r="V383" t="s">
        <v>51</v>
      </c>
      <c r="W383" t="s">
        <v>46</v>
      </c>
      <c r="X383" t="s">
        <v>46</v>
      </c>
      <c r="Y383" t="s">
        <v>46</v>
      </c>
      <c r="Z383" t="s">
        <v>46</v>
      </c>
      <c r="AA383" t="s">
        <v>46</v>
      </c>
      <c r="AB383" t="s">
        <v>46</v>
      </c>
      <c r="AC383" t="s">
        <v>47</v>
      </c>
      <c r="AD383" t="s">
        <v>47</v>
      </c>
      <c r="AE383" t="s">
        <v>47</v>
      </c>
      <c r="AF383" t="s">
        <v>47</v>
      </c>
      <c r="AG383" t="s">
        <v>52</v>
      </c>
      <c r="AH383" t="s">
        <v>71</v>
      </c>
      <c r="AI383" t="s">
        <v>54</v>
      </c>
      <c r="AJ383">
        <v>6.9</v>
      </c>
      <c r="AK383" t="s">
        <v>46</v>
      </c>
      <c r="AL383" t="s">
        <v>156</v>
      </c>
      <c r="AM383" t="s">
        <v>77</v>
      </c>
      <c r="AN383">
        <v>10</v>
      </c>
      <c r="AO383" t="s">
        <v>47</v>
      </c>
    </row>
    <row r="384" spans="1:41">
      <c r="A384" t="s">
        <v>535</v>
      </c>
      <c r="B384">
        <v>2020</v>
      </c>
      <c r="C384" s="1">
        <v>43969</v>
      </c>
      <c r="D384" t="s">
        <v>58</v>
      </c>
      <c r="E384" t="s">
        <v>150</v>
      </c>
      <c r="F384">
        <v>71</v>
      </c>
      <c r="G384" t="s">
        <v>60</v>
      </c>
      <c r="H384" t="s">
        <v>70</v>
      </c>
      <c r="I384">
        <v>0</v>
      </c>
      <c r="J384">
        <v>0</v>
      </c>
      <c r="K384" t="s">
        <v>47</v>
      </c>
      <c r="L384" t="s">
        <v>46</v>
      </c>
      <c r="M384" t="s">
        <v>46</v>
      </c>
      <c r="N384" t="s">
        <v>62</v>
      </c>
      <c r="O384" t="s">
        <v>49</v>
      </c>
      <c r="P384">
        <v>29.5</v>
      </c>
      <c r="Q384" t="s">
        <v>50</v>
      </c>
      <c r="R384" t="s">
        <v>47</v>
      </c>
      <c r="S384" t="s">
        <v>47</v>
      </c>
      <c r="T384" t="s">
        <v>47</v>
      </c>
      <c r="U384" t="s">
        <v>47</v>
      </c>
      <c r="V384" t="s">
        <v>51</v>
      </c>
      <c r="W384" t="s">
        <v>46</v>
      </c>
      <c r="X384" t="s">
        <v>47</v>
      </c>
      <c r="Y384" t="s">
        <v>47</v>
      </c>
      <c r="Z384" t="s">
        <v>47</v>
      </c>
      <c r="AA384" t="s">
        <v>47</v>
      </c>
      <c r="AB384" t="s">
        <v>47</v>
      </c>
      <c r="AC384" t="s">
        <v>47</v>
      </c>
      <c r="AD384" t="s">
        <v>46</v>
      </c>
      <c r="AE384" t="s">
        <v>46</v>
      </c>
      <c r="AF384" t="s">
        <v>47</v>
      </c>
      <c r="AG384" t="s">
        <v>52</v>
      </c>
      <c r="AH384" t="s">
        <v>53</v>
      </c>
      <c r="AI384" t="s">
        <v>65</v>
      </c>
      <c r="AJ384">
        <v>2.4</v>
      </c>
      <c r="AK384" t="s">
        <v>47</v>
      </c>
      <c r="AL384" t="s">
        <v>76</v>
      </c>
      <c r="AM384" t="s">
        <v>73</v>
      </c>
      <c r="AN384">
        <v>51</v>
      </c>
      <c r="AO384" t="s">
        <v>46</v>
      </c>
    </row>
    <row r="385" spans="1:41">
      <c r="A385" t="s">
        <v>536</v>
      </c>
      <c r="B385">
        <v>2024</v>
      </c>
      <c r="C385" s="1">
        <v>45549</v>
      </c>
      <c r="D385" t="s">
        <v>58</v>
      </c>
      <c r="E385" t="s">
        <v>169</v>
      </c>
      <c r="F385">
        <v>55</v>
      </c>
      <c r="G385" t="s">
        <v>60</v>
      </c>
      <c r="H385" t="s">
        <v>70</v>
      </c>
      <c r="I385">
        <v>0</v>
      </c>
      <c r="J385">
        <v>0</v>
      </c>
      <c r="K385" t="s">
        <v>46</v>
      </c>
      <c r="L385" t="s">
        <v>47</v>
      </c>
      <c r="M385" t="s">
        <v>47</v>
      </c>
      <c r="N385" t="s">
        <v>48</v>
      </c>
      <c r="O385" t="s">
        <v>63</v>
      </c>
      <c r="P385">
        <v>32.6</v>
      </c>
      <c r="Q385" t="s">
        <v>50</v>
      </c>
      <c r="R385" t="s">
        <v>47</v>
      </c>
      <c r="S385" t="s">
        <v>47</v>
      </c>
      <c r="T385" t="s">
        <v>47</v>
      </c>
      <c r="U385" t="s">
        <v>47</v>
      </c>
      <c r="V385" t="s">
        <v>117</v>
      </c>
      <c r="W385" t="s">
        <v>47</v>
      </c>
      <c r="X385" t="s">
        <v>47</v>
      </c>
      <c r="Y385" t="s">
        <v>47</v>
      </c>
      <c r="Z385" t="s">
        <v>47</v>
      </c>
      <c r="AA385" t="s">
        <v>46</v>
      </c>
      <c r="AB385" t="s">
        <v>46</v>
      </c>
      <c r="AC385" t="s">
        <v>47</v>
      </c>
      <c r="AD385" t="s">
        <v>46</v>
      </c>
      <c r="AE385" t="s">
        <v>47</v>
      </c>
      <c r="AF385" t="s">
        <v>47</v>
      </c>
      <c r="AG385" t="s">
        <v>121</v>
      </c>
      <c r="AH385" t="s">
        <v>122</v>
      </c>
      <c r="AI385" t="s">
        <v>87</v>
      </c>
      <c r="AJ385">
        <v>4.4000000000000004</v>
      </c>
      <c r="AK385" t="s">
        <v>47</v>
      </c>
      <c r="AL385" t="s">
        <v>81</v>
      </c>
      <c r="AM385" t="s">
        <v>82</v>
      </c>
      <c r="AN385">
        <v>32</v>
      </c>
      <c r="AO385" t="s">
        <v>47</v>
      </c>
    </row>
    <row r="386" spans="1:41">
      <c r="A386" t="s">
        <v>537</v>
      </c>
      <c r="B386">
        <v>2020</v>
      </c>
      <c r="C386" s="1">
        <v>43948</v>
      </c>
      <c r="D386" t="s">
        <v>110</v>
      </c>
      <c r="E386" t="s">
        <v>227</v>
      </c>
      <c r="F386">
        <v>71</v>
      </c>
      <c r="G386" t="s">
        <v>44</v>
      </c>
      <c r="H386" t="s">
        <v>70</v>
      </c>
      <c r="I386">
        <v>0</v>
      </c>
      <c r="J386">
        <v>0</v>
      </c>
      <c r="K386" t="s">
        <v>46</v>
      </c>
      <c r="L386" t="s">
        <v>47</v>
      </c>
      <c r="M386" t="s">
        <v>47</v>
      </c>
      <c r="N386" t="s">
        <v>48</v>
      </c>
      <c r="O386" t="s">
        <v>48</v>
      </c>
      <c r="P386">
        <v>16</v>
      </c>
      <c r="Q386" t="s">
        <v>50</v>
      </c>
      <c r="R386" t="s">
        <v>47</v>
      </c>
      <c r="S386" t="s">
        <v>47</v>
      </c>
      <c r="T386" t="s">
        <v>47</v>
      </c>
      <c r="U386" t="s">
        <v>47</v>
      </c>
      <c r="V386" t="s">
        <v>86</v>
      </c>
      <c r="W386" t="s">
        <v>46</v>
      </c>
      <c r="X386" t="s">
        <v>47</v>
      </c>
      <c r="Y386" t="s">
        <v>47</v>
      </c>
      <c r="Z386" t="s">
        <v>47</v>
      </c>
      <c r="AA386" t="s">
        <v>46</v>
      </c>
      <c r="AB386" t="s">
        <v>47</v>
      </c>
      <c r="AC386" t="s">
        <v>47</v>
      </c>
      <c r="AD386" t="s">
        <v>47</v>
      </c>
      <c r="AE386" t="s">
        <v>46</v>
      </c>
      <c r="AF386" t="s">
        <v>47</v>
      </c>
      <c r="AG386" t="s">
        <v>52</v>
      </c>
      <c r="AH386" t="s">
        <v>53</v>
      </c>
      <c r="AI386" t="s">
        <v>87</v>
      </c>
      <c r="AJ386">
        <v>4.0999999999999996</v>
      </c>
      <c r="AK386" t="s">
        <v>47</v>
      </c>
      <c r="AL386" t="s">
        <v>100</v>
      </c>
      <c r="AM386" t="s">
        <v>73</v>
      </c>
      <c r="AN386">
        <v>31</v>
      </c>
      <c r="AO386" t="s">
        <v>47</v>
      </c>
    </row>
    <row r="387" spans="1:41">
      <c r="A387" t="s">
        <v>538</v>
      </c>
      <c r="B387">
        <v>2021</v>
      </c>
      <c r="C387" s="1">
        <v>44412</v>
      </c>
      <c r="D387" t="s">
        <v>42</v>
      </c>
      <c r="E387" t="s">
        <v>166</v>
      </c>
      <c r="F387">
        <v>65</v>
      </c>
      <c r="G387" t="s">
        <v>60</v>
      </c>
      <c r="H387" t="s">
        <v>61</v>
      </c>
      <c r="I387">
        <v>18</v>
      </c>
      <c r="J387">
        <v>23</v>
      </c>
      <c r="K387" t="s">
        <v>46</v>
      </c>
      <c r="L387" t="s">
        <v>47</v>
      </c>
      <c r="M387" t="s">
        <v>47</v>
      </c>
      <c r="N387" t="s">
        <v>62</v>
      </c>
      <c r="O387" t="s">
        <v>49</v>
      </c>
      <c r="P387">
        <v>26.9</v>
      </c>
      <c r="Q387" t="s">
        <v>50</v>
      </c>
      <c r="R387" t="s">
        <v>47</v>
      </c>
      <c r="S387" t="s">
        <v>47</v>
      </c>
      <c r="T387" t="s">
        <v>47</v>
      </c>
      <c r="U387" t="s">
        <v>47</v>
      </c>
      <c r="V387" t="s">
        <v>51</v>
      </c>
      <c r="W387" t="s">
        <v>46</v>
      </c>
      <c r="X387" t="s">
        <v>47</v>
      </c>
      <c r="Y387" t="s">
        <v>46</v>
      </c>
      <c r="Z387" t="s">
        <v>47</v>
      </c>
      <c r="AA387" t="s">
        <v>46</v>
      </c>
      <c r="AB387" t="s">
        <v>47</v>
      </c>
      <c r="AC387" t="s">
        <v>47</v>
      </c>
      <c r="AD387" t="s">
        <v>47</v>
      </c>
      <c r="AE387" t="s">
        <v>47</v>
      </c>
      <c r="AF387" t="s">
        <v>47</v>
      </c>
      <c r="AG387" t="s">
        <v>52</v>
      </c>
      <c r="AH387" t="s">
        <v>90</v>
      </c>
      <c r="AI387" t="s">
        <v>54</v>
      </c>
      <c r="AJ387">
        <v>5.7</v>
      </c>
      <c r="AK387" t="s">
        <v>46</v>
      </c>
      <c r="AL387" t="s">
        <v>100</v>
      </c>
      <c r="AM387" t="s">
        <v>103</v>
      </c>
      <c r="AN387">
        <v>5</v>
      </c>
      <c r="AO387" t="s">
        <v>47</v>
      </c>
    </row>
    <row r="388" spans="1:41">
      <c r="A388" t="s">
        <v>539</v>
      </c>
      <c r="B388">
        <v>2018</v>
      </c>
      <c r="C388" s="1">
        <v>43335</v>
      </c>
      <c r="D388" t="s">
        <v>42</v>
      </c>
      <c r="E388" t="s">
        <v>247</v>
      </c>
      <c r="F388">
        <v>63</v>
      </c>
      <c r="G388" t="s">
        <v>44</v>
      </c>
      <c r="H388" t="s">
        <v>70</v>
      </c>
      <c r="I388">
        <v>0</v>
      </c>
      <c r="J388">
        <v>0</v>
      </c>
      <c r="K388" t="s">
        <v>47</v>
      </c>
      <c r="L388" t="s">
        <v>47</v>
      </c>
      <c r="M388" t="s">
        <v>47</v>
      </c>
      <c r="N388" t="s">
        <v>62</v>
      </c>
      <c r="O388" t="s">
        <v>48</v>
      </c>
      <c r="P388">
        <v>31.5</v>
      </c>
      <c r="Q388" t="s">
        <v>48</v>
      </c>
      <c r="R388" t="s">
        <v>47</v>
      </c>
      <c r="S388" t="s">
        <v>47</v>
      </c>
      <c r="T388" t="s">
        <v>47</v>
      </c>
      <c r="U388" t="s">
        <v>47</v>
      </c>
      <c r="V388" t="s">
        <v>64</v>
      </c>
      <c r="W388" t="s">
        <v>47</v>
      </c>
      <c r="X388" t="s">
        <v>47</v>
      </c>
      <c r="Y388" t="s">
        <v>47</v>
      </c>
      <c r="Z388" t="s">
        <v>47</v>
      </c>
      <c r="AA388" t="s">
        <v>46</v>
      </c>
      <c r="AB388" t="s">
        <v>47</v>
      </c>
      <c r="AC388" t="s">
        <v>47</v>
      </c>
      <c r="AD388" t="s">
        <v>46</v>
      </c>
      <c r="AE388" t="s">
        <v>47</v>
      </c>
      <c r="AF388" t="s">
        <v>46</v>
      </c>
      <c r="AG388" t="s">
        <v>52</v>
      </c>
      <c r="AH388" t="s">
        <v>71</v>
      </c>
      <c r="AI388" t="s">
        <v>65</v>
      </c>
      <c r="AJ388">
        <v>1.3</v>
      </c>
      <c r="AK388" t="s">
        <v>47</v>
      </c>
      <c r="AL388" t="s">
        <v>156</v>
      </c>
      <c r="AM388" t="s">
        <v>103</v>
      </c>
      <c r="AN388">
        <v>49</v>
      </c>
      <c r="AO388" t="s">
        <v>46</v>
      </c>
    </row>
    <row r="389" spans="1:41">
      <c r="A389" t="s">
        <v>540</v>
      </c>
      <c r="B389">
        <v>2022</v>
      </c>
      <c r="C389" s="1">
        <v>44827</v>
      </c>
      <c r="D389" t="s">
        <v>95</v>
      </c>
      <c r="E389" t="s">
        <v>130</v>
      </c>
      <c r="F389">
        <v>64</v>
      </c>
      <c r="G389" t="s">
        <v>44</v>
      </c>
      <c r="H389" t="s">
        <v>70</v>
      </c>
      <c r="I389">
        <v>0</v>
      </c>
      <c r="J389">
        <v>0</v>
      </c>
      <c r="K389" t="s">
        <v>46</v>
      </c>
      <c r="L389" t="s">
        <v>47</v>
      </c>
      <c r="M389" t="s">
        <v>47</v>
      </c>
      <c r="N389" t="s">
        <v>62</v>
      </c>
      <c r="O389" t="s">
        <v>48</v>
      </c>
      <c r="P389">
        <v>32</v>
      </c>
      <c r="Q389" t="s">
        <v>50</v>
      </c>
      <c r="R389" t="s">
        <v>47</v>
      </c>
      <c r="S389" t="s">
        <v>47</v>
      </c>
      <c r="T389" t="s">
        <v>47</v>
      </c>
      <c r="U389" t="s">
        <v>47</v>
      </c>
      <c r="V389" t="s">
        <v>51</v>
      </c>
      <c r="W389" t="s">
        <v>47</v>
      </c>
      <c r="X389" t="s">
        <v>47</v>
      </c>
      <c r="Y389" t="s">
        <v>46</v>
      </c>
      <c r="Z389" t="s">
        <v>47</v>
      </c>
      <c r="AA389" t="s">
        <v>47</v>
      </c>
      <c r="AB389" t="s">
        <v>47</v>
      </c>
      <c r="AC389" t="s">
        <v>47</v>
      </c>
      <c r="AD389" t="s">
        <v>47</v>
      </c>
      <c r="AE389" t="s">
        <v>46</v>
      </c>
      <c r="AF389" t="s">
        <v>47</v>
      </c>
      <c r="AG389" t="s">
        <v>52</v>
      </c>
      <c r="AH389" t="s">
        <v>53</v>
      </c>
      <c r="AI389" t="s">
        <v>80</v>
      </c>
      <c r="AJ389">
        <v>6.2</v>
      </c>
      <c r="AK389" t="s">
        <v>47</v>
      </c>
      <c r="AL389" t="s">
        <v>100</v>
      </c>
      <c r="AM389" t="s">
        <v>56</v>
      </c>
      <c r="AN389">
        <v>13</v>
      </c>
      <c r="AO389" t="s">
        <v>46</v>
      </c>
    </row>
    <row r="390" spans="1:41">
      <c r="A390" t="s">
        <v>541</v>
      </c>
      <c r="B390">
        <v>2024</v>
      </c>
      <c r="C390" s="1">
        <v>45500</v>
      </c>
      <c r="D390" t="s">
        <v>95</v>
      </c>
      <c r="E390" t="s">
        <v>96</v>
      </c>
      <c r="F390">
        <v>53</v>
      </c>
      <c r="G390" t="s">
        <v>44</v>
      </c>
      <c r="H390" t="s">
        <v>70</v>
      </c>
      <c r="I390">
        <v>0</v>
      </c>
      <c r="J390">
        <v>0</v>
      </c>
      <c r="K390" t="s">
        <v>46</v>
      </c>
      <c r="L390" t="s">
        <v>47</v>
      </c>
      <c r="M390" t="s">
        <v>46</v>
      </c>
      <c r="N390" t="s">
        <v>50</v>
      </c>
      <c r="O390" t="s">
        <v>48</v>
      </c>
      <c r="P390">
        <v>26.6</v>
      </c>
      <c r="Q390" t="s">
        <v>62</v>
      </c>
      <c r="R390" t="s">
        <v>47</v>
      </c>
      <c r="S390" t="s">
        <v>47</v>
      </c>
      <c r="T390" t="s">
        <v>47</v>
      </c>
      <c r="U390" t="s">
        <v>47</v>
      </c>
      <c r="V390" t="s">
        <v>51</v>
      </c>
      <c r="W390" t="s">
        <v>46</v>
      </c>
      <c r="X390" t="s">
        <v>46</v>
      </c>
      <c r="Y390" t="s">
        <v>46</v>
      </c>
      <c r="Z390" t="s">
        <v>47</v>
      </c>
      <c r="AA390" t="s">
        <v>46</v>
      </c>
      <c r="AB390" t="s">
        <v>47</v>
      </c>
      <c r="AC390" t="s">
        <v>47</v>
      </c>
      <c r="AD390" t="s">
        <v>46</v>
      </c>
      <c r="AE390" t="s">
        <v>47</v>
      </c>
      <c r="AF390" t="s">
        <v>47</v>
      </c>
      <c r="AG390" t="s">
        <v>52</v>
      </c>
      <c r="AH390" t="s">
        <v>53</v>
      </c>
      <c r="AI390" t="s">
        <v>87</v>
      </c>
      <c r="AJ390">
        <v>3.3</v>
      </c>
      <c r="AK390" t="s">
        <v>47</v>
      </c>
      <c r="AL390" t="s">
        <v>100</v>
      </c>
      <c r="AM390" t="s">
        <v>67</v>
      </c>
      <c r="AN390">
        <v>34</v>
      </c>
      <c r="AO390" t="s">
        <v>46</v>
      </c>
    </row>
    <row r="391" spans="1:41">
      <c r="A391" t="s">
        <v>542</v>
      </c>
      <c r="B391">
        <v>2019</v>
      </c>
      <c r="C391" s="1">
        <v>43685</v>
      </c>
      <c r="D391" t="s">
        <v>95</v>
      </c>
      <c r="E391" t="s">
        <v>96</v>
      </c>
      <c r="F391">
        <v>57</v>
      </c>
      <c r="G391" t="s">
        <v>60</v>
      </c>
      <c r="H391" t="s">
        <v>70</v>
      </c>
      <c r="I391">
        <v>0</v>
      </c>
      <c r="J391">
        <v>0</v>
      </c>
      <c r="K391" t="s">
        <v>46</v>
      </c>
      <c r="L391" t="s">
        <v>47</v>
      </c>
      <c r="M391" t="s">
        <v>47</v>
      </c>
      <c r="N391" t="s">
        <v>62</v>
      </c>
      <c r="O391" t="s">
        <v>63</v>
      </c>
      <c r="P391">
        <v>22.2</v>
      </c>
      <c r="Q391" t="s">
        <v>48</v>
      </c>
      <c r="R391" t="s">
        <v>47</v>
      </c>
      <c r="S391" t="s">
        <v>47</v>
      </c>
      <c r="T391" t="s">
        <v>47</v>
      </c>
      <c r="U391" t="s">
        <v>47</v>
      </c>
      <c r="V391" t="s">
        <v>86</v>
      </c>
      <c r="W391" t="s">
        <v>46</v>
      </c>
      <c r="X391" t="s">
        <v>47</v>
      </c>
      <c r="Y391" t="s">
        <v>47</v>
      </c>
      <c r="Z391" t="s">
        <v>46</v>
      </c>
      <c r="AA391" t="s">
        <v>46</v>
      </c>
      <c r="AB391" t="s">
        <v>47</v>
      </c>
      <c r="AC391" t="s">
        <v>47</v>
      </c>
      <c r="AD391" t="s">
        <v>47</v>
      </c>
      <c r="AE391" t="s">
        <v>47</v>
      </c>
      <c r="AF391" t="s">
        <v>47</v>
      </c>
      <c r="AG391" t="s">
        <v>52</v>
      </c>
      <c r="AH391" t="s">
        <v>53</v>
      </c>
      <c r="AI391" t="s">
        <v>65</v>
      </c>
      <c r="AJ391">
        <v>2.1</v>
      </c>
      <c r="AK391" t="s">
        <v>47</v>
      </c>
      <c r="AL391" t="s">
        <v>76</v>
      </c>
      <c r="AM391" t="s">
        <v>73</v>
      </c>
      <c r="AN391">
        <v>42</v>
      </c>
      <c r="AO391" t="s">
        <v>47</v>
      </c>
    </row>
    <row r="392" spans="1:41">
      <c r="A392" t="s">
        <v>543</v>
      </c>
      <c r="B392">
        <v>2017</v>
      </c>
      <c r="C392" s="1">
        <v>42983</v>
      </c>
      <c r="D392" t="s">
        <v>95</v>
      </c>
      <c r="E392" t="s">
        <v>145</v>
      </c>
      <c r="F392">
        <v>77</v>
      </c>
      <c r="G392" t="s">
        <v>60</v>
      </c>
      <c r="H392" t="s">
        <v>61</v>
      </c>
      <c r="I392">
        <v>12</v>
      </c>
      <c r="J392">
        <v>28</v>
      </c>
      <c r="K392" t="s">
        <v>46</v>
      </c>
      <c r="L392" t="s">
        <v>47</v>
      </c>
      <c r="M392" t="s">
        <v>47</v>
      </c>
      <c r="N392" t="s">
        <v>50</v>
      </c>
      <c r="O392" t="s">
        <v>48</v>
      </c>
      <c r="P392">
        <v>29.4</v>
      </c>
      <c r="Q392" t="s">
        <v>62</v>
      </c>
      <c r="R392" t="s">
        <v>47</v>
      </c>
      <c r="S392" t="s">
        <v>47</v>
      </c>
      <c r="T392" t="s">
        <v>47</v>
      </c>
      <c r="U392" t="s">
        <v>47</v>
      </c>
      <c r="V392" t="s">
        <v>86</v>
      </c>
      <c r="W392" t="s">
        <v>47</v>
      </c>
      <c r="X392" t="s">
        <v>47</v>
      </c>
      <c r="Y392" t="s">
        <v>47</v>
      </c>
      <c r="Z392" t="s">
        <v>47</v>
      </c>
      <c r="AA392" t="s">
        <v>47</v>
      </c>
      <c r="AB392" t="s">
        <v>47</v>
      </c>
      <c r="AC392" t="s">
        <v>46</v>
      </c>
      <c r="AD392" t="s">
        <v>46</v>
      </c>
      <c r="AE392" t="s">
        <v>47</v>
      </c>
      <c r="AF392" t="s">
        <v>47</v>
      </c>
      <c r="AG392" t="s">
        <v>52</v>
      </c>
      <c r="AH392" t="s">
        <v>90</v>
      </c>
      <c r="AI392" t="s">
        <v>54</v>
      </c>
      <c r="AJ392">
        <v>8.6999999999999993</v>
      </c>
      <c r="AK392" t="s">
        <v>46</v>
      </c>
      <c r="AL392" t="s">
        <v>66</v>
      </c>
      <c r="AM392" t="s">
        <v>82</v>
      </c>
      <c r="AN392">
        <v>11</v>
      </c>
      <c r="AO392" t="s">
        <v>47</v>
      </c>
    </row>
    <row r="393" spans="1:41">
      <c r="A393" t="s">
        <v>544</v>
      </c>
      <c r="B393">
        <v>2016</v>
      </c>
      <c r="C393" s="1">
        <v>42480</v>
      </c>
      <c r="D393" t="s">
        <v>42</v>
      </c>
      <c r="E393" t="s">
        <v>75</v>
      </c>
      <c r="F393">
        <v>76</v>
      </c>
      <c r="G393" t="s">
        <v>60</v>
      </c>
      <c r="H393" t="s">
        <v>70</v>
      </c>
      <c r="I393">
        <v>0</v>
      </c>
      <c r="J393">
        <v>0</v>
      </c>
      <c r="K393" t="s">
        <v>46</v>
      </c>
      <c r="L393" t="s">
        <v>47</v>
      </c>
      <c r="M393" t="s">
        <v>47</v>
      </c>
      <c r="N393" t="s">
        <v>48</v>
      </c>
      <c r="O393" t="s">
        <v>48</v>
      </c>
      <c r="P393">
        <v>20.8</v>
      </c>
      <c r="Q393" t="s">
        <v>48</v>
      </c>
      <c r="R393" t="s">
        <v>47</v>
      </c>
      <c r="S393" t="s">
        <v>47</v>
      </c>
      <c r="T393" t="s">
        <v>47</v>
      </c>
      <c r="U393" t="s">
        <v>47</v>
      </c>
      <c r="V393" t="s">
        <v>86</v>
      </c>
      <c r="W393" t="s">
        <v>47</v>
      </c>
      <c r="X393" t="s">
        <v>46</v>
      </c>
      <c r="Y393" t="s">
        <v>47</v>
      </c>
      <c r="Z393" t="s">
        <v>47</v>
      </c>
      <c r="AA393" t="s">
        <v>47</v>
      </c>
      <c r="AB393" t="s">
        <v>47</v>
      </c>
      <c r="AC393" t="s">
        <v>47</v>
      </c>
      <c r="AD393" t="s">
        <v>47</v>
      </c>
      <c r="AE393" t="s">
        <v>47</v>
      </c>
      <c r="AF393" t="s">
        <v>47</v>
      </c>
      <c r="AG393" t="s">
        <v>52</v>
      </c>
      <c r="AH393" t="s">
        <v>53</v>
      </c>
      <c r="AI393" t="s">
        <v>87</v>
      </c>
      <c r="AJ393">
        <v>2.9</v>
      </c>
      <c r="AK393" t="s">
        <v>47</v>
      </c>
      <c r="AL393" t="s">
        <v>76</v>
      </c>
      <c r="AM393" t="s">
        <v>73</v>
      </c>
      <c r="AN393">
        <v>20</v>
      </c>
      <c r="AO393" t="s">
        <v>46</v>
      </c>
    </row>
    <row r="394" spans="1:41">
      <c r="A394" t="s">
        <v>545</v>
      </c>
      <c r="B394">
        <v>2021</v>
      </c>
      <c r="C394" s="1">
        <v>44535</v>
      </c>
      <c r="D394" t="s">
        <v>42</v>
      </c>
      <c r="E394" t="s">
        <v>69</v>
      </c>
      <c r="F394">
        <v>55</v>
      </c>
      <c r="G394" t="s">
        <v>44</v>
      </c>
      <c r="H394" t="s">
        <v>70</v>
      </c>
      <c r="I394">
        <v>0</v>
      </c>
      <c r="J394">
        <v>0</v>
      </c>
      <c r="K394" t="s">
        <v>47</v>
      </c>
      <c r="L394" t="s">
        <v>47</v>
      </c>
      <c r="M394" t="s">
        <v>47</v>
      </c>
      <c r="N394" t="s">
        <v>48</v>
      </c>
      <c r="O394" t="s">
        <v>48</v>
      </c>
      <c r="P394">
        <v>32</v>
      </c>
      <c r="Q394" t="s">
        <v>62</v>
      </c>
      <c r="R394" t="s">
        <v>47</v>
      </c>
      <c r="S394" t="s">
        <v>47</v>
      </c>
      <c r="T394" t="s">
        <v>47</v>
      </c>
      <c r="U394" t="s">
        <v>47</v>
      </c>
      <c r="V394" t="s">
        <v>86</v>
      </c>
      <c r="W394" t="s">
        <v>47</v>
      </c>
      <c r="X394" t="s">
        <v>47</v>
      </c>
      <c r="Y394" t="s">
        <v>47</v>
      </c>
      <c r="Z394" t="s">
        <v>47</v>
      </c>
      <c r="AA394" t="s">
        <v>47</v>
      </c>
      <c r="AB394" t="s">
        <v>47</v>
      </c>
      <c r="AC394" t="s">
        <v>47</v>
      </c>
      <c r="AD394" t="s">
        <v>47</v>
      </c>
      <c r="AE394" t="s">
        <v>47</v>
      </c>
      <c r="AF394" t="s">
        <v>47</v>
      </c>
      <c r="AG394" t="s">
        <v>52</v>
      </c>
      <c r="AH394" t="s">
        <v>53</v>
      </c>
      <c r="AI394" t="s">
        <v>54</v>
      </c>
      <c r="AJ394">
        <v>7.6</v>
      </c>
      <c r="AK394" t="s">
        <v>46</v>
      </c>
      <c r="AL394" t="s">
        <v>66</v>
      </c>
      <c r="AM394" t="s">
        <v>118</v>
      </c>
      <c r="AN394">
        <v>13</v>
      </c>
      <c r="AO394" t="s">
        <v>47</v>
      </c>
    </row>
    <row r="395" spans="1:41">
      <c r="A395" t="s">
        <v>546</v>
      </c>
      <c r="B395">
        <v>2022</v>
      </c>
      <c r="C395" s="1">
        <v>44706</v>
      </c>
      <c r="D395" t="s">
        <v>58</v>
      </c>
      <c r="E395" t="s">
        <v>229</v>
      </c>
      <c r="F395">
        <v>49</v>
      </c>
      <c r="G395" t="s">
        <v>44</v>
      </c>
      <c r="H395" t="s">
        <v>45</v>
      </c>
      <c r="I395">
        <v>42</v>
      </c>
      <c r="J395">
        <v>11</v>
      </c>
      <c r="K395" t="s">
        <v>47</v>
      </c>
      <c r="L395" t="s">
        <v>47</v>
      </c>
      <c r="M395" t="s">
        <v>47</v>
      </c>
      <c r="N395" t="s">
        <v>48</v>
      </c>
      <c r="O395" t="s">
        <v>48</v>
      </c>
      <c r="P395">
        <v>25.1</v>
      </c>
      <c r="Q395" t="s">
        <v>50</v>
      </c>
      <c r="R395" t="s">
        <v>47</v>
      </c>
      <c r="S395" t="s">
        <v>47</v>
      </c>
      <c r="T395" t="s">
        <v>46</v>
      </c>
      <c r="U395" t="s">
        <v>47</v>
      </c>
      <c r="V395" t="s">
        <v>64</v>
      </c>
      <c r="W395" t="s">
        <v>46</v>
      </c>
      <c r="X395" t="s">
        <v>46</v>
      </c>
      <c r="Y395" t="s">
        <v>46</v>
      </c>
      <c r="Z395" t="s">
        <v>47</v>
      </c>
      <c r="AA395" t="s">
        <v>46</v>
      </c>
      <c r="AB395" t="s">
        <v>46</v>
      </c>
      <c r="AC395" t="s">
        <v>47</v>
      </c>
      <c r="AD395" t="s">
        <v>47</v>
      </c>
      <c r="AE395" t="s">
        <v>47</v>
      </c>
      <c r="AF395" t="s">
        <v>47</v>
      </c>
      <c r="AG395" t="s">
        <v>52</v>
      </c>
      <c r="AH395" t="s">
        <v>71</v>
      </c>
      <c r="AI395" t="s">
        <v>65</v>
      </c>
      <c r="AJ395">
        <v>1.8</v>
      </c>
      <c r="AK395" t="s">
        <v>47</v>
      </c>
      <c r="AL395" t="s">
        <v>72</v>
      </c>
      <c r="AM395" t="s">
        <v>73</v>
      </c>
      <c r="AN395">
        <v>40</v>
      </c>
      <c r="AO395" t="s">
        <v>46</v>
      </c>
    </row>
    <row r="396" spans="1:41">
      <c r="A396" t="s">
        <v>547</v>
      </c>
      <c r="B396">
        <v>2018</v>
      </c>
      <c r="C396" s="1">
        <v>43277</v>
      </c>
      <c r="D396" t="s">
        <v>42</v>
      </c>
      <c r="E396" t="s">
        <v>75</v>
      </c>
      <c r="F396">
        <v>62</v>
      </c>
      <c r="G396" t="s">
        <v>44</v>
      </c>
      <c r="H396" t="s">
        <v>45</v>
      </c>
      <c r="I396">
        <v>5</v>
      </c>
      <c r="J396">
        <v>27</v>
      </c>
      <c r="K396" t="s">
        <v>47</v>
      </c>
      <c r="L396" t="s">
        <v>47</v>
      </c>
      <c r="M396" t="s">
        <v>47</v>
      </c>
      <c r="N396" t="s">
        <v>48</v>
      </c>
      <c r="O396" t="s">
        <v>49</v>
      </c>
      <c r="P396">
        <v>25.7</v>
      </c>
      <c r="Q396" t="s">
        <v>62</v>
      </c>
      <c r="R396" t="s">
        <v>47</v>
      </c>
      <c r="S396" t="s">
        <v>47</v>
      </c>
      <c r="T396" t="s">
        <v>47</v>
      </c>
      <c r="U396" t="s">
        <v>47</v>
      </c>
      <c r="V396" t="s">
        <v>51</v>
      </c>
      <c r="W396" t="s">
        <v>47</v>
      </c>
      <c r="X396" t="s">
        <v>46</v>
      </c>
      <c r="Y396" t="s">
        <v>46</v>
      </c>
      <c r="Z396" t="s">
        <v>46</v>
      </c>
      <c r="AA396" t="s">
        <v>47</v>
      </c>
      <c r="AB396" t="s">
        <v>46</v>
      </c>
      <c r="AC396" t="s">
        <v>46</v>
      </c>
      <c r="AD396" t="s">
        <v>47</v>
      </c>
      <c r="AE396" t="s">
        <v>46</v>
      </c>
      <c r="AF396" t="s">
        <v>47</v>
      </c>
      <c r="AG396" t="s">
        <v>52</v>
      </c>
      <c r="AH396" t="s">
        <v>53</v>
      </c>
      <c r="AI396" t="s">
        <v>65</v>
      </c>
      <c r="AJ396">
        <v>2.8</v>
      </c>
      <c r="AK396" t="s">
        <v>47</v>
      </c>
      <c r="AL396" t="s">
        <v>81</v>
      </c>
      <c r="AM396" t="s">
        <v>67</v>
      </c>
      <c r="AN396">
        <v>52</v>
      </c>
      <c r="AO396" t="s">
        <v>47</v>
      </c>
    </row>
    <row r="397" spans="1:41">
      <c r="A397" t="s">
        <v>548</v>
      </c>
      <c r="B397">
        <v>2018</v>
      </c>
      <c r="C397" s="1">
        <v>43247</v>
      </c>
      <c r="D397" t="s">
        <v>58</v>
      </c>
      <c r="E397" t="s">
        <v>150</v>
      </c>
      <c r="F397">
        <v>62</v>
      </c>
      <c r="G397" t="s">
        <v>60</v>
      </c>
      <c r="H397" t="s">
        <v>70</v>
      </c>
      <c r="I397">
        <v>0</v>
      </c>
      <c r="J397">
        <v>0</v>
      </c>
      <c r="K397" t="s">
        <v>46</v>
      </c>
      <c r="L397" t="s">
        <v>47</v>
      </c>
      <c r="M397" t="s">
        <v>46</v>
      </c>
      <c r="N397" t="s">
        <v>48</v>
      </c>
      <c r="O397" t="s">
        <v>49</v>
      </c>
      <c r="P397">
        <v>24.1</v>
      </c>
      <c r="Q397" t="s">
        <v>48</v>
      </c>
      <c r="R397" t="s">
        <v>47</v>
      </c>
      <c r="S397" t="s">
        <v>47</v>
      </c>
      <c r="T397" t="s">
        <v>47</v>
      </c>
      <c r="U397" t="s">
        <v>47</v>
      </c>
      <c r="V397" t="s">
        <v>92</v>
      </c>
      <c r="W397" t="s">
        <v>47</v>
      </c>
      <c r="X397" t="s">
        <v>47</v>
      </c>
      <c r="Y397" t="s">
        <v>47</v>
      </c>
      <c r="Z397" t="s">
        <v>46</v>
      </c>
      <c r="AA397" t="s">
        <v>46</v>
      </c>
      <c r="AB397" t="s">
        <v>47</v>
      </c>
      <c r="AC397" t="s">
        <v>47</v>
      </c>
      <c r="AD397" t="s">
        <v>47</v>
      </c>
      <c r="AE397" t="s">
        <v>47</v>
      </c>
      <c r="AF397" t="s">
        <v>47</v>
      </c>
      <c r="AG397" t="s">
        <v>121</v>
      </c>
      <c r="AH397" t="s">
        <v>122</v>
      </c>
      <c r="AI397" t="s">
        <v>87</v>
      </c>
      <c r="AJ397">
        <v>3.3</v>
      </c>
      <c r="AK397" t="s">
        <v>47</v>
      </c>
      <c r="AL397" t="s">
        <v>76</v>
      </c>
      <c r="AM397" t="s">
        <v>67</v>
      </c>
      <c r="AN397">
        <v>37</v>
      </c>
      <c r="AO397" t="s">
        <v>47</v>
      </c>
    </row>
    <row r="398" spans="1:41">
      <c r="A398" t="s">
        <v>549</v>
      </c>
      <c r="B398">
        <v>2023</v>
      </c>
      <c r="C398" s="1">
        <v>45070</v>
      </c>
      <c r="D398" t="s">
        <v>42</v>
      </c>
      <c r="E398" t="s">
        <v>247</v>
      </c>
      <c r="F398">
        <v>76</v>
      </c>
      <c r="G398" t="s">
        <v>60</v>
      </c>
      <c r="H398" t="s">
        <v>61</v>
      </c>
      <c r="I398">
        <v>9</v>
      </c>
      <c r="J398">
        <v>22</v>
      </c>
      <c r="K398" t="s">
        <v>47</v>
      </c>
      <c r="L398" t="s">
        <v>47</v>
      </c>
      <c r="M398" t="s">
        <v>47</v>
      </c>
      <c r="N398" t="s">
        <v>62</v>
      </c>
      <c r="O398" t="s">
        <v>49</v>
      </c>
      <c r="P398">
        <v>29.3</v>
      </c>
      <c r="Q398" t="s">
        <v>50</v>
      </c>
      <c r="R398" t="s">
        <v>47</v>
      </c>
      <c r="S398" t="s">
        <v>47</v>
      </c>
      <c r="T398" t="s">
        <v>47</v>
      </c>
      <c r="U398" t="s">
        <v>46</v>
      </c>
      <c r="V398" t="s">
        <v>51</v>
      </c>
      <c r="W398" t="s">
        <v>46</v>
      </c>
      <c r="X398" t="s">
        <v>47</v>
      </c>
      <c r="Y398" t="s">
        <v>47</v>
      </c>
      <c r="Z398" t="s">
        <v>47</v>
      </c>
      <c r="AA398" t="s">
        <v>46</v>
      </c>
      <c r="AB398" t="s">
        <v>46</v>
      </c>
      <c r="AC398" t="s">
        <v>46</v>
      </c>
      <c r="AD398" t="s">
        <v>46</v>
      </c>
      <c r="AE398" t="s">
        <v>47</v>
      </c>
      <c r="AF398" t="s">
        <v>47</v>
      </c>
      <c r="AG398" t="s">
        <v>52</v>
      </c>
      <c r="AH398" t="s">
        <v>53</v>
      </c>
      <c r="AI398" t="s">
        <v>65</v>
      </c>
      <c r="AJ398">
        <v>2.1</v>
      </c>
      <c r="AK398" t="s">
        <v>47</v>
      </c>
      <c r="AL398" t="s">
        <v>100</v>
      </c>
      <c r="AM398" t="s">
        <v>73</v>
      </c>
      <c r="AN398">
        <v>93</v>
      </c>
      <c r="AO398" t="s">
        <v>46</v>
      </c>
    </row>
    <row r="399" spans="1:41">
      <c r="A399" t="s">
        <v>550</v>
      </c>
      <c r="B399">
        <v>2018</v>
      </c>
      <c r="C399" s="1">
        <v>43392</v>
      </c>
      <c r="D399" t="s">
        <v>42</v>
      </c>
      <c r="E399" t="s">
        <v>210</v>
      </c>
      <c r="F399">
        <v>60</v>
      </c>
      <c r="G399" t="s">
        <v>60</v>
      </c>
      <c r="H399" t="s">
        <v>70</v>
      </c>
      <c r="I399">
        <v>0</v>
      </c>
      <c r="J399">
        <v>0</v>
      </c>
      <c r="K399" t="s">
        <v>46</v>
      </c>
      <c r="L399" t="s">
        <v>47</v>
      </c>
      <c r="M399" t="s">
        <v>47</v>
      </c>
      <c r="N399" t="s">
        <v>48</v>
      </c>
      <c r="O399" t="s">
        <v>48</v>
      </c>
      <c r="P399">
        <v>27.3</v>
      </c>
      <c r="Q399" t="s">
        <v>62</v>
      </c>
      <c r="R399" t="s">
        <v>46</v>
      </c>
      <c r="S399" t="s">
        <v>47</v>
      </c>
      <c r="T399" t="s">
        <v>47</v>
      </c>
      <c r="U399" t="s">
        <v>47</v>
      </c>
      <c r="V399" t="s">
        <v>92</v>
      </c>
      <c r="W399" t="s">
        <v>47</v>
      </c>
      <c r="X399" t="s">
        <v>47</v>
      </c>
      <c r="Y399" t="s">
        <v>47</v>
      </c>
      <c r="Z399" t="s">
        <v>47</v>
      </c>
      <c r="AA399" t="s">
        <v>46</v>
      </c>
      <c r="AB399" t="s">
        <v>46</v>
      </c>
      <c r="AC399" t="s">
        <v>47</v>
      </c>
      <c r="AD399" t="s">
        <v>47</v>
      </c>
      <c r="AE399" t="s">
        <v>47</v>
      </c>
      <c r="AF399" t="s">
        <v>47</v>
      </c>
      <c r="AG399" t="s">
        <v>52</v>
      </c>
      <c r="AH399" t="s">
        <v>53</v>
      </c>
      <c r="AI399" t="s">
        <v>87</v>
      </c>
      <c r="AJ399">
        <v>3.8</v>
      </c>
      <c r="AK399" t="s">
        <v>47</v>
      </c>
      <c r="AL399" t="s">
        <v>156</v>
      </c>
      <c r="AM399" t="s">
        <v>103</v>
      </c>
      <c r="AN399">
        <v>59</v>
      </c>
      <c r="AO399" t="s">
        <v>46</v>
      </c>
    </row>
    <row r="400" spans="1:41">
      <c r="A400" t="s">
        <v>551</v>
      </c>
      <c r="B400">
        <v>2018</v>
      </c>
      <c r="C400" s="1">
        <v>43174</v>
      </c>
      <c r="D400" t="s">
        <v>95</v>
      </c>
      <c r="E400" t="s">
        <v>147</v>
      </c>
      <c r="F400">
        <v>59</v>
      </c>
      <c r="G400" t="s">
        <v>60</v>
      </c>
      <c r="H400" t="s">
        <v>70</v>
      </c>
      <c r="I400">
        <v>0</v>
      </c>
      <c r="J400">
        <v>0</v>
      </c>
      <c r="K400" t="s">
        <v>46</v>
      </c>
      <c r="L400" t="s">
        <v>47</v>
      </c>
      <c r="M400" t="s">
        <v>46</v>
      </c>
      <c r="N400" t="s">
        <v>62</v>
      </c>
      <c r="O400" t="s">
        <v>63</v>
      </c>
      <c r="P400">
        <v>25.6</v>
      </c>
      <c r="Q400" t="s">
        <v>50</v>
      </c>
      <c r="R400" t="s">
        <v>47</v>
      </c>
      <c r="S400" t="s">
        <v>46</v>
      </c>
      <c r="T400" t="s">
        <v>47</v>
      </c>
      <c r="U400" t="s">
        <v>47</v>
      </c>
      <c r="V400" t="s">
        <v>86</v>
      </c>
      <c r="W400" t="s">
        <v>46</v>
      </c>
      <c r="X400" t="s">
        <v>46</v>
      </c>
      <c r="Y400" t="s">
        <v>47</v>
      </c>
      <c r="Z400" t="s">
        <v>47</v>
      </c>
      <c r="AA400" t="s">
        <v>46</v>
      </c>
      <c r="AB400" t="s">
        <v>47</v>
      </c>
      <c r="AC400" t="s">
        <v>46</v>
      </c>
      <c r="AD400" t="s">
        <v>46</v>
      </c>
      <c r="AE400" t="s">
        <v>46</v>
      </c>
      <c r="AF400" t="s">
        <v>47</v>
      </c>
      <c r="AG400" t="s">
        <v>52</v>
      </c>
      <c r="AH400" t="s">
        <v>53</v>
      </c>
      <c r="AI400" t="s">
        <v>65</v>
      </c>
      <c r="AJ400">
        <v>1.2</v>
      </c>
      <c r="AK400" t="s">
        <v>47</v>
      </c>
      <c r="AL400" t="s">
        <v>72</v>
      </c>
      <c r="AM400" t="s">
        <v>103</v>
      </c>
      <c r="AN400">
        <v>19</v>
      </c>
      <c r="AO400" t="s">
        <v>46</v>
      </c>
    </row>
    <row r="401" spans="1:41">
      <c r="A401" t="s">
        <v>552</v>
      </c>
      <c r="B401">
        <v>2019</v>
      </c>
      <c r="C401" s="1">
        <v>43689</v>
      </c>
      <c r="D401" t="s">
        <v>95</v>
      </c>
      <c r="E401" t="s">
        <v>107</v>
      </c>
      <c r="F401">
        <v>57</v>
      </c>
      <c r="G401" t="s">
        <v>44</v>
      </c>
      <c r="H401" t="s">
        <v>45</v>
      </c>
      <c r="I401">
        <v>20</v>
      </c>
      <c r="J401">
        <v>27</v>
      </c>
      <c r="K401" t="s">
        <v>47</v>
      </c>
      <c r="L401" t="s">
        <v>47</v>
      </c>
      <c r="M401" t="s">
        <v>46</v>
      </c>
      <c r="N401" t="s">
        <v>48</v>
      </c>
      <c r="O401" t="s">
        <v>48</v>
      </c>
      <c r="P401">
        <v>21.2</v>
      </c>
      <c r="Q401" t="s">
        <v>50</v>
      </c>
      <c r="R401" t="s">
        <v>47</v>
      </c>
      <c r="S401" t="s">
        <v>47</v>
      </c>
      <c r="T401" t="s">
        <v>47</v>
      </c>
      <c r="U401" t="s">
        <v>46</v>
      </c>
      <c r="V401" t="s">
        <v>64</v>
      </c>
      <c r="W401" t="s">
        <v>47</v>
      </c>
      <c r="X401" t="s">
        <v>46</v>
      </c>
      <c r="Y401" t="s">
        <v>47</v>
      </c>
      <c r="Z401" t="s">
        <v>46</v>
      </c>
      <c r="AA401" t="s">
        <v>46</v>
      </c>
      <c r="AB401" t="s">
        <v>47</v>
      </c>
      <c r="AC401" t="s">
        <v>46</v>
      </c>
      <c r="AD401" t="s">
        <v>47</v>
      </c>
      <c r="AE401" t="s">
        <v>47</v>
      </c>
      <c r="AF401" t="s">
        <v>47</v>
      </c>
      <c r="AG401" t="s">
        <v>52</v>
      </c>
      <c r="AH401" t="s">
        <v>71</v>
      </c>
      <c r="AI401" t="s">
        <v>80</v>
      </c>
      <c r="AJ401">
        <v>5.9</v>
      </c>
      <c r="AK401" t="s">
        <v>47</v>
      </c>
      <c r="AL401" t="s">
        <v>156</v>
      </c>
      <c r="AM401" t="s">
        <v>56</v>
      </c>
      <c r="AN401">
        <v>14</v>
      </c>
      <c r="AO401" t="s">
        <v>46</v>
      </c>
    </row>
    <row r="402" spans="1:41">
      <c r="A402" t="s">
        <v>553</v>
      </c>
      <c r="B402">
        <v>2018</v>
      </c>
      <c r="C402" s="1">
        <v>43368</v>
      </c>
      <c r="D402" t="s">
        <v>42</v>
      </c>
      <c r="E402" t="s">
        <v>75</v>
      </c>
      <c r="F402">
        <v>74</v>
      </c>
      <c r="G402" t="s">
        <v>44</v>
      </c>
      <c r="H402" t="s">
        <v>70</v>
      </c>
      <c r="I402">
        <v>0</v>
      </c>
      <c r="J402">
        <v>0</v>
      </c>
      <c r="K402" t="s">
        <v>47</v>
      </c>
      <c r="L402" t="s">
        <v>47</v>
      </c>
      <c r="M402" t="s">
        <v>47</v>
      </c>
      <c r="N402" t="s">
        <v>50</v>
      </c>
      <c r="O402" t="s">
        <v>48</v>
      </c>
      <c r="P402">
        <v>23.7</v>
      </c>
      <c r="Q402" t="s">
        <v>62</v>
      </c>
      <c r="R402" t="s">
        <v>47</v>
      </c>
      <c r="S402" t="s">
        <v>47</v>
      </c>
      <c r="T402" t="s">
        <v>47</v>
      </c>
      <c r="U402" t="s">
        <v>47</v>
      </c>
      <c r="V402" t="s">
        <v>86</v>
      </c>
      <c r="W402" t="s">
        <v>47</v>
      </c>
      <c r="X402" t="s">
        <v>46</v>
      </c>
      <c r="Y402" t="s">
        <v>47</v>
      </c>
      <c r="Z402" t="s">
        <v>47</v>
      </c>
      <c r="AA402" t="s">
        <v>46</v>
      </c>
      <c r="AB402" t="s">
        <v>47</v>
      </c>
      <c r="AC402" t="s">
        <v>47</v>
      </c>
      <c r="AD402" t="s">
        <v>46</v>
      </c>
      <c r="AE402" t="s">
        <v>47</v>
      </c>
      <c r="AF402" t="s">
        <v>46</v>
      </c>
      <c r="AG402" t="s">
        <v>52</v>
      </c>
      <c r="AH402" t="s">
        <v>53</v>
      </c>
      <c r="AI402" t="s">
        <v>80</v>
      </c>
      <c r="AJ402">
        <v>7.1</v>
      </c>
      <c r="AK402" t="s">
        <v>47</v>
      </c>
      <c r="AL402" t="s">
        <v>76</v>
      </c>
      <c r="AM402" t="s">
        <v>77</v>
      </c>
      <c r="AN402">
        <v>11</v>
      </c>
      <c r="AO402" t="s">
        <v>47</v>
      </c>
    </row>
    <row r="403" spans="1:41">
      <c r="A403" t="s">
        <v>554</v>
      </c>
      <c r="B403">
        <v>2019</v>
      </c>
      <c r="C403" s="1">
        <v>43661</v>
      </c>
      <c r="D403" t="s">
        <v>110</v>
      </c>
      <c r="E403" t="s">
        <v>111</v>
      </c>
      <c r="F403">
        <v>68</v>
      </c>
      <c r="G403" t="s">
        <v>60</v>
      </c>
      <c r="H403" t="s">
        <v>70</v>
      </c>
      <c r="I403">
        <v>0</v>
      </c>
      <c r="J403">
        <v>0</v>
      </c>
      <c r="K403" t="s">
        <v>46</v>
      </c>
      <c r="L403" t="s">
        <v>47</v>
      </c>
      <c r="M403" t="s">
        <v>47</v>
      </c>
      <c r="N403" t="s">
        <v>62</v>
      </c>
      <c r="O403" t="s">
        <v>49</v>
      </c>
      <c r="P403">
        <v>24</v>
      </c>
      <c r="Q403" t="s">
        <v>48</v>
      </c>
      <c r="R403" t="s">
        <v>47</v>
      </c>
      <c r="S403" t="s">
        <v>47</v>
      </c>
      <c r="T403" t="s">
        <v>47</v>
      </c>
      <c r="U403" t="s">
        <v>47</v>
      </c>
      <c r="V403" t="s">
        <v>86</v>
      </c>
      <c r="W403" t="s">
        <v>47</v>
      </c>
      <c r="X403" t="s">
        <v>47</v>
      </c>
      <c r="Y403" t="s">
        <v>47</v>
      </c>
      <c r="Z403" t="s">
        <v>47</v>
      </c>
      <c r="AA403" t="s">
        <v>46</v>
      </c>
      <c r="AB403" t="s">
        <v>47</v>
      </c>
      <c r="AC403" t="s">
        <v>47</v>
      </c>
      <c r="AD403" t="s">
        <v>47</v>
      </c>
      <c r="AE403" t="s">
        <v>47</v>
      </c>
      <c r="AF403" t="s">
        <v>47</v>
      </c>
      <c r="AG403" t="s">
        <v>52</v>
      </c>
      <c r="AH403" t="s">
        <v>71</v>
      </c>
      <c r="AI403" t="s">
        <v>80</v>
      </c>
      <c r="AJ403">
        <v>6.8</v>
      </c>
      <c r="AK403" t="s">
        <v>46</v>
      </c>
      <c r="AL403" t="s">
        <v>76</v>
      </c>
      <c r="AM403" t="s">
        <v>77</v>
      </c>
      <c r="AN403">
        <v>18</v>
      </c>
      <c r="AO403" t="s">
        <v>47</v>
      </c>
    </row>
    <row r="404" spans="1:41">
      <c r="A404" t="s">
        <v>555</v>
      </c>
      <c r="B404">
        <v>2021</v>
      </c>
      <c r="C404" s="1">
        <v>44309</v>
      </c>
      <c r="D404" t="s">
        <v>95</v>
      </c>
      <c r="E404" t="s">
        <v>132</v>
      </c>
      <c r="F404">
        <v>55</v>
      </c>
      <c r="G404" t="s">
        <v>44</v>
      </c>
      <c r="H404" t="s">
        <v>70</v>
      </c>
      <c r="I404">
        <v>0</v>
      </c>
      <c r="J404">
        <v>0</v>
      </c>
      <c r="K404" t="s">
        <v>47</v>
      </c>
      <c r="L404" t="s">
        <v>47</v>
      </c>
      <c r="M404" t="s">
        <v>47</v>
      </c>
      <c r="N404" t="s">
        <v>62</v>
      </c>
      <c r="O404" t="s">
        <v>49</v>
      </c>
      <c r="P404">
        <v>25.1</v>
      </c>
      <c r="Q404" t="s">
        <v>50</v>
      </c>
      <c r="R404" t="s">
        <v>47</v>
      </c>
      <c r="S404" t="s">
        <v>47</v>
      </c>
      <c r="T404" t="s">
        <v>47</v>
      </c>
      <c r="U404" t="s">
        <v>47</v>
      </c>
      <c r="V404" t="s">
        <v>86</v>
      </c>
      <c r="W404" t="s">
        <v>47</v>
      </c>
      <c r="X404" t="s">
        <v>47</v>
      </c>
      <c r="Y404" t="s">
        <v>47</v>
      </c>
      <c r="Z404" t="s">
        <v>46</v>
      </c>
      <c r="AA404" t="s">
        <v>46</v>
      </c>
      <c r="AB404" t="s">
        <v>47</v>
      </c>
      <c r="AC404" t="s">
        <v>47</v>
      </c>
      <c r="AD404" t="s">
        <v>47</v>
      </c>
      <c r="AE404" t="s">
        <v>46</v>
      </c>
      <c r="AF404" t="s">
        <v>47</v>
      </c>
      <c r="AG404" t="s">
        <v>52</v>
      </c>
      <c r="AH404" t="s">
        <v>53</v>
      </c>
      <c r="AI404" t="s">
        <v>54</v>
      </c>
      <c r="AJ404">
        <v>8.6</v>
      </c>
      <c r="AK404" t="s">
        <v>46</v>
      </c>
      <c r="AL404" t="s">
        <v>76</v>
      </c>
      <c r="AM404" t="s">
        <v>77</v>
      </c>
      <c r="AN404">
        <v>4</v>
      </c>
      <c r="AO404" t="s">
        <v>47</v>
      </c>
    </row>
    <row r="405" spans="1:41">
      <c r="A405" t="s">
        <v>556</v>
      </c>
      <c r="B405">
        <v>2018</v>
      </c>
      <c r="C405" s="1">
        <v>43386</v>
      </c>
      <c r="D405" t="s">
        <v>98</v>
      </c>
      <c r="E405" t="s">
        <v>212</v>
      </c>
      <c r="F405">
        <v>69</v>
      </c>
      <c r="G405" t="s">
        <v>60</v>
      </c>
      <c r="H405" t="s">
        <v>70</v>
      </c>
      <c r="I405">
        <v>0</v>
      </c>
      <c r="J405">
        <v>0</v>
      </c>
      <c r="K405" t="s">
        <v>47</v>
      </c>
      <c r="L405" t="s">
        <v>47</v>
      </c>
      <c r="M405" t="s">
        <v>46</v>
      </c>
      <c r="N405" t="s">
        <v>62</v>
      </c>
      <c r="O405" t="s">
        <v>48</v>
      </c>
      <c r="P405">
        <v>23.6</v>
      </c>
      <c r="Q405" t="s">
        <v>48</v>
      </c>
      <c r="R405" t="s">
        <v>47</v>
      </c>
      <c r="S405" t="s">
        <v>47</v>
      </c>
      <c r="T405" t="s">
        <v>47</v>
      </c>
      <c r="U405" t="s">
        <v>47</v>
      </c>
      <c r="V405" t="s">
        <v>117</v>
      </c>
      <c r="W405" t="s">
        <v>46</v>
      </c>
      <c r="X405" t="s">
        <v>47</v>
      </c>
      <c r="Y405" t="s">
        <v>46</v>
      </c>
      <c r="Z405" t="s">
        <v>46</v>
      </c>
      <c r="AA405" t="s">
        <v>46</v>
      </c>
      <c r="AB405" t="s">
        <v>47</v>
      </c>
      <c r="AC405" t="s">
        <v>47</v>
      </c>
      <c r="AD405" t="s">
        <v>47</v>
      </c>
      <c r="AE405" t="s">
        <v>47</v>
      </c>
      <c r="AF405" t="s">
        <v>47</v>
      </c>
      <c r="AG405" t="s">
        <v>52</v>
      </c>
      <c r="AH405" t="s">
        <v>53</v>
      </c>
      <c r="AI405" t="s">
        <v>87</v>
      </c>
      <c r="AJ405">
        <v>2</v>
      </c>
      <c r="AK405" t="s">
        <v>47</v>
      </c>
      <c r="AL405" t="s">
        <v>55</v>
      </c>
      <c r="AM405" t="s">
        <v>82</v>
      </c>
      <c r="AN405">
        <v>59</v>
      </c>
      <c r="AO405" t="s">
        <v>47</v>
      </c>
    </row>
    <row r="406" spans="1:41">
      <c r="A406" t="s">
        <v>557</v>
      </c>
      <c r="B406">
        <v>2025</v>
      </c>
      <c r="C406" s="1">
        <v>45840</v>
      </c>
      <c r="D406" t="s">
        <v>42</v>
      </c>
      <c r="E406" t="s">
        <v>136</v>
      </c>
      <c r="F406">
        <v>68</v>
      </c>
      <c r="G406" t="s">
        <v>44</v>
      </c>
      <c r="H406" t="s">
        <v>70</v>
      </c>
      <c r="I406">
        <v>0</v>
      </c>
      <c r="J406">
        <v>0</v>
      </c>
      <c r="K406" t="s">
        <v>47</v>
      </c>
      <c r="L406" t="s">
        <v>47</v>
      </c>
      <c r="M406" t="s">
        <v>47</v>
      </c>
      <c r="N406" t="s">
        <v>62</v>
      </c>
      <c r="O406" t="s">
        <v>49</v>
      </c>
      <c r="P406">
        <v>24.6</v>
      </c>
      <c r="Q406" t="s">
        <v>48</v>
      </c>
      <c r="R406" t="s">
        <v>47</v>
      </c>
      <c r="S406" t="s">
        <v>47</v>
      </c>
      <c r="T406" t="s">
        <v>47</v>
      </c>
      <c r="U406" t="s">
        <v>47</v>
      </c>
      <c r="V406" t="s">
        <v>92</v>
      </c>
      <c r="W406" t="s">
        <v>47</v>
      </c>
      <c r="X406" t="s">
        <v>46</v>
      </c>
      <c r="Y406" t="s">
        <v>47</v>
      </c>
      <c r="Z406" t="s">
        <v>47</v>
      </c>
      <c r="AA406" t="s">
        <v>47</v>
      </c>
      <c r="AB406" t="s">
        <v>46</v>
      </c>
      <c r="AC406" t="s">
        <v>47</v>
      </c>
      <c r="AD406" t="s">
        <v>47</v>
      </c>
      <c r="AE406" t="s">
        <v>47</v>
      </c>
      <c r="AF406" t="s">
        <v>46</v>
      </c>
      <c r="AG406" t="s">
        <v>52</v>
      </c>
      <c r="AH406" t="s">
        <v>71</v>
      </c>
      <c r="AI406" t="s">
        <v>65</v>
      </c>
      <c r="AJ406">
        <v>2.2999999999999998</v>
      </c>
      <c r="AK406" t="s">
        <v>47</v>
      </c>
      <c r="AL406" t="s">
        <v>72</v>
      </c>
      <c r="AM406" t="s">
        <v>67</v>
      </c>
      <c r="AN406">
        <v>84</v>
      </c>
      <c r="AO406" t="s">
        <v>47</v>
      </c>
    </row>
    <row r="407" spans="1:41">
      <c r="A407" t="s">
        <v>558</v>
      </c>
      <c r="B407">
        <v>2025</v>
      </c>
      <c r="C407" s="1">
        <v>46007</v>
      </c>
      <c r="D407" t="s">
        <v>58</v>
      </c>
      <c r="E407" t="s">
        <v>229</v>
      </c>
      <c r="F407">
        <v>52</v>
      </c>
      <c r="G407" t="s">
        <v>60</v>
      </c>
      <c r="H407" t="s">
        <v>70</v>
      </c>
      <c r="I407">
        <v>0</v>
      </c>
      <c r="J407">
        <v>0</v>
      </c>
      <c r="K407" t="s">
        <v>46</v>
      </c>
      <c r="L407" t="s">
        <v>46</v>
      </c>
      <c r="M407" t="s">
        <v>47</v>
      </c>
      <c r="N407" t="s">
        <v>48</v>
      </c>
      <c r="O407" t="s">
        <v>48</v>
      </c>
      <c r="P407">
        <v>28.3</v>
      </c>
      <c r="Q407" t="s">
        <v>48</v>
      </c>
      <c r="R407" t="s">
        <v>47</v>
      </c>
      <c r="S407" t="s">
        <v>47</v>
      </c>
      <c r="T407" t="s">
        <v>47</v>
      </c>
      <c r="U407" t="s">
        <v>47</v>
      </c>
      <c r="V407" t="s">
        <v>86</v>
      </c>
      <c r="W407" t="s">
        <v>47</v>
      </c>
      <c r="X407" t="s">
        <v>47</v>
      </c>
      <c r="Y407" t="s">
        <v>47</v>
      </c>
      <c r="Z407" t="s">
        <v>46</v>
      </c>
      <c r="AA407" t="s">
        <v>47</v>
      </c>
      <c r="AB407" t="s">
        <v>47</v>
      </c>
      <c r="AC407" t="s">
        <v>47</v>
      </c>
      <c r="AD407" t="s">
        <v>47</v>
      </c>
      <c r="AE407" t="s">
        <v>47</v>
      </c>
      <c r="AF407" t="s">
        <v>47</v>
      </c>
      <c r="AG407" t="s">
        <v>52</v>
      </c>
      <c r="AH407" t="s">
        <v>53</v>
      </c>
      <c r="AI407" t="s">
        <v>80</v>
      </c>
      <c r="AJ407">
        <v>7.6</v>
      </c>
      <c r="AK407" t="s">
        <v>47</v>
      </c>
      <c r="AL407" t="s">
        <v>156</v>
      </c>
      <c r="AM407" t="s">
        <v>56</v>
      </c>
      <c r="AN407">
        <v>22</v>
      </c>
      <c r="AO407" t="s">
        <v>47</v>
      </c>
    </row>
    <row r="408" spans="1:41">
      <c r="A408" t="s">
        <v>559</v>
      </c>
      <c r="B408">
        <v>2019</v>
      </c>
      <c r="C408" s="1">
        <v>43668</v>
      </c>
      <c r="D408" t="s">
        <v>42</v>
      </c>
      <c r="E408" t="s">
        <v>166</v>
      </c>
      <c r="F408">
        <v>61</v>
      </c>
      <c r="G408" t="s">
        <v>60</v>
      </c>
      <c r="H408" t="s">
        <v>45</v>
      </c>
      <c r="I408">
        <v>36</v>
      </c>
      <c r="J408">
        <v>17</v>
      </c>
      <c r="K408" t="s">
        <v>47</v>
      </c>
      <c r="L408" t="s">
        <v>47</v>
      </c>
      <c r="M408" t="s">
        <v>47</v>
      </c>
      <c r="N408" t="s">
        <v>50</v>
      </c>
      <c r="O408" t="s">
        <v>48</v>
      </c>
      <c r="P408">
        <v>24.9</v>
      </c>
      <c r="Q408" t="s">
        <v>62</v>
      </c>
      <c r="R408" t="s">
        <v>47</v>
      </c>
      <c r="S408" t="s">
        <v>47</v>
      </c>
      <c r="T408" t="s">
        <v>47</v>
      </c>
      <c r="U408" t="s">
        <v>47</v>
      </c>
      <c r="V408" t="s">
        <v>64</v>
      </c>
      <c r="W408" t="s">
        <v>46</v>
      </c>
      <c r="X408" t="s">
        <v>47</v>
      </c>
      <c r="Y408" t="s">
        <v>47</v>
      </c>
      <c r="Z408" t="s">
        <v>47</v>
      </c>
      <c r="AA408" t="s">
        <v>46</v>
      </c>
      <c r="AB408" t="s">
        <v>46</v>
      </c>
      <c r="AC408" t="s">
        <v>46</v>
      </c>
      <c r="AD408" t="s">
        <v>47</v>
      </c>
      <c r="AE408" t="s">
        <v>46</v>
      </c>
      <c r="AF408" t="s">
        <v>47</v>
      </c>
      <c r="AG408" t="s">
        <v>52</v>
      </c>
      <c r="AH408" t="s">
        <v>71</v>
      </c>
      <c r="AI408" t="s">
        <v>54</v>
      </c>
      <c r="AJ408">
        <v>9.8000000000000007</v>
      </c>
      <c r="AK408" t="s">
        <v>46</v>
      </c>
      <c r="AL408" t="s">
        <v>100</v>
      </c>
      <c r="AM408" t="s">
        <v>82</v>
      </c>
      <c r="AN408">
        <v>8</v>
      </c>
      <c r="AO408" t="s">
        <v>47</v>
      </c>
    </row>
    <row r="409" spans="1:41">
      <c r="A409" t="s">
        <v>560</v>
      </c>
      <c r="B409">
        <v>2022</v>
      </c>
      <c r="C409" s="1">
        <v>44775</v>
      </c>
      <c r="D409" t="s">
        <v>58</v>
      </c>
      <c r="E409" t="s">
        <v>142</v>
      </c>
      <c r="F409">
        <v>66</v>
      </c>
      <c r="G409" t="s">
        <v>44</v>
      </c>
      <c r="H409" t="s">
        <v>70</v>
      </c>
      <c r="I409">
        <v>0</v>
      </c>
      <c r="J409">
        <v>0</v>
      </c>
      <c r="K409" t="s">
        <v>46</v>
      </c>
      <c r="L409" t="s">
        <v>47</v>
      </c>
      <c r="M409" t="s">
        <v>47</v>
      </c>
      <c r="N409" t="s">
        <v>48</v>
      </c>
      <c r="O409" t="s">
        <v>63</v>
      </c>
      <c r="P409">
        <v>22.9</v>
      </c>
      <c r="Q409" t="s">
        <v>50</v>
      </c>
      <c r="R409" t="s">
        <v>47</v>
      </c>
      <c r="S409" t="s">
        <v>47</v>
      </c>
      <c r="T409" t="s">
        <v>47</v>
      </c>
      <c r="U409" t="s">
        <v>47</v>
      </c>
      <c r="V409" t="s">
        <v>64</v>
      </c>
      <c r="W409" t="s">
        <v>46</v>
      </c>
      <c r="X409" t="s">
        <v>47</v>
      </c>
      <c r="Y409" t="s">
        <v>47</v>
      </c>
      <c r="Z409" t="s">
        <v>47</v>
      </c>
      <c r="AA409" t="s">
        <v>47</v>
      </c>
      <c r="AB409" t="s">
        <v>47</v>
      </c>
      <c r="AC409" t="s">
        <v>47</v>
      </c>
      <c r="AD409" t="s">
        <v>47</v>
      </c>
      <c r="AE409" t="s">
        <v>46</v>
      </c>
      <c r="AF409" t="s">
        <v>47</v>
      </c>
      <c r="AG409" t="s">
        <v>52</v>
      </c>
      <c r="AH409" t="s">
        <v>53</v>
      </c>
      <c r="AI409" t="s">
        <v>54</v>
      </c>
      <c r="AJ409">
        <v>6.8</v>
      </c>
      <c r="AK409" t="s">
        <v>46</v>
      </c>
      <c r="AL409" t="s">
        <v>66</v>
      </c>
      <c r="AM409" t="s">
        <v>56</v>
      </c>
      <c r="AN409">
        <v>4</v>
      </c>
      <c r="AO409" t="s">
        <v>47</v>
      </c>
    </row>
    <row r="410" spans="1:41">
      <c r="A410" t="s">
        <v>561</v>
      </c>
      <c r="B410">
        <v>2015</v>
      </c>
      <c r="C410" s="1">
        <v>42266</v>
      </c>
      <c r="D410" t="s">
        <v>42</v>
      </c>
      <c r="E410" t="s">
        <v>136</v>
      </c>
      <c r="F410">
        <v>62</v>
      </c>
      <c r="G410" t="s">
        <v>60</v>
      </c>
      <c r="H410" t="s">
        <v>70</v>
      </c>
      <c r="I410">
        <v>0</v>
      </c>
      <c r="J410">
        <v>0</v>
      </c>
      <c r="K410" t="s">
        <v>47</v>
      </c>
      <c r="L410" t="s">
        <v>47</v>
      </c>
      <c r="M410" t="s">
        <v>47</v>
      </c>
      <c r="N410" t="s">
        <v>48</v>
      </c>
      <c r="O410" t="s">
        <v>49</v>
      </c>
      <c r="P410">
        <v>26.8</v>
      </c>
      <c r="Q410" t="s">
        <v>48</v>
      </c>
      <c r="R410" t="s">
        <v>47</v>
      </c>
      <c r="S410" t="s">
        <v>47</v>
      </c>
      <c r="T410" t="s">
        <v>47</v>
      </c>
      <c r="U410" t="s">
        <v>47</v>
      </c>
      <c r="V410" t="s">
        <v>64</v>
      </c>
      <c r="W410" t="s">
        <v>46</v>
      </c>
      <c r="X410" t="s">
        <v>47</v>
      </c>
      <c r="Y410" t="s">
        <v>47</v>
      </c>
      <c r="Z410" t="s">
        <v>46</v>
      </c>
      <c r="AA410" t="s">
        <v>47</v>
      </c>
      <c r="AB410" t="s">
        <v>47</v>
      </c>
      <c r="AC410" t="s">
        <v>46</v>
      </c>
      <c r="AD410" t="s">
        <v>47</v>
      </c>
      <c r="AE410" t="s">
        <v>47</v>
      </c>
      <c r="AF410" t="s">
        <v>47</v>
      </c>
      <c r="AG410" t="s">
        <v>52</v>
      </c>
      <c r="AH410" t="s">
        <v>53</v>
      </c>
      <c r="AI410" t="s">
        <v>54</v>
      </c>
      <c r="AJ410">
        <v>9.6999999999999993</v>
      </c>
      <c r="AK410" t="s">
        <v>46</v>
      </c>
      <c r="AL410" t="s">
        <v>66</v>
      </c>
      <c r="AM410" t="s">
        <v>56</v>
      </c>
      <c r="AN410">
        <v>10</v>
      </c>
      <c r="AO410" t="s">
        <v>47</v>
      </c>
    </row>
    <row r="411" spans="1:41">
      <c r="A411" t="s">
        <v>562</v>
      </c>
      <c r="B411">
        <v>2021</v>
      </c>
      <c r="C411" s="1">
        <v>44255</v>
      </c>
      <c r="D411" t="s">
        <v>58</v>
      </c>
      <c r="E411" t="s">
        <v>252</v>
      </c>
      <c r="F411">
        <v>64</v>
      </c>
      <c r="G411" t="s">
        <v>44</v>
      </c>
      <c r="H411" t="s">
        <v>61</v>
      </c>
      <c r="I411">
        <v>15</v>
      </c>
      <c r="J411">
        <v>8</v>
      </c>
      <c r="K411" t="s">
        <v>47</v>
      </c>
      <c r="L411" t="s">
        <v>47</v>
      </c>
      <c r="M411" t="s">
        <v>47</v>
      </c>
      <c r="N411" t="s">
        <v>62</v>
      </c>
      <c r="O411" t="s">
        <v>63</v>
      </c>
      <c r="P411">
        <v>28.4</v>
      </c>
      <c r="Q411" t="s">
        <v>50</v>
      </c>
      <c r="R411" t="s">
        <v>46</v>
      </c>
      <c r="S411" t="s">
        <v>47</v>
      </c>
      <c r="T411" t="s">
        <v>47</v>
      </c>
      <c r="U411" t="s">
        <v>47</v>
      </c>
      <c r="V411" t="s">
        <v>151</v>
      </c>
      <c r="W411" t="s">
        <v>46</v>
      </c>
      <c r="X411" t="s">
        <v>46</v>
      </c>
      <c r="Y411" t="s">
        <v>47</v>
      </c>
      <c r="Z411" t="s">
        <v>47</v>
      </c>
      <c r="AA411" t="s">
        <v>46</v>
      </c>
      <c r="AB411" t="s">
        <v>46</v>
      </c>
      <c r="AC411" t="s">
        <v>47</v>
      </c>
      <c r="AD411" t="s">
        <v>47</v>
      </c>
      <c r="AE411" t="s">
        <v>47</v>
      </c>
      <c r="AF411" t="s">
        <v>47</v>
      </c>
      <c r="AG411" t="s">
        <v>121</v>
      </c>
      <c r="AH411" t="s">
        <v>122</v>
      </c>
      <c r="AI411" t="s">
        <v>80</v>
      </c>
      <c r="AJ411">
        <v>3</v>
      </c>
      <c r="AK411" t="s">
        <v>47</v>
      </c>
      <c r="AL411" t="s">
        <v>81</v>
      </c>
      <c r="AM411" t="s">
        <v>118</v>
      </c>
      <c r="AN411">
        <v>14</v>
      </c>
      <c r="AO411" t="s">
        <v>47</v>
      </c>
    </row>
    <row r="412" spans="1:41">
      <c r="A412" t="s">
        <v>563</v>
      </c>
      <c r="B412">
        <v>2024</v>
      </c>
      <c r="C412" s="1">
        <v>45339</v>
      </c>
      <c r="D412" t="s">
        <v>42</v>
      </c>
      <c r="E412" t="s">
        <v>210</v>
      </c>
      <c r="F412">
        <v>49</v>
      </c>
      <c r="G412" t="s">
        <v>44</v>
      </c>
      <c r="H412" t="s">
        <v>45</v>
      </c>
      <c r="I412">
        <v>24</v>
      </c>
      <c r="J412">
        <v>16</v>
      </c>
      <c r="K412" t="s">
        <v>47</v>
      </c>
      <c r="L412" t="s">
        <v>46</v>
      </c>
      <c r="M412" t="s">
        <v>47</v>
      </c>
      <c r="N412" t="s">
        <v>48</v>
      </c>
      <c r="O412" t="s">
        <v>63</v>
      </c>
      <c r="P412">
        <v>17.600000000000001</v>
      </c>
      <c r="Q412" t="s">
        <v>48</v>
      </c>
      <c r="R412" t="s">
        <v>46</v>
      </c>
      <c r="S412" t="s">
        <v>47</v>
      </c>
      <c r="T412" t="s">
        <v>47</v>
      </c>
      <c r="U412" t="s">
        <v>47</v>
      </c>
      <c r="V412" t="s">
        <v>151</v>
      </c>
      <c r="W412" t="s">
        <v>46</v>
      </c>
      <c r="X412" t="s">
        <v>46</v>
      </c>
      <c r="Y412" t="s">
        <v>47</v>
      </c>
      <c r="Z412" t="s">
        <v>46</v>
      </c>
      <c r="AA412" t="s">
        <v>46</v>
      </c>
      <c r="AB412" t="s">
        <v>47</v>
      </c>
      <c r="AC412" t="s">
        <v>46</v>
      </c>
      <c r="AD412" t="s">
        <v>47</v>
      </c>
      <c r="AE412" t="s">
        <v>47</v>
      </c>
      <c r="AF412" t="s">
        <v>47</v>
      </c>
      <c r="AG412" t="s">
        <v>52</v>
      </c>
      <c r="AH412" t="s">
        <v>53</v>
      </c>
      <c r="AI412" t="s">
        <v>65</v>
      </c>
      <c r="AJ412">
        <v>3.1</v>
      </c>
      <c r="AK412" t="s">
        <v>47</v>
      </c>
      <c r="AL412" t="s">
        <v>156</v>
      </c>
      <c r="AM412" t="s">
        <v>67</v>
      </c>
      <c r="AN412">
        <v>80</v>
      </c>
      <c r="AO412" t="s">
        <v>46</v>
      </c>
    </row>
    <row r="413" spans="1:41">
      <c r="A413" t="s">
        <v>564</v>
      </c>
      <c r="B413">
        <v>2024</v>
      </c>
      <c r="C413" s="1">
        <v>45315</v>
      </c>
      <c r="D413" t="s">
        <v>95</v>
      </c>
      <c r="E413" t="s">
        <v>105</v>
      </c>
      <c r="F413">
        <v>74</v>
      </c>
      <c r="G413" t="s">
        <v>60</v>
      </c>
      <c r="H413" t="s">
        <v>70</v>
      </c>
      <c r="I413">
        <v>0</v>
      </c>
      <c r="J413">
        <v>0</v>
      </c>
      <c r="K413" t="s">
        <v>47</v>
      </c>
      <c r="L413" t="s">
        <v>47</v>
      </c>
      <c r="M413" t="s">
        <v>47</v>
      </c>
      <c r="N413" t="s">
        <v>48</v>
      </c>
      <c r="O413" t="s">
        <v>49</v>
      </c>
      <c r="P413">
        <v>24.3</v>
      </c>
      <c r="Q413" t="s">
        <v>62</v>
      </c>
      <c r="R413" t="s">
        <v>47</v>
      </c>
      <c r="S413" t="s">
        <v>47</v>
      </c>
      <c r="T413" t="s">
        <v>47</v>
      </c>
      <c r="U413" t="s">
        <v>47</v>
      </c>
      <c r="V413" t="s">
        <v>117</v>
      </c>
      <c r="W413" t="s">
        <v>46</v>
      </c>
      <c r="X413" t="s">
        <v>47</v>
      </c>
      <c r="Y413" t="s">
        <v>47</v>
      </c>
      <c r="Z413" t="s">
        <v>47</v>
      </c>
      <c r="AA413" t="s">
        <v>47</v>
      </c>
      <c r="AB413" t="s">
        <v>46</v>
      </c>
      <c r="AC413" t="s">
        <v>46</v>
      </c>
      <c r="AD413" t="s">
        <v>47</v>
      </c>
      <c r="AE413" t="s">
        <v>47</v>
      </c>
      <c r="AF413" t="s">
        <v>47</v>
      </c>
      <c r="AG413" t="s">
        <v>52</v>
      </c>
      <c r="AH413" t="s">
        <v>71</v>
      </c>
      <c r="AI413" t="s">
        <v>54</v>
      </c>
      <c r="AJ413">
        <v>7.3</v>
      </c>
      <c r="AK413" t="s">
        <v>46</v>
      </c>
      <c r="AL413" t="s">
        <v>100</v>
      </c>
      <c r="AM413" t="s">
        <v>77</v>
      </c>
      <c r="AN413">
        <v>3</v>
      </c>
      <c r="AO413" t="s">
        <v>47</v>
      </c>
    </row>
    <row r="414" spans="1:41">
      <c r="A414" t="s">
        <v>565</v>
      </c>
      <c r="B414">
        <v>2018</v>
      </c>
      <c r="C414" s="1">
        <v>43309</v>
      </c>
      <c r="D414" t="s">
        <v>95</v>
      </c>
      <c r="E414" t="s">
        <v>105</v>
      </c>
      <c r="F414">
        <v>63</v>
      </c>
      <c r="G414" t="s">
        <v>60</v>
      </c>
      <c r="H414" t="s">
        <v>70</v>
      </c>
      <c r="I414">
        <v>0</v>
      </c>
      <c r="J414">
        <v>0</v>
      </c>
      <c r="K414" t="s">
        <v>47</v>
      </c>
      <c r="L414" t="s">
        <v>47</v>
      </c>
      <c r="M414" t="s">
        <v>46</v>
      </c>
      <c r="N414" t="s">
        <v>50</v>
      </c>
      <c r="O414" t="s">
        <v>49</v>
      </c>
      <c r="P414">
        <v>25.6</v>
      </c>
      <c r="Q414" t="s">
        <v>62</v>
      </c>
      <c r="R414" t="s">
        <v>47</v>
      </c>
      <c r="S414" t="s">
        <v>47</v>
      </c>
      <c r="T414" t="s">
        <v>47</v>
      </c>
      <c r="U414" t="s">
        <v>47</v>
      </c>
      <c r="V414" t="s">
        <v>193</v>
      </c>
      <c r="W414" t="s">
        <v>47</v>
      </c>
      <c r="X414" t="s">
        <v>46</v>
      </c>
      <c r="Y414" t="s">
        <v>46</v>
      </c>
      <c r="Z414" t="s">
        <v>47</v>
      </c>
      <c r="AA414" t="s">
        <v>47</v>
      </c>
      <c r="AB414" t="s">
        <v>47</v>
      </c>
      <c r="AC414" t="s">
        <v>47</v>
      </c>
      <c r="AD414" t="s">
        <v>47</v>
      </c>
      <c r="AE414" t="s">
        <v>47</v>
      </c>
      <c r="AF414" t="s">
        <v>47</v>
      </c>
      <c r="AG414" t="s">
        <v>52</v>
      </c>
      <c r="AH414" t="s">
        <v>90</v>
      </c>
      <c r="AI414" t="s">
        <v>65</v>
      </c>
      <c r="AJ414">
        <v>1.8</v>
      </c>
      <c r="AK414" t="s">
        <v>47</v>
      </c>
      <c r="AL414" t="s">
        <v>76</v>
      </c>
      <c r="AM414" t="s">
        <v>67</v>
      </c>
      <c r="AN414">
        <v>81</v>
      </c>
      <c r="AO414" t="s">
        <v>47</v>
      </c>
    </row>
    <row r="415" spans="1:41">
      <c r="A415" t="s">
        <v>566</v>
      </c>
      <c r="B415">
        <v>2021</v>
      </c>
      <c r="C415" s="1">
        <v>44243</v>
      </c>
      <c r="D415" t="s">
        <v>110</v>
      </c>
      <c r="E415" t="s">
        <v>410</v>
      </c>
      <c r="F415">
        <v>61</v>
      </c>
      <c r="G415" t="s">
        <v>60</v>
      </c>
      <c r="H415" t="s">
        <v>70</v>
      </c>
      <c r="I415">
        <v>0</v>
      </c>
      <c r="J415">
        <v>0</v>
      </c>
      <c r="K415" t="s">
        <v>47</v>
      </c>
      <c r="L415" t="s">
        <v>47</v>
      </c>
      <c r="M415" t="s">
        <v>47</v>
      </c>
      <c r="N415" t="s">
        <v>50</v>
      </c>
      <c r="O415" t="s">
        <v>48</v>
      </c>
      <c r="P415">
        <v>22.7</v>
      </c>
      <c r="Q415" t="s">
        <v>50</v>
      </c>
      <c r="R415" t="s">
        <v>47</v>
      </c>
      <c r="S415" t="s">
        <v>47</v>
      </c>
      <c r="T415" t="s">
        <v>47</v>
      </c>
      <c r="U415" t="s">
        <v>47</v>
      </c>
      <c r="V415" t="s">
        <v>51</v>
      </c>
      <c r="W415" t="s">
        <v>46</v>
      </c>
      <c r="X415" t="s">
        <v>46</v>
      </c>
      <c r="Y415" t="s">
        <v>47</v>
      </c>
      <c r="Z415" t="s">
        <v>47</v>
      </c>
      <c r="AA415" t="s">
        <v>47</v>
      </c>
      <c r="AB415" t="s">
        <v>46</v>
      </c>
      <c r="AC415" t="s">
        <v>46</v>
      </c>
      <c r="AD415" t="s">
        <v>46</v>
      </c>
      <c r="AE415" t="s">
        <v>47</v>
      </c>
      <c r="AF415" t="s">
        <v>47</v>
      </c>
      <c r="AG415" t="s">
        <v>52</v>
      </c>
      <c r="AH415" t="s">
        <v>71</v>
      </c>
      <c r="AI415" t="s">
        <v>65</v>
      </c>
      <c r="AJ415">
        <v>0.9</v>
      </c>
      <c r="AK415" t="s">
        <v>47</v>
      </c>
      <c r="AL415" t="s">
        <v>76</v>
      </c>
      <c r="AM415" t="s">
        <v>82</v>
      </c>
      <c r="AN415">
        <v>48</v>
      </c>
      <c r="AO415" t="s">
        <v>46</v>
      </c>
    </row>
    <row r="416" spans="1:41">
      <c r="A416" t="s">
        <v>567</v>
      </c>
      <c r="B416">
        <v>2021</v>
      </c>
      <c r="C416" s="1">
        <v>44367</v>
      </c>
      <c r="D416" t="s">
        <v>95</v>
      </c>
      <c r="E416" t="s">
        <v>145</v>
      </c>
      <c r="F416">
        <v>59</v>
      </c>
      <c r="G416" t="s">
        <v>44</v>
      </c>
      <c r="H416" t="s">
        <v>45</v>
      </c>
      <c r="I416">
        <v>38</v>
      </c>
      <c r="J416">
        <v>22</v>
      </c>
      <c r="K416" t="s">
        <v>47</v>
      </c>
      <c r="L416" t="s">
        <v>47</v>
      </c>
      <c r="M416" t="s">
        <v>46</v>
      </c>
      <c r="N416" t="s">
        <v>62</v>
      </c>
      <c r="O416" t="s">
        <v>63</v>
      </c>
      <c r="P416">
        <v>27.1</v>
      </c>
      <c r="Q416" t="s">
        <v>62</v>
      </c>
      <c r="R416" t="s">
        <v>46</v>
      </c>
      <c r="S416" t="s">
        <v>47</v>
      </c>
      <c r="T416" t="s">
        <v>47</v>
      </c>
      <c r="U416" t="s">
        <v>47</v>
      </c>
      <c r="V416" t="s">
        <v>51</v>
      </c>
      <c r="W416" t="s">
        <v>46</v>
      </c>
      <c r="X416" t="s">
        <v>46</v>
      </c>
      <c r="Y416" t="s">
        <v>47</v>
      </c>
      <c r="Z416" t="s">
        <v>47</v>
      </c>
      <c r="AA416" t="s">
        <v>47</v>
      </c>
      <c r="AB416" t="s">
        <v>47</v>
      </c>
      <c r="AC416" t="s">
        <v>46</v>
      </c>
      <c r="AD416" t="s">
        <v>46</v>
      </c>
      <c r="AE416" t="s">
        <v>47</v>
      </c>
      <c r="AF416" t="s">
        <v>47</v>
      </c>
      <c r="AG416" t="s">
        <v>52</v>
      </c>
      <c r="AH416" t="s">
        <v>71</v>
      </c>
      <c r="AI416" t="s">
        <v>65</v>
      </c>
      <c r="AJ416">
        <v>2.6</v>
      </c>
      <c r="AK416" t="s">
        <v>47</v>
      </c>
      <c r="AL416" t="s">
        <v>72</v>
      </c>
      <c r="AM416" t="s">
        <v>73</v>
      </c>
      <c r="AN416">
        <v>68</v>
      </c>
      <c r="AO416" t="s">
        <v>46</v>
      </c>
    </row>
    <row r="417" spans="1:41">
      <c r="A417" t="s">
        <v>568</v>
      </c>
      <c r="B417">
        <v>2019</v>
      </c>
      <c r="C417" s="1">
        <v>43772</v>
      </c>
      <c r="D417" t="s">
        <v>58</v>
      </c>
      <c r="E417" t="s">
        <v>138</v>
      </c>
      <c r="F417">
        <v>43</v>
      </c>
      <c r="G417" t="s">
        <v>60</v>
      </c>
      <c r="H417" t="s">
        <v>45</v>
      </c>
      <c r="I417">
        <v>9</v>
      </c>
      <c r="J417">
        <v>25</v>
      </c>
      <c r="K417" t="s">
        <v>46</v>
      </c>
      <c r="L417" t="s">
        <v>47</v>
      </c>
      <c r="M417" t="s">
        <v>46</v>
      </c>
      <c r="N417" t="s">
        <v>62</v>
      </c>
      <c r="O417" t="s">
        <v>49</v>
      </c>
      <c r="P417">
        <v>35.299999999999997</v>
      </c>
      <c r="Q417" t="s">
        <v>62</v>
      </c>
      <c r="R417" t="s">
        <v>46</v>
      </c>
      <c r="S417" t="s">
        <v>47</v>
      </c>
      <c r="T417" t="s">
        <v>47</v>
      </c>
      <c r="U417" t="s">
        <v>47</v>
      </c>
      <c r="V417" t="s">
        <v>151</v>
      </c>
      <c r="W417" t="s">
        <v>46</v>
      </c>
      <c r="X417" t="s">
        <v>47</v>
      </c>
      <c r="Y417" t="s">
        <v>46</v>
      </c>
      <c r="Z417" t="s">
        <v>47</v>
      </c>
      <c r="AA417" t="s">
        <v>46</v>
      </c>
      <c r="AB417" t="s">
        <v>46</v>
      </c>
      <c r="AC417" t="s">
        <v>47</v>
      </c>
      <c r="AD417" t="s">
        <v>47</v>
      </c>
      <c r="AE417" t="s">
        <v>47</v>
      </c>
      <c r="AF417" t="s">
        <v>47</v>
      </c>
      <c r="AG417" t="s">
        <v>121</v>
      </c>
      <c r="AH417" t="s">
        <v>122</v>
      </c>
      <c r="AI417" t="s">
        <v>54</v>
      </c>
      <c r="AJ417">
        <v>5.5</v>
      </c>
      <c r="AK417" t="s">
        <v>46</v>
      </c>
      <c r="AL417" t="s">
        <v>100</v>
      </c>
      <c r="AM417" t="s">
        <v>82</v>
      </c>
      <c r="AN417">
        <v>1</v>
      </c>
      <c r="AO417" t="s">
        <v>47</v>
      </c>
    </row>
    <row r="418" spans="1:41">
      <c r="A418" t="s">
        <v>569</v>
      </c>
      <c r="B418">
        <v>2019</v>
      </c>
      <c r="C418" s="1">
        <v>43797</v>
      </c>
      <c r="D418" t="s">
        <v>95</v>
      </c>
      <c r="E418" t="s">
        <v>147</v>
      </c>
      <c r="F418">
        <v>67</v>
      </c>
      <c r="G418" t="s">
        <v>60</v>
      </c>
      <c r="H418" t="s">
        <v>70</v>
      </c>
      <c r="I418">
        <v>0</v>
      </c>
      <c r="J418">
        <v>0</v>
      </c>
      <c r="K418" t="s">
        <v>46</v>
      </c>
      <c r="L418" t="s">
        <v>47</v>
      </c>
      <c r="M418" t="s">
        <v>47</v>
      </c>
      <c r="N418" t="s">
        <v>50</v>
      </c>
      <c r="O418" t="s">
        <v>49</v>
      </c>
      <c r="P418">
        <v>27.4</v>
      </c>
      <c r="Q418" t="s">
        <v>50</v>
      </c>
      <c r="R418" t="s">
        <v>47</v>
      </c>
      <c r="S418" t="s">
        <v>47</v>
      </c>
      <c r="T418" t="s">
        <v>47</v>
      </c>
      <c r="U418" t="s">
        <v>47</v>
      </c>
      <c r="V418" t="s">
        <v>51</v>
      </c>
      <c r="W418" t="s">
        <v>47</v>
      </c>
      <c r="X418" t="s">
        <v>47</v>
      </c>
      <c r="Y418" t="s">
        <v>47</v>
      </c>
      <c r="Z418" t="s">
        <v>46</v>
      </c>
      <c r="AA418" t="s">
        <v>46</v>
      </c>
      <c r="AB418" t="s">
        <v>46</v>
      </c>
      <c r="AC418" t="s">
        <v>47</v>
      </c>
      <c r="AD418" t="s">
        <v>47</v>
      </c>
      <c r="AE418" t="s">
        <v>46</v>
      </c>
      <c r="AF418" t="s">
        <v>47</v>
      </c>
      <c r="AG418" t="s">
        <v>52</v>
      </c>
      <c r="AH418" t="s">
        <v>53</v>
      </c>
      <c r="AI418" t="s">
        <v>80</v>
      </c>
      <c r="AJ418">
        <v>5.0999999999999996</v>
      </c>
      <c r="AK418" t="s">
        <v>47</v>
      </c>
      <c r="AL418" t="s">
        <v>66</v>
      </c>
      <c r="AM418" t="s">
        <v>77</v>
      </c>
      <c r="AN418">
        <v>11</v>
      </c>
      <c r="AO418" t="s">
        <v>47</v>
      </c>
    </row>
    <row r="419" spans="1:41">
      <c r="A419" t="s">
        <v>570</v>
      </c>
      <c r="B419">
        <v>2025</v>
      </c>
      <c r="C419" s="1">
        <v>45849</v>
      </c>
      <c r="D419" t="s">
        <v>84</v>
      </c>
      <c r="E419" t="s">
        <v>571</v>
      </c>
      <c r="F419">
        <v>55</v>
      </c>
      <c r="G419" t="s">
        <v>44</v>
      </c>
      <c r="H419" t="s">
        <v>70</v>
      </c>
      <c r="I419">
        <v>0</v>
      </c>
      <c r="J419">
        <v>0</v>
      </c>
      <c r="K419" t="s">
        <v>46</v>
      </c>
      <c r="L419" t="s">
        <v>47</v>
      </c>
      <c r="M419" t="s">
        <v>47</v>
      </c>
      <c r="N419" t="s">
        <v>48</v>
      </c>
      <c r="O419" t="s">
        <v>48</v>
      </c>
      <c r="P419">
        <v>26.9</v>
      </c>
      <c r="Q419" t="s">
        <v>48</v>
      </c>
      <c r="R419" t="s">
        <v>47</v>
      </c>
      <c r="S419" t="s">
        <v>47</v>
      </c>
      <c r="T419" t="s">
        <v>47</v>
      </c>
      <c r="U419" t="s">
        <v>47</v>
      </c>
      <c r="V419" t="s">
        <v>51</v>
      </c>
      <c r="W419" t="s">
        <v>47</v>
      </c>
      <c r="X419" t="s">
        <v>46</v>
      </c>
      <c r="Y419" t="s">
        <v>47</v>
      </c>
      <c r="Z419" t="s">
        <v>47</v>
      </c>
      <c r="AA419" t="s">
        <v>46</v>
      </c>
      <c r="AB419" t="s">
        <v>47</v>
      </c>
      <c r="AC419" t="s">
        <v>47</v>
      </c>
      <c r="AD419" t="s">
        <v>46</v>
      </c>
      <c r="AE419" t="s">
        <v>46</v>
      </c>
      <c r="AF419" t="s">
        <v>47</v>
      </c>
      <c r="AG419" t="s">
        <v>52</v>
      </c>
      <c r="AH419" t="s">
        <v>53</v>
      </c>
      <c r="AI419" t="s">
        <v>87</v>
      </c>
      <c r="AJ419">
        <v>3.7</v>
      </c>
      <c r="AK419" t="s">
        <v>47</v>
      </c>
      <c r="AL419" t="s">
        <v>100</v>
      </c>
      <c r="AM419" t="s">
        <v>67</v>
      </c>
      <c r="AN419">
        <v>39</v>
      </c>
      <c r="AO419" t="s">
        <v>47</v>
      </c>
    </row>
    <row r="420" spans="1:41">
      <c r="A420" t="s">
        <v>572</v>
      </c>
      <c r="B420">
        <v>2016</v>
      </c>
      <c r="C420" s="1">
        <v>42615</v>
      </c>
      <c r="D420" t="s">
        <v>98</v>
      </c>
      <c r="E420" t="s">
        <v>484</v>
      </c>
      <c r="F420">
        <v>54</v>
      </c>
      <c r="G420" t="s">
        <v>60</v>
      </c>
      <c r="H420" t="s">
        <v>70</v>
      </c>
      <c r="I420">
        <v>0</v>
      </c>
      <c r="J420">
        <v>0</v>
      </c>
      <c r="K420" t="s">
        <v>47</v>
      </c>
      <c r="L420" t="s">
        <v>47</v>
      </c>
      <c r="M420" t="s">
        <v>46</v>
      </c>
      <c r="N420" t="s">
        <v>48</v>
      </c>
      <c r="O420" t="s">
        <v>49</v>
      </c>
      <c r="P420">
        <v>32.200000000000003</v>
      </c>
      <c r="Q420" t="s">
        <v>62</v>
      </c>
      <c r="R420" t="s">
        <v>47</v>
      </c>
      <c r="S420" t="s">
        <v>47</v>
      </c>
      <c r="T420" t="s">
        <v>47</v>
      </c>
      <c r="U420" t="s">
        <v>47</v>
      </c>
      <c r="V420" t="s">
        <v>117</v>
      </c>
      <c r="W420" t="s">
        <v>47</v>
      </c>
      <c r="X420" t="s">
        <v>46</v>
      </c>
      <c r="Y420" t="s">
        <v>46</v>
      </c>
      <c r="Z420" t="s">
        <v>47</v>
      </c>
      <c r="AA420" t="s">
        <v>46</v>
      </c>
      <c r="AB420" t="s">
        <v>47</v>
      </c>
      <c r="AC420" t="s">
        <v>46</v>
      </c>
      <c r="AD420" t="s">
        <v>47</v>
      </c>
      <c r="AE420" t="s">
        <v>47</v>
      </c>
      <c r="AF420" t="s">
        <v>47</v>
      </c>
      <c r="AG420" t="s">
        <v>52</v>
      </c>
      <c r="AH420" t="s">
        <v>90</v>
      </c>
      <c r="AI420" t="s">
        <v>54</v>
      </c>
      <c r="AJ420">
        <v>4.0999999999999996</v>
      </c>
      <c r="AK420" t="s">
        <v>46</v>
      </c>
      <c r="AL420" t="s">
        <v>66</v>
      </c>
      <c r="AM420" t="s">
        <v>265</v>
      </c>
      <c r="AN420">
        <v>2</v>
      </c>
      <c r="AO420" t="s">
        <v>46</v>
      </c>
    </row>
    <row r="421" spans="1:41">
      <c r="A421" t="s">
        <v>573</v>
      </c>
      <c r="B421">
        <v>2022</v>
      </c>
      <c r="C421" s="1">
        <v>44600</v>
      </c>
      <c r="D421" t="s">
        <v>42</v>
      </c>
      <c r="E421" t="s">
        <v>247</v>
      </c>
      <c r="F421">
        <v>56</v>
      </c>
      <c r="G421" t="s">
        <v>44</v>
      </c>
      <c r="H421" t="s">
        <v>61</v>
      </c>
      <c r="I421">
        <v>5</v>
      </c>
      <c r="J421">
        <v>8</v>
      </c>
      <c r="K421" t="s">
        <v>47</v>
      </c>
      <c r="L421" t="s">
        <v>46</v>
      </c>
      <c r="M421" t="s">
        <v>47</v>
      </c>
      <c r="N421" t="s">
        <v>62</v>
      </c>
      <c r="O421" t="s">
        <v>48</v>
      </c>
      <c r="P421">
        <v>28.3</v>
      </c>
      <c r="Q421" t="s">
        <v>50</v>
      </c>
      <c r="R421" t="s">
        <v>47</v>
      </c>
      <c r="S421" t="s">
        <v>47</v>
      </c>
      <c r="T421" t="s">
        <v>47</v>
      </c>
      <c r="U421" t="s">
        <v>47</v>
      </c>
      <c r="V421" t="s">
        <v>64</v>
      </c>
      <c r="W421" t="s">
        <v>47</v>
      </c>
      <c r="X421" t="s">
        <v>46</v>
      </c>
      <c r="Y421" t="s">
        <v>47</v>
      </c>
      <c r="Z421" t="s">
        <v>47</v>
      </c>
      <c r="AA421" t="s">
        <v>47</v>
      </c>
      <c r="AB421" t="s">
        <v>46</v>
      </c>
      <c r="AC421" t="s">
        <v>47</v>
      </c>
      <c r="AD421" t="s">
        <v>46</v>
      </c>
      <c r="AE421" t="s">
        <v>47</v>
      </c>
      <c r="AF421" t="s">
        <v>47</v>
      </c>
      <c r="AG421" t="s">
        <v>52</v>
      </c>
      <c r="AH421" t="s">
        <v>90</v>
      </c>
      <c r="AI421" t="s">
        <v>65</v>
      </c>
      <c r="AJ421">
        <v>2</v>
      </c>
      <c r="AK421" t="s">
        <v>47</v>
      </c>
      <c r="AL421" t="s">
        <v>72</v>
      </c>
      <c r="AM421" t="s">
        <v>73</v>
      </c>
      <c r="AN421">
        <v>24</v>
      </c>
      <c r="AO421" t="s">
        <v>46</v>
      </c>
    </row>
    <row r="422" spans="1:41">
      <c r="A422" t="s">
        <v>574</v>
      </c>
      <c r="B422">
        <v>2018</v>
      </c>
      <c r="C422" s="1">
        <v>43214</v>
      </c>
      <c r="D422" t="s">
        <v>84</v>
      </c>
      <c r="E422" t="s">
        <v>85</v>
      </c>
      <c r="F422">
        <v>70</v>
      </c>
      <c r="G422" t="s">
        <v>60</v>
      </c>
      <c r="H422" t="s">
        <v>45</v>
      </c>
      <c r="I422">
        <v>25</v>
      </c>
      <c r="J422">
        <v>40</v>
      </c>
      <c r="K422" t="s">
        <v>47</v>
      </c>
      <c r="L422" t="s">
        <v>47</v>
      </c>
      <c r="M422" t="s">
        <v>47</v>
      </c>
      <c r="N422" t="s">
        <v>62</v>
      </c>
      <c r="O422" t="s">
        <v>63</v>
      </c>
      <c r="P422">
        <v>26.5</v>
      </c>
      <c r="Q422" t="s">
        <v>50</v>
      </c>
      <c r="R422" t="s">
        <v>46</v>
      </c>
      <c r="S422" t="s">
        <v>47</v>
      </c>
      <c r="T422" t="s">
        <v>47</v>
      </c>
      <c r="U422" t="s">
        <v>47</v>
      </c>
      <c r="V422" t="s">
        <v>64</v>
      </c>
      <c r="W422" t="s">
        <v>46</v>
      </c>
      <c r="X422" t="s">
        <v>46</v>
      </c>
      <c r="Y422" t="s">
        <v>47</v>
      </c>
      <c r="Z422" t="s">
        <v>46</v>
      </c>
      <c r="AA422" t="s">
        <v>46</v>
      </c>
      <c r="AB422" t="s">
        <v>46</v>
      </c>
      <c r="AC422" t="s">
        <v>47</v>
      </c>
      <c r="AD422" t="s">
        <v>47</v>
      </c>
      <c r="AE422" t="s">
        <v>47</v>
      </c>
      <c r="AF422" t="s">
        <v>46</v>
      </c>
      <c r="AG422" t="s">
        <v>121</v>
      </c>
      <c r="AH422" t="s">
        <v>122</v>
      </c>
      <c r="AI422" t="s">
        <v>80</v>
      </c>
      <c r="AJ422">
        <v>6.4</v>
      </c>
      <c r="AK422" t="s">
        <v>47</v>
      </c>
      <c r="AL422" t="s">
        <v>76</v>
      </c>
      <c r="AM422" t="s">
        <v>82</v>
      </c>
      <c r="AN422">
        <v>22</v>
      </c>
      <c r="AO422" t="s">
        <v>47</v>
      </c>
    </row>
    <row r="423" spans="1:41">
      <c r="A423" t="s">
        <v>575</v>
      </c>
      <c r="B423">
        <v>2018</v>
      </c>
      <c r="C423" s="1">
        <v>43285</v>
      </c>
      <c r="D423" t="s">
        <v>95</v>
      </c>
      <c r="E423" t="s">
        <v>120</v>
      </c>
      <c r="F423">
        <v>58</v>
      </c>
      <c r="G423" t="s">
        <v>60</v>
      </c>
      <c r="H423" t="s">
        <v>45</v>
      </c>
      <c r="I423">
        <v>33</v>
      </c>
      <c r="J423">
        <v>25</v>
      </c>
      <c r="K423" t="s">
        <v>47</v>
      </c>
      <c r="L423" t="s">
        <v>46</v>
      </c>
      <c r="M423" t="s">
        <v>47</v>
      </c>
      <c r="N423" t="s">
        <v>50</v>
      </c>
      <c r="O423" t="s">
        <v>49</v>
      </c>
      <c r="P423">
        <v>25.6</v>
      </c>
      <c r="Q423" t="s">
        <v>50</v>
      </c>
      <c r="R423" t="s">
        <v>46</v>
      </c>
      <c r="S423" t="s">
        <v>47</v>
      </c>
      <c r="T423" t="s">
        <v>47</v>
      </c>
      <c r="U423" t="s">
        <v>47</v>
      </c>
      <c r="V423" t="s">
        <v>128</v>
      </c>
      <c r="W423" t="s">
        <v>46</v>
      </c>
      <c r="X423" t="s">
        <v>46</v>
      </c>
      <c r="Y423" t="s">
        <v>46</v>
      </c>
      <c r="Z423" t="s">
        <v>46</v>
      </c>
      <c r="AA423" t="s">
        <v>47</v>
      </c>
      <c r="AB423" t="s">
        <v>46</v>
      </c>
      <c r="AC423" t="s">
        <v>47</v>
      </c>
      <c r="AD423" t="s">
        <v>47</v>
      </c>
      <c r="AE423" t="s">
        <v>46</v>
      </c>
      <c r="AF423" t="s">
        <v>47</v>
      </c>
      <c r="AG423" t="s">
        <v>52</v>
      </c>
      <c r="AH423" t="s">
        <v>53</v>
      </c>
      <c r="AI423" t="s">
        <v>54</v>
      </c>
      <c r="AJ423">
        <v>7.1</v>
      </c>
      <c r="AK423" t="s">
        <v>46</v>
      </c>
      <c r="AL423" t="s">
        <v>81</v>
      </c>
      <c r="AM423" t="s">
        <v>82</v>
      </c>
      <c r="AN423">
        <v>4</v>
      </c>
      <c r="AO423" t="s">
        <v>47</v>
      </c>
    </row>
    <row r="424" spans="1:41">
      <c r="A424" t="s">
        <v>576</v>
      </c>
      <c r="B424">
        <v>2024</v>
      </c>
      <c r="C424" s="1">
        <v>45510</v>
      </c>
      <c r="D424" t="s">
        <v>95</v>
      </c>
      <c r="E424" t="s">
        <v>130</v>
      </c>
      <c r="F424">
        <v>51</v>
      </c>
      <c r="G424" t="s">
        <v>60</v>
      </c>
      <c r="H424" t="s">
        <v>70</v>
      </c>
      <c r="I424">
        <v>0</v>
      </c>
      <c r="J424">
        <v>0</v>
      </c>
      <c r="K424" t="s">
        <v>46</v>
      </c>
      <c r="L424" t="s">
        <v>47</v>
      </c>
      <c r="M424" t="s">
        <v>47</v>
      </c>
      <c r="N424" t="s">
        <v>62</v>
      </c>
      <c r="O424" t="s">
        <v>49</v>
      </c>
      <c r="P424">
        <v>32.1</v>
      </c>
      <c r="Q424" t="s">
        <v>62</v>
      </c>
      <c r="R424" t="s">
        <v>47</v>
      </c>
      <c r="S424" t="s">
        <v>47</v>
      </c>
      <c r="T424" t="s">
        <v>47</v>
      </c>
      <c r="U424" t="s">
        <v>47</v>
      </c>
      <c r="V424" t="s">
        <v>51</v>
      </c>
      <c r="W424" t="s">
        <v>46</v>
      </c>
      <c r="X424" t="s">
        <v>46</v>
      </c>
      <c r="Y424" t="s">
        <v>47</v>
      </c>
      <c r="Z424" t="s">
        <v>47</v>
      </c>
      <c r="AA424" t="s">
        <v>47</v>
      </c>
      <c r="AB424" t="s">
        <v>47</v>
      </c>
      <c r="AC424" t="s">
        <v>47</v>
      </c>
      <c r="AD424" t="s">
        <v>47</v>
      </c>
      <c r="AE424" t="s">
        <v>47</v>
      </c>
      <c r="AF424" t="s">
        <v>47</v>
      </c>
      <c r="AG424" t="s">
        <v>52</v>
      </c>
      <c r="AH424" t="s">
        <v>53</v>
      </c>
      <c r="AI424" t="s">
        <v>80</v>
      </c>
      <c r="AJ424">
        <v>5.7</v>
      </c>
      <c r="AK424" t="s">
        <v>47</v>
      </c>
      <c r="AL424" t="s">
        <v>100</v>
      </c>
      <c r="AM424" t="s">
        <v>103</v>
      </c>
      <c r="AN424">
        <v>23</v>
      </c>
      <c r="AO424" t="s">
        <v>46</v>
      </c>
    </row>
    <row r="425" spans="1:41">
      <c r="A425" t="s">
        <v>577</v>
      </c>
      <c r="B425">
        <v>2023</v>
      </c>
      <c r="C425" s="1">
        <v>44928</v>
      </c>
      <c r="D425" t="s">
        <v>42</v>
      </c>
      <c r="E425" t="s">
        <v>136</v>
      </c>
      <c r="F425">
        <v>53</v>
      </c>
      <c r="G425" t="s">
        <v>44</v>
      </c>
      <c r="H425" t="s">
        <v>70</v>
      </c>
      <c r="I425">
        <v>0</v>
      </c>
      <c r="J425">
        <v>0</v>
      </c>
      <c r="K425" t="s">
        <v>46</v>
      </c>
      <c r="L425" t="s">
        <v>47</v>
      </c>
      <c r="M425" t="s">
        <v>46</v>
      </c>
      <c r="N425" t="s">
        <v>62</v>
      </c>
      <c r="O425" t="s">
        <v>49</v>
      </c>
      <c r="P425">
        <v>26.4</v>
      </c>
      <c r="Q425" t="s">
        <v>50</v>
      </c>
      <c r="R425" t="s">
        <v>47</v>
      </c>
      <c r="S425" t="s">
        <v>47</v>
      </c>
      <c r="T425" t="s">
        <v>47</v>
      </c>
      <c r="U425" t="s">
        <v>47</v>
      </c>
      <c r="V425" t="s">
        <v>151</v>
      </c>
      <c r="W425" t="s">
        <v>47</v>
      </c>
      <c r="X425" t="s">
        <v>47</v>
      </c>
      <c r="Y425" t="s">
        <v>47</v>
      </c>
      <c r="Z425" t="s">
        <v>47</v>
      </c>
      <c r="AA425" t="s">
        <v>46</v>
      </c>
      <c r="AB425" t="s">
        <v>47</v>
      </c>
      <c r="AC425" t="s">
        <v>46</v>
      </c>
      <c r="AD425" t="s">
        <v>47</v>
      </c>
      <c r="AE425" t="s">
        <v>47</v>
      </c>
      <c r="AF425" t="s">
        <v>47</v>
      </c>
      <c r="AG425" t="s">
        <v>52</v>
      </c>
      <c r="AH425" t="s">
        <v>71</v>
      </c>
      <c r="AI425" t="s">
        <v>65</v>
      </c>
      <c r="AJ425">
        <v>1.7</v>
      </c>
      <c r="AK425" t="s">
        <v>47</v>
      </c>
      <c r="AL425" t="s">
        <v>81</v>
      </c>
      <c r="AM425" t="s">
        <v>73</v>
      </c>
      <c r="AN425">
        <v>67</v>
      </c>
      <c r="AO425" t="s">
        <v>46</v>
      </c>
    </row>
    <row r="426" spans="1:41">
      <c r="A426" t="s">
        <v>578</v>
      </c>
      <c r="B426">
        <v>2022</v>
      </c>
      <c r="C426" s="1">
        <v>44571</v>
      </c>
      <c r="D426" t="s">
        <v>95</v>
      </c>
      <c r="E426" t="s">
        <v>107</v>
      </c>
      <c r="F426">
        <v>40</v>
      </c>
      <c r="G426" t="s">
        <v>44</v>
      </c>
      <c r="H426" t="s">
        <v>45</v>
      </c>
      <c r="I426">
        <v>38</v>
      </c>
      <c r="J426">
        <v>15</v>
      </c>
      <c r="K426" t="s">
        <v>47</v>
      </c>
      <c r="L426" t="s">
        <v>47</v>
      </c>
      <c r="M426" t="s">
        <v>46</v>
      </c>
      <c r="N426" t="s">
        <v>48</v>
      </c>
      <c r="O426" t="s">
        <v>48</v>
      </c>
      <c r="P426">
        <v>30.2</v>
      </c>
      <c r="Q426" t="s">
        <v>62</v>
      </c>
      <c r="R426" t="s">
        <v>47</v>
      </c>
      <c r="S426" t="s">
        <v>47</v>
      </c>
      <c r="T426" t="s">
        <v>47</v>
      </c>
      <c r="U426" t="s">
        <v>47</v>
      </c>
      <c r="V426" t="s">
        <v>51</v>
      </c>
      <c r="W426" t="s">
        <v>46</v>
      </c>
      <c r="X426" t="s">
        <v>47</v>
      </c>
      <c r="Y426" t="s">
        <v>46</v>
      </c>
      <c r="Z426" t="s">
        <v>46</v>
      </c>
      <c r="AA426" t="s">
        <v>46</v>
      </c>
      <c r="AB426" t="s">
        <v>46</v>
      </c>
      <c r="AC426" t="s">
        <v>46</v>
      </c>
      <c r="AD426" t="s">
        <v>46</v>
      </c>
      <c r="AE426" t="s">
        <v>46</v>
      </c>
      <c r="AF426" t="s">
        <v>47</v>
      </c>
      <c r="AG426" t="s">
        <v>52</v>
      </c>
      <c r="AH426" t="s">
        <v>53</v>
      </c>
      <c r="AI426" t="s">
        <v>65</v>
      </c>
      <c r="AJ426">
        <v>2.1</v>
      </c>
      <c r="AK426" t="s">
        <v>47</v>
      </c>
      <c r="AL426" t="s">
        <v>72</v>
      </c>
      <c r="AM426" t="s">
        <v>73</v>
      </c>
      <c r="AN426">
        <v>68</v>
      </c>
      <c r="AO426" t="s">
        <v>47</v>
      </c>
    </row>
    <row r="427" spans="1:41">
      <c r="A427" t="s">
        <v>579</v>
      </c>
      <c r="B427">
        <v>2017</v>
      </c>
      <c r="C427" s="1">
        <v>42900</v>
      </c>
      <c r="D427" t="s">
        <v>110</v>
      </c>
      <c r="E427" t="s">
        <v>294</v>
      </c>
      <c r="F427">
        <v>47</v>
      </c>
      <c r="G427" t="s">
        <v>60</v>
      </c>
      <c r="H427" t="s">
        <v>45</v>
      </c>
      <c r="I427">
        <v>28</v>
      </c>
      <c r="J427">
        <v>23</v>
      </c>
      <c r="K427" t="s">
        <v>47</v>
      </c>
      <c r="L427" t="s">
        <v>47</v>
      </c>
      <c r="M427" t="s">
        <v>47</v>
      </c>
      <c r="N427" t="s">
        <v>48</v>
      </c>
      <c r="O427" t="s">
        <v>48</v>
      </c>
      <c r="P427">
        <v>31.3</v>
      </c>
      <c r="Q427" t="s">
        <v>48</v>
      </c>
      <c r="R427" t="s">
        <v>47</v>
      </c>
      <c r="S427" t="s">
        <v>47</v>
      </c>
      <c r="T427" t="s">
        <v>47</v>
      </c>
      <c r="U427" t="s">
        <v>47</v>
      </c>
      <c r="V427" t="s">
        <v>151</v>
      </c>
      <c r="W427" t="s">
        <v>46</v>
      </c>
      <c r="X427" t="s">
        <v>47</v>
      </c>
      <c r="Y427" t="s">
        <v>47</v>
      </c>
      <c r="Z427" t="s">
        <v>46</v>
      </c>
      <c r="AA427" t="s">
        <v>46</v>
      </c>
      <c r="AB427" t="s">
        <v>46</v>
      </c>
      <c r="AC427" t="s">
        <v>47</v>
      </c>
      <c r="AD427" t="s">
        <v>47</v>
      </c>
      <c r="AE427" t="s">
        <v>47</v>
      </c>
      <c r="AF427" t="s">
        <v>47</v>
      </c>
      <c r="AG427" t="s">
        <v>52</v>
      </c>
      <c r="AH427" t="s">
        <v>53</v>
      </c>
      <c r="AI427" t="s">
        <v>80</v>
      </c>
      <c r="AJ427">
        <v>4</v>
      </c>
      <c r="AK427" t="s">
        <v>47</v>
      </c>
      <c r="AL427" t="s">
        <v>76</v>
      </c>
      <c r="AM427" t="s">
        <v>56</v>
      </c>
      <c r="AN427">
        <v>7</v>
      </c>
      <c r="AO427" t="s">
        <v>47</v>
      </c>
    </row>
    <row r="428" spans="1:41">
      <c r="A428" t="s">
        <v>580</v>
      </c>
      <c r="B428">
        <v>2023</v>
      </c>
      <c r="C428" s="1">
        <v>45033</v>
      </c>
      <c r="D428" t="s">
        <v>110</v>
      </c>
      <c r="E428" t="s">
        <v>231</v>
      </c>
      <c r="F428">
        <v>89</v>
      </c>
      <c r="G428" t="s">
        <v>60</v>
      </c>
      <c r="H428" t="s">
        <v>70</v>
      </c>
      <c r="I428">
        <v>0</v>
      </c>
      <c r="J428">
        <v>0</v>
      </c>
      <c r="K428" t="s">
        <v>46</v>
      </c>
      <c r="L428" t="s">
        <v>47</v>
      </c>
      <c r="M428" t="s">
        <v>47</v>
      </c>
      <c r="N428" t="s">
        <v>62</v>
      </c>
      <c r="O428" t="s">
        <v>63</v>
      </c>
      <c r="P428">
        <v>29.6</v>
      </c>
      <c r="Q428" t="s">
        <v>62</v>
      </c>
      <c r="R428" t="s">
        <v>46</v>
      </c>
      <c r="S428" t="s">
        <v>47</v>
      </c>
      <c r="T428" t="s">
        <v>47</v>
      </c>
      <c r="U428" t="s">
        <v>47</v>
      </c>
      <c r="V428" t="s">
        <v>51</v>
      </c>
      <c r="W428" t="s">
        <v>47</v>
      </c>
      <c r="X428" t="s">
        <v>46</v>
      </c>
      <c r="Y428" t="s">
        <v>47</v>
      </c>
      <c r="Z428" t="s">
        <v>47</v>
      </c>
      <c r="AA428" t="s">
        <v>47</v>
      </c>
      <c r="AB428" t="s">
        <v>47</v>
      </c>
      <c r="AC428" t="s">
        <v>47</v>
      </c>
      <c r="AD428" t="s">
        <v>46</v>
      </c>
      <c r="AE428" t="s">
        <v>47</v>
      </c>
      <c r="AF428" t="s">
        <v>47</v>
      </c>
      <c r="AG428" t="s">
        <v>52</v>
      </c>
      <c r="AH428" t="s">
        <v>90</v>
      </c>
      <c r="AI428" t="s">
        <v>54</v>
      </c>
      <c r="AJ428">
        <v>3.6</v>
      </c>
      <c r="AK428" t="s">
        <v>46</v>
      </c>
      <c r="AL428" t="s">
        <v>66</v>
      </c>
      <c r="AM428" t="s">
        <v>118</v>
      </c>
      <c r="AN428">
        <v>11</v>
      </c>
      <c r="AO428" t="s">
        <v>47</v>
      </c>
    </row>
    <row r="429" spans="1:41">
      <c r="A429" t="s">
        <v>581</v>
      </c>
      <c r="B429">
        <v>2019</v>
      </c>
      <c r="C429" s="1">
        <v>43760</v>
      </c>
      <c r="D429" t="s">
        <v>58</v>
      </c>
      <c r="E429" t="s">
        <v>142</v>
      </c>
      <c r="F429">
        <v>64</v>
      </c>
      <c r="G429" t="s">
        <v>60</v>
      </c>
      <c r="H429" t="s">
        <v>70</v>
      </c>
      <c r="I429">
        <v>0</v>
      </c>
      <c r="J429">
        <v>0</v>
      </c>
      <c r="K429" t="s">
        <v>47</v>
      </c>
      <c r="L429" t="s">
        <v>47</v>
      </c>
      <c r="M429" t="s">
        <v>47</v>
      </c>
      <c r="N429" t="s">
        <v>62</v>
      </c>
      <c r="O429" t="s">
        <v>48</v>
      </c>
      <c r="P429">
        <v>20.9</v>
      </c>
      <c r="Q429" t="s">
        <v>62</v>
      </c>
      <c r="R429" t="s">
        <v>47</v>
      </c>
      <c r="S429" t="s">
        <v>47</v>
      </c>
      <c r="T429" t="s">
        <v>46</v>
      </c>
      <c r="U429" t="s">
        <v>47</v>
      </c>
      <c r="V429" t="s">
        <v>51</v>
      </c>
      <c r="W429" t="s">
        <v>47</v>
      </c>
      <c r="X429" t="s">
        <v>47</v>
      </c>
      <c r="Y429" t="s">
        <v>47</v>
      </c>
      <c r="Z429" t="s">
        <v>47</v>
      </c>
      <c r="AA429" t="s">
        <v>46</v>
      </c>
      <c r="AB429" t="s">
        <v>47</v>
      </c>
      <c r="AC429" t="s">
        <v>46</v>
      </c>
      <c r="AD429" t="s">
        <v>47</v>
      </c>
      <c r="AE429" t="s">
        <v>47</v>
      </c>
      <c r="AF429" t="s">
        <v>47</v>
      </c>
      <c r="AG429" t="s">
        <v>52</v>
      </c>
      <c r="AH429" t="s">
        <v>53</v>
      </c>
      <c r="AI429" t="s">
        <v>80</v>
      </c>
      <c r="AJ429">
        <v>7.5</v>
      </c>
      <c r="AK429" t="s">
        <v>46</v>
      </c>
      <c r="AL429" t="s">
        <v>100</v>
      </c>
      <c r="AM429" t="s">
        <v>67</v>
      </c>
      <c r="AN429">
        <v>27</v>
      </c>
      <c r="AO429" t="s">
        <v>47</v>
      </c>
    </row>
    <row r="430" spans="1:41">
      <c r="A430" t="s">
        <v>582</v>
      </c>
      <c r="B430">
        <v>2025</v>
      </c>
      <c r="C430" s="1">
        <v>45722</v>
      </c>
      <c r="D430" t="s">
        <v>84</v>
      </c>
      <c r="E430" t="s">
        <v>85</v>
      </c>
      <c r="F430">
        <v>76</v>
      </c>
      <c r="G430" t="s">
        <v>44</v>
      </c>
      <c r="H430" t="s">
        <v>45</v>
      </c>
      <c r="I430">
        <v>28</v>
      </c>
      <c r="J430">
        <v>44</v>
      </c>
      <c r="K430" t="s">
        <v>47</v>
      </c>
      <c r="L430" t="s">
        <v>47</v>
      </c>
      <c r="M430" t="s">
        <v>47</v>
      </c>
      <c r="N430" t="s">
        <v>62</v>
      </c>
      <c r="O430" t="s">
        <v>63</v>
      </c>
      <c r="P430">
        <v>29.1</v>
      </c>
      <c r="Q430" t="s">
        <v>50</v>
      </c>
      <c r="R430" t="s">
        <v>47</v>
      </c>
      <c r="S430" t="s">
        <v>47</v>
      </c>
      <c r="T430" t="s">
        <v>47</v>
      </c>
      <c r="U430" t="s">
        <v>47</v>
      </c>
      <c r="V430" t="s">
        <v>51</v>
      </c>
      <c r="W430" t="s">
        <v>46</v>
      </c>
      <c r="X430" t="s">
        <v>46</v>
      </c>
      <c r="Y430" t="s">
        <v>46</v>
      </c>
      <c r="Z430" t="s">
        <v>46</v>
      </c>
      <c r="AA430" t="s">
        <v>46</v>
      </c>
      <c r="AB430" t="s">
        <v>46</v>
      </c>
      <c r="AC430" t="s">
        <v>47</v>
      </c>
      <c r="AD430" t="s">
        <v>47</v>
      </c>
      <c r="AE430" t="s">
        <v>47</v>
      </c>
      <c r="AF430" t="s">
        <v>47</v>
      </c>
      <c r="AG430" t="s">
        <v>52</v>
      </c>
      <c r="AH430" t="s">
        <v>53</v>
      </c>
      <c r="AI430" t="s">
        <v>80</v>
      </c>
      <c r="AJ430">
        <v>7</v>
      </c>
      <c r="AK430" t="s">
        <v>47</v>
      </c>
      <c r="AL430" t="s">
        <v>76</v>
      </c>
      <c r="AM430" t="s">
        <v>103</v>
      </c>
      <c r="AN430">
        <v>10</v>
      </c>
      <c r="AO430" t="s">
        <v>47</v>
      </c>
    </row>
    <row r="431" spans="1:41">
      <c r="A431" t="s">
        <v>583</v>
      </c>
      <c r="B431">
        <v>2016</v>
      </c>
      <c r="C431" s="1">
        <v>42671</v>
      </c>
      <c r="D431" t="s">
        <v>42</v>
      </c>
      <c r="E431" t="s">
        <v>79</v>
      </c>
      <c r="F431">
        <v>63</v>
      </c>
      <c r="G431" t="s">
        <v>60</v>
      </c>
      <c r="H431" t="s">
        <v>70</v>
      </c>
      <c r="I431">
        <v>0</v>
      </c>
      <c r="J431">
        <v>0</v>
      </c>
      <c r="K431" t="s">
        <v>46</v>
      </c>
      <c r="L431" t="s">
        <v>46</v>
      </c>
      <c r="M431" t="s">
        <v>47</v>
      </c>
      <c r="N431" t="s">
        <v>48</v>
      </c>
      <c r="O431" t="s">
        <v>49</v>
      </c>
      <c r="P431">
        <v>33.5</v>
      </c>
      <c r="Q431" t="s">
        <v>48</v>
      </c>
      <c r="R431" t="s">
        <v>47</v>
      </c>
      <c r="S431" t="s">
        <v>47</v>
      </c>
      <c r="T431" t="s">
        <v>47</v>
      </c>
      <c r="U431" t="s">
        <v>47</v>
      </c>
      <c r="V431" t="s">
        <v>86</v>
      </c>
      <c r="W431" t="s">
        <v>46</v>
      </c>
      <c r="X431" t="s">
        <v>46</v>
      </c>
      <c r="Y431" t="s">
        <v>47</v>
      </c>
      <c r="Z431" t="s">
        <v>47</v>
      </c>
      <c r="AA431" t="s">
        <v>46</v>
      </c>
      <c r="AB431" t="s">
        <v>46</v>
      </c>
      <c r="AC431" t="s">
        <v>47</v>
      </c>
      <c r="AD431" t="s">
        <v>47</v>
      </c>
      <c r="AE431" t="s">
        <v>47</v>
      </c>
      <c r="AF431" t="s">
        <v>47</v>
      </c>
      <c r="AG431" t="s">
        <v>52</v>
      </c>
      <c r="AH431" t="s">
        <v>53</v>
      </c>
      <c r="AI431" t="s">
        <v>80</v>
      </c>
      <c r="AJ431">
        <v>7.4</v>
      </c>
      <c r="AK431" t="s">
        <v>47</v>
      </c>
      <c r="AL431" t="s">
        <v>72</v>
      </c>
      <c r="AM431" t="s">
        <v>82</v>
      </c>
      <c r="AN431">
        <v>8</v>
      </c>
      <c r="AO431" t="s">
        <v>47</v>
      </c>
    </row>
    <row r="432" spans="1:41">
      <c r="A432" t="s">
        <v>584</v>
      </c>
      <c r="B432">
        <v>2025</v>
      </c>
      <c r="C432" s="1">
        <v>45952</v>
      </c>
      <c r="D432" t="s">
        <v>84</v>
      </c>
      <c r="E432" t="s">
        <v>126</v>
      </c>
      <c r="F432">
        <v>53</v>
      </c>
      <c r="G432" t="s">
        <v>44</v>
      </c>
      <c r="H432" t="s">
        <v>70</v>
      </c>
      <c r="I432">
        <v>0</v>
      </c>
      <c r="J432">
        <v>0</v>
      </c>
      <c r="K432" t="s">
        <v>46</v>
      </c>
      <c r="L432" t="s">
        <v>47</v>
      </c>
      <c r="M432" t="s">
        <v>47</v>
      </c>
      <c r="N432" t="s">
        <v>62</v>
      </c>
      <c r="O432" t="s">
        <v>63</v>
      </c>
      <c r="P432">
        <v>24.3</v>
      </c>
      <c r="Q432" t="s">
        <v>48</v>
      </c>
      <c r="R432" t="s">
        <v>47</v>
      </c>
      <c r="S432" t="s">
        <v>47</v>
      </c>
      <c r="T432" t="s">
        <v>47</v>
      </c>
      <c r="U432" t="s">
        <v>47</v>
      </c>
      <c r="V432" t="s">
        <v>86</v>
      </c>
      <c r="W432" t="s">
        <v>46</v>
      </c>
      <c r="X432" t="s">
        <v>47</v>
      </c>
      <c r="Y432" t="s">
        <v>46</v>
      </c>
      <c r="Z432" t="s">
        <v>47</v>
      </c>
      <c r="AA432" t="s">
        <v>47</v>
      </c>
      <c r="AB432" t="s">
        <v>47</v>
      </c>
      <c r="AC432" t="s">
        <v>47</v>
      </c>
      <c r="AD432" t="s">
        <v>46</v>
      </c>
      <c r="AE432" t="s">
        <v>47</v>
      </c>
      <c r="AF432" t="s">
        <v>47</v>
      </c>
      <c r="AG432" t="s">
        <v>52</v>
      </c>
      <c r="AH432" t="s">
        <v>53</v>
      </c>
      <c r="AI432" t="s">
        <v>80</v>
      </c>
      <c r="AJ432">
        <v>8.1</v>
      </c>
      <c r="AK432" t="s">
        <v>46</v>
      </c>
      <c r="AL432" t="s">
        <v>100</v>
      </c>
      <c r="AM432" t="s">
        <v>56</v>
      </c>
      <c r="AN432">
        <v>27</v>
      </c>
      <c r="AO432" t="s">
        <v>47</v>
      </c>
    </row>
    <row r="433" spans="1:41">
      <c r="A433" t="s">
        <v>585</v>
      </c>
      <c r="B433">
        <v>2020</v>
      </c>
      <c r="C433" s="1">
        <v>44062</v>
      </c>
      <c r="D433" t="s">
        <v>95</v>
      </c>
      <c r="E433" t="s">
        <v>105</v>
      </c>
      <c r="F433">
        <v>50</v>
      </c>
      <c r="G433" t="s">
        <v>44</v>
      </c>
      <c r="H433" t="s">
        <v>70</v>
      </c>
      <c r="I433">
        <v>0</v>
      </c>
      <c r="J433">
        <v>0</v>
      </c>
      <c r="K433" t="s">
        <v>46</v>
      </c>
      <c r="L433" t="s">
        <v>47</v>
      </c>
      <c r="M433" t="s">
        <v>47</v>
      </c>
      <c r="N433" t="s">
        <v>48</v>
      </c>
      <c r="O433" t="s">
        <v>63</v>
      </c>
      <c r="P433">
        <v>24.1</v>
      </c>
      <c r="Q433" t="s">
        <v>62</v>
      </c>
      <c r="R433" t="s">
        <v>47</v>
      </c>
      <c r="S433" t="s">
        <v>47</v>
      </c>
      <c r="T433" t="s">
        <v>47</v>
      </c>
      <c r="U433" t="s">
        <v>47</v>
      </c>
      <c r="V433" t="s">
        <v>86</v>
      </c>
      <c r="W433" t="s">
        <v>46</v>
      </c>
      <c r="X433" t="s">
        <v>47</v>
      </c>
      <c r="Y433" t="s">
        <v>47</v>
      </c>
      <c r="Z433" t="s">
        <v>47</v>
      </c>
      <c r="AA433" t="s">
        <v>46</v>
      </c>
      <c r="AB433" t="s">
        <v>47</v>
      </c>
      <c r="AC433" t="s">
        <v>47</v>
      </c>
      <c r="AD433" t="s">
        <v>47</v>
      </c>
      <c r="AE433" t="s">
        <v>47</v>
      </c>
      <c r="AF433" t="s">
        <v>47</v>
      </c>
      <c r="AG433" t="s">
        <v>52</v>
      </c>
      <c r="AH433" t="s">
        <v>53</v>
      </c>
      <c r="AI433" t="s">
        <v>87</v>
      </c>
      <c r="AJ433">
        <v>5</v>
      </c>
      <c r="AK433" t="s">
        <v>47</v>
      </c>
      <c r="AL433" t="s">
        <v>76</v>
      </c>
      <c r="AM433" t="s">
        <v>103</v>
      </c>
      <c r="AN433">
        <v>47</v>
      </c>
      <c r="AO433" t="s">
        <v>46</v>
      </c>
    </row>
    <row r="434" spans="1:41">
      <c r="A434" t="s">
        <v>586</v>
      </c>
      <c r="B434">
        <v>2019</v>
      </c>
      <c r="C434" s="1">
        <v>43570</v>
      </c>
      <c r="D434" t="s">
        <v>98</v>
      </c>
      <c r="E434" t="s">
        <v>196</v>
      </c>
      <c r="F434">
        <v>63</v>
      </c>
      <c r="G434" t="s">
        <v>60</v>
      </c>
      <c r="H434" t="s">
        <v>70</v>
      </c>
      <c r="I434">
        <v>0</v>
      </c>
      <c r="J434">
        <v>0</v>
      </c>
      <c r="K434" t="s">
        <v>46</v>
      </c>
      <c r="L434" t="s">
        <v>47</v>
      </c>
      <c r="M434" t="s">
        <v>47</v>
      </c>
      <c r="N434" t="s">
        <v>62</v>
      </c>
      <c r="O434" t="s">
        <v>49</v>
      </c>
      <c r="P434">
        <v>28.8</v>
      </c>
      <c r="Q434" t="s">
        <v>50</v>
      </c>
      <c r="R434" t="s">
        <v>47</v>
      </c>
      <c r="S434" t="s">
        <v>47</v>
      </c>
      <c r="T434" t="s">
        <v>46</v>
      </c>
      <c r="U434" t="s">
        <v>47</v>
      </c>
      <c r="V434" t="s">
        <v>51</v>
      </c>
      <c r="W434" t="s">
        <v>46</v>
      </c>
      <c r="X434" t="s">
        <v>47</v>
      </c>
      <c r="Y434" t="s">
        <v>46</v>
      </c>
      <c r="Z434" t="s">
        <v>47</v>
      </c>
      <c r="AA434" t="s">
        <v>47</v>
      </c>
      <c r="AB434" t="s">
        <v>47</v>
      </c>
      <c r="AC434" t="s">
        <v>47</v>
      </c>
      <c r="AD434" t="s">
        <v>46</v>
      </c>
      <c r="AE434" t="s">
        <v>47</v>
      </c>
      <c r="AF434" t="s">
        <v>47</v>
      </c>
      <c r="AG434" t="s">
        <v>52</v>
      </c>
      <c r="AH434" t="s">
        <v>53</v>
      </c>
      <c r="AI434" t="s">
        <v>54</v>
      </c>
      <c r="AJ434">
        <v>12.7</v>
      </c>
      <c r="AK434" t="s">
        <v>46</v>
      </c>
      <c r="AL434" t="s">
        <v>76</v>
      </c>
      <c r="AM434" t="s">
        <v>118</v>
      </c>
      <c r="AN434">
        <v>16</v>
      </c>
      <c r="AO434" t="s">
        <v>47</v>
      </c>
    </row>
    <row r="435" spans="1:41">
      <c r="A435" t="s">
        <v>587</v>
      </c>
      <c r="B435">
        <v>2018</v>
      </c>
      <c r="C435" s="1">
        <v>43321</v>
      </c>
      <c r="D435" t="s">
        <v>98</v>
      </c>
      <c r="E435" t="s">
        <v>99</v>
      </c>
      <c r="F435">
        <v>49</v>
      </c>
      <c r="G435" t="s">
        <v>44</v>
      </c>
      <c r="H435" t="s">
        <v>70</v>
      </c>
      <c r="I435">
        <v>0</v>
      </c>
      <c r="J435">
        <v>0</v>
      </c>
      <c r="K435" t="s">
        <v>46</v>
      </c>
      <c r="L435" t="s">
        <v>47</v>
      </c>
      <c r="M435" t="s">
        <v>47</v>
      </c>
      <c r="N435" t="s">
        <v>48</v>
      </c>
      <c r="O435" t="s">
        <v>63</v>
      </c>
      <c r="P435">
        <v>22.2</v>
      </c>
      <c r="Q435" t="s">
        <v>50</v>
      </c>
      <c r="R435" t="s">
        <v>47</v>
      </c>
      <c r="S435" t="s">
        <v>47</v>
      </c>
      <c r="T435" t="s">
        <v>47</v>
      </c>
      <c r="U435" t="s">
        <v>47</v>
      </c>
      <c r="V435" t="s">
        <v>64</v>
      </c>
      <c r="W435" t="s">
        <v>47</v>
      </c>
      <c r="X435" t="s">
        <v>47</v>
      </c>
      <c r="Y435" t="s">
        <v>46</v>
      </c>
      <c r="Z435" t="s">
        <v>47</v>
      </c>
      <c r="AA435" t="s">
        <v>46</v>
      </c>
      <c r="AB435" t="s">
        <v>47</v>
      </c>
      <c r="AC435" t="s">
        <v>47</v>
      </c>
      <c r="AD435" t="s">
        <v>47</v>
      </c>
      <c r="AE435" t="s">
        <v>47</v>
      </c>
      <c r="AF435" t="s">
        <v>47</v>
      </c>
      <c r="AG435" t="s">
        <v>52</v>
      </c>
      <c r="AH435" t="s">
        <v>53</v>
      </c>
      <c r="AI435" t="s">
        <v>54</v>
      </c>
      <c r="AJ435">
        <v>4.5999999999999996</v>
      </c>
      <c r="AK435" t="s">
        <v>46</v>
      </c>
      <c r="AL435" t="s">
        <v>66</v>
      </c>
      <c r="AM435" t="s">
        <v>56</v>
      </c>
      <c r="AN435">
        <v>14</v>
      </c>
      <c r="AO435" t="s">
        <v>47</v>
      </c>
    </row>
    <row r="436" spans="1:41">
      <c r="A436" t="s">
        <v>588</v>
      </c>
      <c r="B436">
        <v>2018</v>
      </c>
      <c r="C436" s="1">
        <v>43322</v>
      </c>
      <c r="D436" t="s">
        <v>42</v>
      </c>
      <c r="E436" t="s">
        <v>75</v>
      </c>
      <c r="F436">
        <v>51</v>
      </c>
      <c r="G436" t="s">
        <v>60</v>
      </c>
      <c r="H436" t="s">
        <v>70</v>
      </c>
      <c r="I436">
        <v>0</v>
      </c>
      <c r="J436">
        <v>0</v>
      </c>
      <c r="K436" t="s">
        <v>46</v>
      </c>
      <c r="L436" t="s">
        <v>47</v>
      </c>
      <c r="M436" t="s">
        <v>47</v>
      </c>
      <c r="N436" t="s">
        <v>62</v>
      </c>
      <c r="O436" t="s">
        <v>63</v>
      </c>
      <c r="P436">
        <v>30.1</v>
      </c>
      <c r="Q436" t="s">
        <v>50</v>
      </c>
      <c r="R436" t="s">
        <v>47</v>
      </c>
      <c r="S436" t="s">
        <v>47</v>
      </c>
      <c r="T436" t="s">
        <v>47</v>
      </c>
      <c r="U436" t="s">
        <v>47</v>
      </c>
      <c r="V436" t="s">
        <v>51</v>
      </c>
      <c r="W436" t="s">
        <v>47</v>
      </c>
      <c r="X436" t="s">
        <v>47</v>
      </c>
      <c r="Y436" t="s">
        <v>46</v>
      </c>
      <c r="Z436" t="s">
        <v>47</v>
      </c>
      <c r="AA436" t="s">
        <v>47</v>
      </c>
      <c r="AB436" t="s">
        <v>46</v>
      </c>
      <c r="AC436" t="s">
        <v>47</v>
      </c>
      <c r="AD436" t="s">
        <v>47</v>
      </c>
      <c r="AE436" t="s">
        <v>47</v>
      </c>
      <c r="AF436" t="s">
        <v>47</v>
      </c>
      <c r="AG436" t="s">
        <v>52</v>
      </c>
      <c r="AH436" t="s">
        <v>71</v>
      </c>
      <c r="AI436" t="s">
        <v>65</v>
      </c>
      <c r="AJ436">
        <v>2.6</v>
      </c>
      <c r="AK436" t="s">
        <v>47</v>
      </c>
      <c r="AL436" t="s">
        <v>72</v>
      </c>
      <c r="AM436" t="s">
        <v>67</v>
      </c>
      <c r="AN436">
        <v>80</v>
      </c>
      <c r="AO436" t="s">
        <v>46</v>
      </c>
    </row>
    <row r="437" spans="1:41">
      <c r="A437" t="s">
        <v>589</v>
      </c>
      <c r="B437">
        <v>2015</v>
      </c>
      <c r="C437" s="1">
        <v>42066</v>
      </c>
      <c r="D437" t="s">
        <v>42</v>
      </c>
      <c r="E437" t="s">
        <v>210</v>
      </c>
      <c r="F437">
        <v>52</v>
      </c>
      <c r="G437" t="s">
        <v>60</v>
      </c>
      <c r="H437" t="s">
        <v>45</v>
      </c>
      <c r="I437">
        <v>32</v>
      </c>
      <c r="J437">
        <v>13</v>
      </c>
      <c r="K437" t="s">
        <v>47</v>
      </c>
      <c r="L437" t="s">
        <v>46</v>
      </c>
      <c r="M437" t="s">
        <v>47</v>
      </c>
      <c r="N437" t="s">
        <v>62</v>
      </c>
      <c r="O437" t="s">
        <v>49</v>
      </c>
      <c r="P437">
        <v>26.2</v>
      </c>
      <c r="Q437" t="s">
        <v>50</v>
      </c>
      <c r="R437" t="s">
        <v>47</v>
      </c>
      <c r="S437" t="s">
        <v>47</v>
      </c>
      <c r="T437" t="s">
        <v>47</v>
      </c>
      <c r="U437" t="s">
        <v>47</v>
      </c>
      <c r="V437" t="s">
        <v>151</v>
      </c>
      <c r="W437" t="s">
        <v>46</v>
      </c>
      <c r="X437" t="s">
        <v>46</v>
      </c>
      <c r="Y437" t="s">
        <v>47</v>
      </c>
      <c r="Z437" t="s">
        <v>46</v>
      </c>
      <c r="AA437" t="s">
        <v>46</v>
      </c>
      <c r="AB437" t="s">
        <v>46</v>
      </c>
      <c r="AC437" t="s">
        <v>47</v>
      </c>
      <c r="AD437" t="s">
        <v>47</v>
      </c>
      <c r="AE437" t="s">
        <v>47</v>
      </c>
      <c r="AF437" t="s">
        <v>47</v>
      </c>
      <c r="AG437" t="s">
        <v>52</v>
      </c>
      <c r="AH437" t="s">
        <v>53</v>
      </c>
      <c r="AI437" t="s">
        <v>87</v>
      </c>
      <c r="AJ437">
        <v>2.9</v>
      </c>
      <c r="AK437" t="s">
        <v>47</v>
      </c>
      <c r="AL437" t="s">
        <v>100</v>
      </c>
      <c r="AM437" t="s">
        <v>67</v>
      </c>
      <c r="AN437">
        <v>33</v>
      </c>
      <c r="AO437" t="s">
        <v>46</v>
      </c>
    </row>
    <row r="438" spans="1:41">
      <c r="A438" t="s">
        <v>590</v>
      </c>
      <c r="B438">
        <v>2019</v>
      </c>
      <c r="C438" s="1">
        <v>43635</v>
      </c>
      <c r="D438" t="s">
        <v>42</v>
      </c>
      <c r="E438" t="s">
        <v>247</v>
      </c>
      <c r="F438">
        <v>70</v>
      </c>
      <c r="G438" t="s">
        <v>60</v>
      </c>
      <c r="H438" t="s">
        <v>61</v>
      </c>
      <c r="I438">
        <v>27</v>
      </c>
      <c r="J438">
        <v>13</v>
      </c>
      <c r="K438" t="s">
        <v>47</v>
      </c>
      <c r="L438" t="s">
        <v>47</v>
      </c>
      <c r="M438" t="s">
        <v>46</v>
      </c>
      <c r="N438" t="s">
        <v>50</v>
      </c>
      <c r="O438" t="s">
        <v>63</v>
      </c>
      <c r="P438">
        <v>21.3</v>
      </c>
      <c r="Q438" t="s">
        <v>48</v>
      </c>
      <c r="R438" t="s">
        <v>47</v>
      </c>
      <c r="S438" t="s">
        <v>47</v>
      </c>
      <c r="T438" t="s">
        <v>47</v>
      </c>
      <c r="U438" t="s">
        <v>47</v>
      </c>
      <c r="V438" t="s">
        <v>151</v>
      </c>
      <c r="W438" t="s">
        <v>47</v>
      </c>
      <c r="X438" t="s">
        <v>47</v>
      </c>
      <c r="Y438" t="s">
        <v>46</v>
      </c>
      <c r="Z438" t="s">
        <v>46</v>
      </c>
      <c r="AA438" t="s">
        <v>47</v>
      </c>
      <c r="AB438" t="s">
        <v>47</v>
      </c>
      <c r="AC438" t="s">
        <v>47</v>
      </c>
      <c r="AD438" t="s">
        <v>47</v>
      </c>
      <c r="AE438" t="s">
        <v>47</v>
      </c>
      <c r="AF438" t="s">
        <v>47</v>
      </c>
      <c r="AG438" t="s">
        <v>52</v>
      </c>
      <c r="AH438" t="s">
        <v>53</v>
      </c>
      <c r="AI438" t="s">
        <v>54</v>
      </c>
      <c r="AJ438">
        <v>6</v>
      </c>
      <c r="AK438" t="s">
        <v>46</v>
      </c>
      <c r="AL438" t="s">
        <v>81</v>
      </c>
      <c r="AM438" t="s">
        <v>118</v>
      </c>
      <c r="AN438">
        <v>3</v>
      </c>
      <c r="AO438" t="s">
        <v>47</v>
      </c>
    </row>
    <row r="439" spans="1:41">
      <c r="A439" t="s">
        <v>591</v>
      </c>
      <c r="B439">
        <v>2023</v>
      </c>
      <c r="C439" s="1">
        <v>45244</v>
      </c>
      <c r="D439" t="s">
        <v>84</v>
      </c>
      <c r="E439" t="s">
        <v>184</v>
      </c>
      <c r="F439">
        <v>74</v>
      </c>
      <c r="G439" t="s">
        <v>60</v>
      </c>
      <c r="H439" t="s">
        <v>45</v>
      </c>
      <c r="I439">
        <v>29</v>
      </c>
      <c r="J439">
        <v>45</v>
      </c>
      <c r="K439" t="s">
        <v>47</v>
      </c>
      <c r="L439" t="s">
        <v>47</v>
      </c>
      <c r="M439" t="s">
        <v>47</v>
      </c>
      <c r="N439" t="s">
        <v>62</v>
      </c>
      <c r="O439" t="s">
        <v>49</v>
      </c>
      <c r="P439">
        <v>25.3</v>
      </c>
      <c r="Q439" t="s">
        <v>48</v>
      </c>
      <c r="R439" t="s">
        <v>46</v>
      </c>
      <c r="S439" t="s">
        <v>47</v>
      </c>
      <c r="T439" t="s">
        <v>47</v>
      </c>
      <c r="U439" t="s">
        <v>47</v>
      </c>
      <c r="V439" t="s">
        <v>51</v>
      </c>
      <c r="W439" t="s">
        <v>47</v>
      </c>
      <c r="X439" t="s">
        <v>46</v>
      </c>
      <c r="Y439" t="s">
        <v>47</v>
      </c>
      <c r="Z439" t="s">
        <v>47</v>
      </c>
      <c r="AA439" t="s">
        <v>47</v>
      </c>
      <c r="AB439" t="s">
        <v>47</v>
      </c>
      <c r="AC439" t="s">
        <v>46</v>
      </c>
      <c r="AD439" t="s">
        <v>47</v>
      </c>
      <c r="AE439" t="s">
        <v>47</v>
      </c>
      <c r="AF439" t="s">
        <v>47</v>
      </c>
      <c r="AG439" t="s">
        <v>121</v>
      </c>
      <c r="AH439" t="s">
        <v>122</v>
      </c>
      <c r="AI439" t="s">
        <v>54</v>
      </c>
      <c r="AJ439">
        <v>5.9</v>
      </c>
      <c r="AK439" t="s">
        <v>46</v>
      </c>
      <c r="AL439" t="s">
        <v>66</v>
      </c>
      <c r="AM439" t="s">
        <v>118</v>
      </c>
      <c r="AN439">
        <v>3</v>
      </c>
      <c r="AO439" t="s">
        <v>47</v>
      </c>
    </row>
    <row r="440" spans="1:41">
      <c r="A440" t="s">
        <v>592</v>
      </c>
      <c r="B440">
        <v>2024</v>
      </c>
      <c r="C440" s="1">
        <v>45532</v>
      </c>
      <c r="D440" t="s">
        <v>58</v>
      </c>
      <c r="E440" t="s">
        <v>134</v>
      </c>
      <c r="F440">
        <v>64</v>
      </c>
      <c r="G440" t="s">
        <v>44</v>
      </c>
      <c r="H440" t="s">
        <v>45</v>
      </c>
      <c r="I440">
        <v>29</v>
      </c>
      <c r="J440">
        <v>44</v>
      </c>
      <c r="K440" t="s">
        <v>47</v>
      </c>
      <c r="L440" t="s">
        <v>47</v>
      </c>
      <c r="M440" t="s">
        <v>47</v>
      </c>
      <c r="N440" t="s">
        <v>50</v>
      </c>
      <c r="O440" t="s">
        <v>63</v>
      </c>
      <c r="P440">
        <v>26.7</v>
      </c>
      <c r="Q440" t="s">
        <v>50</v>
      </c>
      <c r="R440" t="s">
        <v>46</v>
      </c>
      <c r="S440" t="s">
        <v>47</v>
      </c>
      <c r="T440" t="s">
        <v>47</v>
      </c>
      <c r="U440" t="s">
        <v>47</v>
      </c>
      <c r="V440" t="s">
        <v>51</v>
      </c>
      <c r="W440" t="s">
        <v>46</v>
      </c>
      <c r="X440" t="s">
        <v>46</v>
      </c>
      <c r="Y440" t="s">
        <v>47</v>
      </c>
      <c r="Z440" t="s">
        <v>46</v>
      </c>
      <c r="AA440" t="s">
        <v>46</v>
      </c>
      <c r="AB440" t="s">
        <v>47</v>
      </c>
      <c r="AC440" t="s">
        <v>47</v>
      </c>
      <c r="AD440" t="s">
        <v>47</v>
      </c>
      <c r="AE440" t="s">
        <v>47</v>
      </c>
      <c r="AF440" t="s">
        <v>47</v>
      </c>
      <c r="AG440" t="s">
        <v>52</v>
      </c>
      <c r="AH440" t="s">
        <v>90</v>
      </c>
      <c r="AI440" t="s">
        <v>87</v>
      </c>
      <c r="AJ440">
        <v>4.4000000000000004</v>
      </c>
      <c r="AK440" t="s">
        <v>47</v>
      </c>
      <c r="AL440" t="s">
        <v>66</v>
      </c>
      <c r="AM440" t="s">
        <v>77</v>
      </c>
      <c r="AN440">
        <v>6</v>
      </c>
      <c r="AO440" t="s">
        <v>47</v>
      </c>
    </row>
    <row r="441" spans="1:41">
      <c r="A441" t="s">
        <v>593</v>
      </c>
      <c r="B441">
        <v>2015</v>
      </c>
      <c r="C441" s="1">
        <v>42107</v>
      </c>
      <c r="D441" t="s">
        <v>95</v>
      </c>
      <c r="E441" t="s">
        <v>96</v>
      </c>
      <c r="F441">
        <v>57</v>
      </c>
      <c r="G441" t="s">
        <v>60</v>
      </c>
      <c r="H441" t="s">
        <v>45</v>
      </c>
      <c r="I441">
        <v>15</v>
      </c>
      <c r="J441">
        <v>26</v>
      </c>
      <c r="K441" t="s">
        <v>47</v>
      </c>
      <c r="L441" t="s">
        <v>47</v>
      </c>
      <c r="M441" t="s">
        <v>47</v>
      </c>
      <c r="N441" t="s">
        <v>48</v>
      </c>
      <c r="O441" t="s">
        <v>48</v>
      </c>
      <c r="P441">
        <v>28.8</v>
      </c>
      <c r="Q441" t="s">
        <v>48</v>
      </c>
      <c r="R441" t="s">
        <v>47</v>
      </c>
      <c r="S441" t="s">
        <v>47</v>
      </c>
      <c r="T441" t="s">
        <v>47</v>
      </c>
      <c r="U441" t="s">
        <v>47</v>
      </c>
      <c r="V441" t="s">
        <v>51</v>
      </c>
      <c r="W441" t="s">
        <v>46</v>
      </c>
      <c r="X441" t="s">
        <v>46</v>
      </c>
      <c r="Y441" t="s">
        <v>46</v>
      </c>
      <c r="Z441" t="s">
        <v>47</v>
      </c>
      <c r="AA441" t="s">
        <v>47</v>
      </c>
      <c r="AB441" t="s">
        <v>46</v>
      </c>
      <c r="AC441" t="s">
        <v>46</v>
      </c>
      <c r="AD441" t="s">
        <v>47</v>
      </c>
      <c r="AE441" t="s">
        <v>47</v>
      </c>
      <c r="AF441" t="s">
        <v>47</v>
      </c>
      <c r="AG441" t="s">
        <v>121</v>
      </c>
      <c r="AH441" t="s">
        <v>122</v>
      </c>
      <c r="AI441" t="s">
        <v>80</v>
      </c>
      <c r="AJ441">
        <v>6.2</v>
      </c>
      <c r="AK441" t="s">
        <v>47</v>
      </c>
      <c r="AL441" t="s">
        <v>100</v>
      </c>
      <c r="AM441" t="s">
        <v>103</v>
      </c>
      <c r="AN441">
        <v>16</v>
      </c>
      <c r="AO441" t="s">
        <v>46</v>
      </c>
    </row>
    <row r="442" spans="1:41">
      <c r="A442" t="s">
        <v>594</v>
      </c>
      <c r="B442">
        <v>2015</v>
      </c>
      <c r="C442" s="1">
        <v>42043</v>
      </c>
      <c r="D442" t="s">
        <v>98</v>
      </c>
      <c r="E442" t="s">
        <v>249</v>
      </c>
      <c r="F442">
        <v>89</v>
      </c>
      <c r="G442" t="s">
        <v>60</v>
      </c>
      <c r="H442" t="s">
        <v>45</v>
      </c>
      <c r="I442">
        <v>29</v>
      </c>
      <c r="J442">
        <v>35</v>
      </c>
      <c r="K442" t="s">
        <v>47</v>
      </c>
      <c r="L442" t="s">
        <v>47</v>
      </c>
      <c r="M442" t="s">
        <v>47</v>
      </c>
      <c r="N442" t="s">
        <v>48</v>
      </c>
      <c r="O442" t="s">
        <v>48</v>
      </c>
      <c r="P442">
        <v>28.2</v>
      </c>
      <c r="Q442" t="s">
        <v>62</v>
      </c>
      <c r="R442" t="s">
        <v>47</v>
      </c>
      <c r="S442" t="s">
        <v>47</v>
      </c>
      <c r="T442" t="s">
        <v>47</v>
      </c>
      <c r="U442" t="s">
        <v>47</v>
      </c>
      <c r="V442" t="s">
        <v>51</v>
      </c>
      <c r="W442" t="s">
        <v>46</v>
      </c>
      <c r="X442" t="s">
        <v>46</v>
      </c>
      <c r="Y442" t="s">
        <v>46</v>
      </c>
      <c r="Z442" t="s">
        <v>47</v>
      </c>
      <c r="AA442" t="s">
        <v>46</v>
      </c>
      <c r="AB442" t="s">
        <v>46</v>
      </c>
      <c r="AC442" t="s">
        <v>46</v>
      </c>
      <c r="AD442" t="s">
        <v>47</v>
      </c>
      <c r="AE442" t="s">
        <v>47</v>
      </c>
      <c r="AF442" t="s">
        <v>46</v>
      </c>
      <c r="AG442" t="s">
        <v>121</v>
      </c>
      <c r="AH442" t="s">
        <v>122</v>
      </c>
      <c r="AI442" t="s">
        <v>87</v>
      </c>
      <c r="AJ442">
        <v>6.7</v>
      </c>
      <c r="AK442" t="s">
        <v>47</v>
      </c>
      <c r="AL442" t="s">
        <v>76</v>
      </c>
      <c r="AM442" t="s">
        <v>67</v>
      </c>
      <c r="AN442">
        <v>54</v>
      </c>
      <c r="AO442" t="s">
        <v>47</v>
      </c>
    </row>
    <row r="443" spans="1:41">
      <c r="A443" t="s">
        <v>595</v>
      </c>
      <c r="B443">
        <v>2019</v>
      </c>
      <c r="C443" s="1">
        <v>43750</v>
      </c>
      <c r="D443" t="s">
        <v>42</v>
      </c>
      <c r="E443" t="s">
        <v>154</v>
      </c>
      <c r="F443">
        <v>69</v>
      </c>
      <c r="G443" t="s">
        <v>60</v>
      </c>
      <c r="H443" t="s">
        <v>70</v>
      </c>
      <c r="I443">
        <v>0</v>
      </c>
      <c r="J443">
        <v>0</v>
      </c>
      <c r="K443" t="s">
        <v>46</v>
      </c>
      <c r="L443" t="s">
        <v>47</v>
      </c>
      <c r="M443" t="s">
        <v>46</v>
      </c>
      <c r="N443" t="s">
        <v>62</v>
      </c>
      <c r="O443" t="s">
        <v>49</v>
      </c>
      <c r="P443">
        <v>31</v>
      </c>
      <c r="Q443" t="s">
        <v>50</v>
      </c>
      <c r="R443" t="s">
        <v>47</v>
      </c>
      <c r="S443" t="s">
        <v>47</v>
      </c>
      <c r="T443" t="s">
        <v>46</v>
      </c>
      <c r="U443" t="s">
        <v>47</v>
      </c>
      <c r="V443" t="s">
        <v>51</v>
      </c>
      <c r="W443" t="s">
        <v>47</v>
      </c>
      <c r="X443" t="s">
        <v>47</v>
      </c>
      <c r="Y443" t="s">
        <v>47</v>
      </c>
      <c r="Z443" t="s">
        <v>47</v>
      </c>
      <c r="AA443" t="s">
        <v>46</v>
      </c>
      <c r="AB443" t="s">
        <v>47</v>
      </c>
      <c r="AC443" t="s">
        <v>47</v>
      </c>
      <c r="AD443" t="s">
        <v>47</v>
      </c>
      <c r="AE443" t="s">
        <v>47</v>
      </c>
      <c r="AF443" t="s">
        <v>47</v>
      </c>
      <c r="AG443" t="s">
        <v>52</v>
      </c>
      <c r="AH443" t="s">
        <v>53</v>
      </c>
      <c r="AI443" t="s">
        <v>65</v>
      </c>
      <c r="AJ443">
        <v>2.7</v>
      </c>
      <c r="AK443" t="s">
        <v>47</v>
      </c>
      <c r="AL443" t="s">
        <v>76</v>
      </c>
      <c r="AM443" t="s">
        <v>103</v>
      </c>
      <c r="AN443">
        <v>74</v>
      </c>
      <c r="AO443" t="s">
        <v>47</v>
      </c>
    </row>
    <row r="444" spans="1:41">
      <c r="A444" t="s">
        <v>596</v>
      </c>
      <c r="B444">
        <v>2015</v>
      </c>
      <c r="C444" s="1">
        <v>42147</v>
      </c>
      <c r="D444" t="s">
        <v>42</v>
      </c>
      <c r="E444" t="s">
        <v>247</v>
      </c>
      <c r="F444">
        <v>56</v>
      </c>
      <c r="G444" t="s">
        <v>60</v>
      </c>
      <c r="H444" t="s">
        <v>45</v>
      </c>
      <c r="I444">
        <v>26</v>
      </c>
      <c r="J444">
        <v>32</v>
      </c>
      <c r="K444" t="s">
        <v>47</v>
      </c>
      <c r="L444" t="s">
        <v>47</v>
      </c>
      <c r="M444" t="s">
        <v>47</v>
      </c>
      <c r="N444" t="s">
        <v>62</v>
      </c>
      <c r="O444" t="s">
        <v>48</v>
      </c>
      <c r="P444">
        <v>28</v>
      </c>
      <c r="Q444" t="s">
        <v>48</v>
      </c>
      <c r="R444" t="s">
        <v>47</v>
      </c>
      <c r="S444" t="s">
        <v>47</v>
      </c>
      <c r="T444" t="s">
        <v>47</v>
      </c>
      <c r="U444" t="s">
        <v>47</v>
      </c>
      <c r="V444" t="s">
        <v>151</v>
      </c>
      <c r="W444" t="s">
        <v>47</v>
      </c>
      <c r="X444" t="s">
        <v>46</v>
      </c>
      <c r="Y444" t="s">
        <v>47</v>
      </c>
      <c r="Z444" t="s">
        <v>46</v>
      </c>
      <c r="AA444" t="s">
        <v>47</v>
      </c>
      <c r="AB444" t="s">
        <v>47</v>
      </c>
      <c r="AC444" t="s">
        <v>46</v>
      </c>
      <c r="AD444" t="s">
        <v>47</v>
      </c>
      <c r="AE444" t="s">
        <v>47</v>
      </c>
      <c r="AF444" t="s">
        <v>47</v>
      </c>
      <c r="AG444" t="s">
        <v>52</v>
      </c>
      <c r="AH444" t="s">
        <v>90</v>
      </c>
      <c r="AI444" t="s">
        <v>80</v>
      </c>
      <c r="AJ444">
        <v>5.7</v>
      </c>
      <c r="AK444" t="s">
        <v>47</v>
      </c>
      <c r="AL444" t="s">
        <v>66</v>
      </c>
      <c r="AM444" t="s">
        <v>77</v>
      </c>
      <c r="AN444">
        <v>29</v>
      </c>
      <c r="AO444" t="s">
        <v>47</v>
      </c>
    </row>
    <row r="445" spans="1:41">
      <c r="A445" t="s">
        <v>597</v>
      </c>
      <c r="B445">
        <v>2018</v>
      </c>
      <c r="C445" s="1">
        <v>43127</v>
      </c>
      <c r="D445" t="s">
        <v>42</v>
      </c>
      <c r="E445" t="s">
        <v>79</v>
      </c>
      <c r="F445">
        <v>76</v>
      </c>
      <c r="G445" t="s">
        <v>60</v>
      </c>
      <c r="H445" t="s">
        <v>70</v>
      </c>
      <c r="I445">
        <v>0</v>
      </c>
      <c r="J445">
        <v>0</v>
      </c>
      <c r="K445" t="s">
        <v>46</v>
      </c>
      <c r="L445" t="s">
        <v>47</v>
      </c>
      <c r="M445" t="s">
        <v>47</v>
      </c>
      <c r="N445" t="s">
        <v>48</v>
      </c>
      <c r="O445" t="s">
        <v>49</v>
      </c>
      <c r="P445">
        <v>30</v>
      </c>
      <c r="Q445" t="s">
        <v>50</v>
      </c>
      <c r="R445" t="s">
        <v>47</v>
      </c>
      <c r="S445" t="s">
        <v>47</v>
      </c>
      <c r="T445" t="s">
        <v>47</v>
      </c>
      <c r="U445" t="s">
        <v>47</v>
      </c>
      <c r="V445" t="s">
        <v>193</v>
      </c>
      <c r="W445" t="s">
        <v>46</v>
      </c>
      <c r="X445" t="s">
        <v>47</v>
      </c>
      <c r="Y445" t="s">
        <v>47</v>
      </c>
      <c r="Z445" t="s">
        <v>47</v>
      </c>
      <c r="AA445" t="s">
        <v>46</v>
      </c>
      <c r="AB445" t="s">
        <v>46</v>
      </c>
      <c r="AC445" t="s">
        <v>47</v>
      </c>
      <c r="AD445" t="s">
        <v>47</v>
      </c>
      <c r="AE445" t="s">
        <v>47</v>
      </c>
      <c r="AF445" t="s">
        <v>47</v>
      </c>
      <c r="AG445" t="s">
        <v>52</v>
      </c>
      <c r="AH445" t="s">
        <v>53</v>
      </c>
      <c r="AI445" t="s">
        <v>65</v>
      </c>
      <c r="AJ445">
        <v>2.4</v>
      </c>
      <c r="AK445" t="s">
        <v>47</v>
      </c>
      <c r="AL445" t="s">
        <v>81</v>
      </c>
      <c r="AM445" t="s">
        <v>73</v>
      </c>
      <c r="AN445">
        <v>75</v>
      </c>
      <c r="AO445" t="s">
        <v>47</v>
      </c>
    </row>
    <row r="446" spans="1:41">
      <c r="A446" t="s">
        <v>598</v>
      </c>
      <c r="B446">
        <v>2025</v>
      </c>
      <c r="C446" s="1">
        <v>45778</v>
      </c>
      <c r="D446" t="s">
        <v>95</v>
      </c>
      <c r="E446" t="s">
        <v>255</v>
      </c>
      <c r="F446">
        <v>54</v>
      </c>
      <c r="G446" t="s">
        <v>44</v>
      </c>
      <c r="H446" t="s">
        <v>70</v>
      </c>
      <c r="I446">
        <v>0</v>
      </c>
      <c r="J446">
        <v>0</v>
      </c>
      <c r="K446" t="s">
        <v>47</v>
      </c>
      <c r="L446" t="s">
        <v>47</v>
      </c>
      <c r="M446" t="s">
        <v>47</v>
      </c>
      <c r="N446" t="s">
        <v>48</v>
      </c>
      <c r="O446" t="s">
        <v>49</v>
      </c>
      <c r="P446">
        <v>27.2</v>
      </c>
      <c r="Q446" t="s">
        <v>50</v>
      </c>
      <c r="R446" t="s">
        <v>46</v>
      </c>
      <c r="S446" t="s">
        <v>47</v>
      </c>
      <c r="T446" t="s">
        <v>47</v>
      </c>
      <c r="U446" t="s">
        <v>47</v>
      </c>
      <c r="V446" t="s">
        <v>151</v>
      </c>
      <c r="W446" t="s">
        <v>46</v>
      </c>
      <c r="X446" t="s">
        <v>46</v>
      </c>
      <c r="Y446" t="s">
        <v>47</v>
      </c>
      <c r="Z446" t="s">
        <v>46</v>
      </c>
      <c r="AA446" t="s">
        <v>46</v>
      </c>
      <c r="AB446" t="s">
        <v>46</v>
      </c>
      <c r="AC446" t="s">
        <v>46</v>
      </c>
      <c r="AD446" t="s">
        <v>47</v>
      </c>
      <c r="AE446" t="s">
        <v>47</v>
      </c>
      <c r="AF446" t="s">
        <v>46</v>
      </c>
      <c r="AG446" t="s">
        <v>52</v>
      </c>
      <c r="AH446" t="s">
        <v>71</v>
      </c>
      <c r="AI446" t="s">
        <v>80</v>
      </c>
      <c r="AJ446">
        <v>5.6</v>
      </c>
      <c r="AK446" t="s">
        <v>47</v>
      </c>
      <c r="AL446" t="s">
        <v>76</v>
      </c>
      <c r="AM446" t="s">
        <v>82</v>
      </c>
      <c r="AN446">
        <v>16</v>
      </c>
      <c r="AO446" t="s">
        <v>47</v>
      </c>
    </row>
    <row r="447" spans="1:41">
      <c r="A447" t="s">
        <v>599</v>
      </c>
      <c r="B447">
        <v>2024</v>
      </c>
      <c r="C447" s="1">
        <v>45621</v>
      </c>
      <c r="D447" t="s">
        <v>42</v>
      </c>
      <c r="E447" t="s">
        <v>43</v>
      </c>
      <c r="F447">
        <v>72</v>
      </c>
      <c r="G447" t="s">
        <v>44</v>
      </c>
      <c r="H447" t="s">
        <v>70</v>
      </c>
      <c r="I447">
        <v>0</v>
      </c>
      <c r="J447">
        <v>0</v>
      </c>
      <c r="K447" t="s">
        <v>47</v>
      </c>
      <c r="L447" t="s">
        <v>47</v>
      </c>
      <c r="M447" t="s">
        <v>47</v>
      </c>
      <c r="N447" t="s">
        <v>62</v>
      </c>
      <c r="O447" t="s">
        <v>49</v>
      </c>
      <c r="P447">
        <v>30.8</v>
      </c>
      <c r="Q447" t="s">
        <v>48</v>
      </c>
      <c r="R447" t="s">
        <v>47</v>
      </c>
      <c r="S447" t="s">
        <v>47</v>
      </c>
      <c r="T447" t="s">
        <v>47</v>
      </c>
      <c r="U447" t="s">
        <v>47</v>
      </c>
      <c r="V447" t="s">
        <v>86</v>
      </c>
      <c r="W447" t="s">
        <v>47</v>
      </c>
      <c r="X447" t="s">
        <v>46</v>
      </c>
      <c r="Y447" t="s">
        <v>47</v>
      </c>
      <c r="Z447" t="s">
        <v>47</v>
      </c>
      <c r="AA447" t="s">
        <v>46</v>
      </c>
      <c r="AB447" t="s">
        <v>47</v>
      </c>
      <c r="AC447" t="s">
        <v>47</v>
      </c>
      <c r="AD447" t="s">
        <v>47</v>
      </c>
      <c r="AE447" t="s">
        <v>47</v>
      </c>
      <c r="AF447" t="s">
        <v>47</v>
      </c>
      <c r="AG447" t="s">
        <v>52</v>
      </c>
      <c r="AH447" t="s">
        <v>53</v>
      </c>
      <c r="AI447" t="s">
        <v>80</v>
      </c>
      <c r="AJ447">
        <v>7.3</v>
      </c>
      <c r="AK447" t="s">
        <v>46</v>
      </c>
      <c r="AL447" t="s">
        <v>156</v>
      </c>
      <c r="AM447" t="s">
        <v>77</v>
      </c>
      <c r="AN447">
        <v>18</v>
      </c>
      <c r="AO447" t="s">
        <v>47</v>
      </c>
    </row>
    <row r="448" spans="1:41">
      <c r="A448" t="s">
        <v>600</v>
      </c>
      <c r="B448">
        <v>2020</v>
      </c>
      <c r="C448" s="1">
        <v>44128</v>
      </c>
      <c r="D448" t="s">
        <v>58</v>
      </c>
      <c r="E448" t="s">
        <v>252</v>
      </c>
      <c r="F448">
        <v>76</v>
      </c>
      <c r="G448" t="s">
        <v>60</v>
      </c>
      <c r="H448" t="s">
        <v>70</v>
      </c>
      <c r="I448">
        <v>0</v>
      </c>
      <c r="J448">
        <v>0</v>
      </c>
      <c r="K448" t="s">
        <v>47</v>
      </c>
      <c r="L448" t="s">
        <v>47</v>
      </c>
      <c r="M448" t="s">
        <v>47</v>
      </c>
      <c r="N448" t="s">
        <v>62</v>
      </c>
      <c r="O448" t="s">
        <v>48</v>
      </c>
      <c r="P448">
        <v>26.6</v>
      </c>
      <c r="Q448" t="s">
        <v>50</v>
      </c>
      <c r="R448" t="s">
        <v>47</v>
      </c>
      <c r="S448" t="s">
        <v>47</v>
      </c>
      <c r="T448" t="s">
        <v>47</v>
      </c>
      <c r="U448" t="s">
        <v>46</v>
      </c>
      <c r="V448" t="s">
        <v>51</v>
      </c>
      <c r="W448" t="s">
        <v>47</v>
      </c>
      <c r="X448" t="s">
        <v>47</v>
      </c>
      <c r="Y448" t="s">
        <v>46</v>
      </c>
      <c r="Z448" t="s">
        <v>47</v>
      </c>
      <c r="AA448" t="s">
        <v>47</v>
      </c>
      <c r="AB448" t="s">
        <v>47</v>
      </c>
      <c r="AC448" t="s">
        <v>47</v>
      </c>
      <c r="AD448" t="s">
        <v>46</v>
      </c>
      <c r="AE448" t="s">
        <v>47</v>
      </c>
      <c r="AF448" t="s">
        <v>47</v>
      </c>
      <c r="AG448" t="s">
        <v>52</v>
      </c>
      <c r="AH448" t="s">
        <v>90</v>
      </c>
      <c r="AI448" t="s">
        <v>87</v>
      </c>
      <c r="AJ448">
        <v>4.2</v>
      </c>
      <c r="AK448" t="s">
        <v>47</v>
      </c>
      <c r="AL448" t="s">
        <v>76</v>
      </c>
      <c r="AM448" t="s">
        <v>118</v>
      </c>
      <c r="AN448">
        <v>42</v>
      </c>
      <c r="AO448" t="s">
        <v>46</v>
      </c>
    </row>
    <row r="449" spans="1:41">
      <c r="A449" t="s">
        <v>601</v>
      </c>
      <c r="B449">
        <v>2021</v>
      </c>
      <c r="C449" s="1">
        <v>44341</v>
      </c>
      <c r="D449" t="s">
        <v>95</v>
      </c>
      <c r="E449" t="s">
        <v>132</v>
      </c>
      <c r="F449">
        <v>53</v>
      </c>
      <c r="G449" t="s">
        <v>60</v>
      </c>
      <c r="H449" t="s">
        <v>70</v>
      </c>
      <c r="I449">
        <v>0</v>
      </c>
      <c r="J449">
        <v>0</v>
      </c>
      <c r="K449" t="s">
        <v>47</v>
      </c>
      <c r="L449" t="s">
        <v>47</v>
      </c>
      <c r="M449" t="s">
        <v>47</v>
      </c>
      <c r="N449" t="s">
        <v>50</v>
      </c>
      <c r="O449" t="s">
        <v>49</v>
      </c>
      <c r="P449">
        <v>28.4</v>
      </c>
      <c r="Q449" t="s">
        <v>50</v>
      </c>
      <c r="R449" t="s">
        <v>47</v>
      </c>
      <c r="S449" t="s">
        <v>47</v>
      </c>
      <c r="T449" t="s">
        <v>47</v>
      </c>
      <c r="U449" t="s">
        <v>47</v>
      </c>
      <c r="V449" t="s">
        <v>86</v>
      </c>
      <c r="W449" t="s">
        <v>46</v>
      </c>
      <c r="X449" t="s">
        <v>47</v>
      </c>
      <c r="Y449" t="s">
        <v>46</v>
      </c>
      <c r="Z449" t="s">
        <v>47</v>
      </c>
      <c r="AA449" t="s">
        <v>47</v>
      </c>
      <c r="AB449" t="s">
        <v>47</v>
      </c>
      <c r="AC449" t="s">
        <v>47</v>
      </c>
      <c r="AD449" t="s">
        <v>46</v>
      </c>
      <c r="AE449" t="s">
        <v>47</v>
      </c>
      <c r="AF449" t="s">
        <v>47</v>
      </c>
      <c r="AG449" t="s">
        <v>52</v>
      </c>
      <c r="AH449" t="s">
        <v>53</v>
      </c>
      <c r="AI449" t="s">
        <v>54</v>
      </c>
      <c r="AJ449">
        <v>6.8</v>
      </c>
      <c r="AK449" t="s">
        <v>46</v>
      </c>
      <c r="AL449" t="s">
        <v>72</v>
      </c>
      <c r="AM449" t="s">
        <v>77</v>
      </c>
      <c r="AN449">
        <v>9</v>
      </c>
      <c r="AO449" t="s">
        <v>47</v>
      </c>
    </row>
    <row r="450" spans="1:41">
      <c r="A450" t="s">
        <v>602</v>
      </c>
      <c r="B450">
        <v>2023</v>
      </c>
      <c r="C450" s="1">
        <v>45225</v>
      </c>
      <c r="D450" t="s">
        <v>42</v>
      </c>
      <c r="E450" t="s">
        <v>136</v>
      </c>
      <c r="F450">
        <v>45</v>
      </c>
      <c r="G450" t="s">
        <v>44</v>
      </c>
      <c r="H450" t="s">
        <v>61</v>
      </c>
      <c r="I450">
        <v>14</v>
      </c>
      <c r="J450">
        <v>19</v>
      </c>
      <c r="K450" t="s">
        <v>47</v>
      </c>
      <c r="L450" t="s">
        <v>47</v>
      </c>
      <c r="M450" t="s">
        <v>47</v>
      </c>
      <c r="N450" t="s">
        <v>62</v>
      </c>
      <c r="O450" t="s">
        <v>48</v>
      </c>
      <c r="P450">
        <v>28.7</v>
      </c>
      <c r="Q450" t="s">
        <v>50</v>
      </c>
      <c r="R450" t="s">
        <v>47</v>
      </c>
      <c r="S450" t="s">
        <v>47</v>
      </c>
      <c r="T450" t="s">
        <v>47</v>
      </c>
      <c r="U450" t="s">
        <v>47</v>
      </c>
      <c r="V450" t="s">
        <v>51</v>
      </c>
      <c r="W450" t="s">
        <v>47</v>
      </c>
      <c r="X450" t="s">
        <v>46</v>
      </c>
      <c r="Y450" t="s">
        <v>47</v>
      </c>
      <c r="Z450" t="s">
        <v>46</v>
      </c>
      <c r="AA450" t="s">
        <v>47</v>
      </c>
      <c r="AB450" t="s">
        <v>46</v>
      </c>
      <c r="AC450" t="s">
        <v>47</v>
      </c>
      <c r="AD450" t="s">
        <v>47</v>
      </c>
      <c r="AE450" t="s">
        <v>47</v>
      </c>
      <c r="AF450" t="s">
        <v>47</v>
      </c>
      <c r="AG450" t="s">
        <v>52</v>
      </c>
      <c r="AH450" t="s">
        <v>53</v>
      </c>
      <c r="AI450" t="s">
        <v>65</v>
      </c>
      <c r="AJ450">
        <v>1.4</v>
      </c>
      <c r="AK450" t="s">
        <v>47</v>
      </c>
      <c r="AL450" t="s">
        <v>72</v>
      </c>
      <c r="AM450" t="s">
        <v>73</v>
      </c>
      <c r="AN450">
        <v>59</v>
      </c>
      <c r="AO450" t="s">
        <v>46</v>
      </c>
    </row>
    <row r="451" spans="1:41">
      <c r="A451" t="s">
        <v>603</v>
      </c>
      <c r="B451">
        <v>2020</v>
      </c>
      <c r="C451" s="1">
        <v>43942</v>
      </c>
      <c r="D451" t="s">
        <v>110</v>
      </c>
      <c r="E451" t="s">
        <v>236</v>
      </c>
      <c r="F451">
        <v>75</v>
      </c>
      <c r="G451" t="s">
        <v>60</v>
      </c>
      <c r="H451" t="s">
        <v>45</v>
      </c>
      <c r="I451">
        <v>35</v>
      </c>
      <c r="J451">
        <v>38</v>
      </c>
      <c r="K451" t="s">
        <v>47</v>
      </c>
      <c r="L451" t="s">
        <v>47</v>
      </c>
      <c r="M451" t="s">
        <v>47</v>
      </c>
      <c r="N451" t="s">
        <v>62</v>
      </c>
      <c r="O451" t="s">
        <v>48</v>
      </c>
      <c r="P451">
        <v>30.5</v>
      </c>
      <c r="Q451" t="s">
        <v>50</v>
      </c>
      <c r="R451" t="s">
        <v>47</v>
      </c>
      <c r="S451" t="s">
        <v>47</v>
      </c>
      <c r="T451" t="s">
        <v>47</v>
      </c>
      <c r="U451" t="s">
        <v>47</v>
      </c>
      <c r="V451" t="s">
        <v>51</v>
      </c>
      <c r="W451" t="s">
        <v>46</v>
      </c>
      <c r="X451" t="s">
        <v>46</v>
      </c>
      <c r="Y451" t="s">
        <v>47</v>
      </c>
      <c r="Z451" t="s">
        <v>46</v>
      </c>
      <c r="AA451" t="s">
        <v>46</v>
      </c>
      <c r="AB451" t="s">
        <v>47</v>
      </c>
      <c r="AC451" t="s">
        <v>47</v>
      </c>
      <c r="AD451" t="s">
        <v>46</v>
      </c>
      <c r="AE451" t="s">
        <v>47</v>
      </c>
      <c r="AF451" t="s">
        <v>47</v>
      </c>
      <c r="AG451" t="s">
        <v>52</v>
      </c>
      <c r="AH451" t="s">
        <v>71</v>
      </c>
      <c r="AI451" t="s">
        <v>80</v>
      </c>
      <c r="AJ451">
        <v>7.3</v>
      </c>
      <c r="AK451" t="s">
        <v>47</v>
      </c>
      <c r="AL451" t="s">
        <v>156</v>
      </c>
      <c r="AM451" t="s">
        <v>118</v>
      </c>
      <c r="AN451">
        <v>7</v>
      </c>
      <c r="AO451" t="s">
        <v>47</v>
      </c>
    </row>
    <row r="452" spans="1:41">
      <c r="A452" t="s">
        <v>604</v>
      </c>
      <c r="B452">
        <v>2019</v>
      </c>
      <c r="C452" s="1">
        <v>43747</v>
      </c>
      <c r="D452" t="s">
        <v>42</v>
      </c>
      <c r="E452" t="s">
        <v>166</v>
      </c>
      <c r="F452">
        <v>65</v>
      </c>
      <c r="G452" t="s">
        <v>60</v>
      </c>
      <c r="H452" t="s">
        <v>70</v>
      </c>
      <c r="I452">
        <v>0</v>
      </c>
      <c r="J452">
        <v>0</v>
      </c>
      <c r="K452" t="s">
        <v>46</v>
      </c>
      <c r="L452" t="s">
        <v>47</v>
      </c>
      <c r="M452" t="s">
        <v>46</v>
      </c>
      <c r="N452" t="s">
        <v>62</v>
      </c>
      <c r="O452" t="s">
        <v>48</v>
      </c>
      <c r="P452">
        <v>37</v>
      </c>
      <c r="Q452" t="s">
        <v>62</v>
      </c>
      <c r="R452" t="s">
        <v>47</v>
      </c>
      <c r="S452" t="s">
        <v>46</v>
      </c>
      <c r="T452" t="s">
        <v>47</v>
      </c>
      <c r="U452" t="s">
        <v>47</v>
      </c>
      <c r="V452" t="s">
        <v>86</v>
      </c>
      <c r="W452" t="s">
        <v>46</v>
      </c>
      <c r="X452" t="s">
        <v>47</v>
      </c>
      <c r="Y452" t="s">
        <v>46</v>
      </c>
      <c r="Z452" t="s">
        <v>47</v>
      </c>
      <c r="AA452" t="s">
        <v>47</v>
      </c>
      <c r="AB452" t="s">
        <v>47</v>
      </c>
      <c r="AC452" t="s">
        <v>46</v>
      </c>
      <c r="AD452" t="s">
        <v>46</v>
      </c>
      <c r="AE452" t="s">
        <v>47</v>
      </c>
      <c r="AF452" t="s">
        <v>47</v>
      </c>
      <c r="AG452" t="s">
        <v>52</v>
      </c>
      <c r="AH452" t="s">
        <v>71</v>
      </c>
      <c r="AI452" t="s">
        <v>87</v>
      </c>
      <c r="AJ452">
        <v>4.5</v>
      </c>
      <c r="AK452" t="s">
        <v>47</v>
      </c>
      <c r="AL452" t="s">
        <v>66</v>
      </c>
      <c r="AM452" t="s">
        <v>82</v>
      </c>
      <c r="AN452">
        <v>44</v>
      </c>
      <c r="AO452" t="s">
        <v>46</v>
      </c>
    </row>
    <row r="453" spans="1:41">
      <c r="A453" t="s">
        <v>605</v>
      </c>
      <c r="B453">
        <v>2022</v>
      </c>
      <c r="C453" s="1">
        <v>44869</v>
      </c>
      <c r="D453" t="s">
        <v>110</v>
      </c>
      <c r="E453" t="s">
        <v>177</v>
      </c>
      <c r="F453">
        <v>57</v>
      </c>
      <c r="G453" t="s">
        <v>60</v>
      </c>
      <c r="H453" t="s">
        <v>61</v>
      </c>
      <c r="I453">
        <v>11</v>
      </c>
      <c r="J453">
        <v>16</v>
      </c>
      <c r="K453" t="s">
        <v>47</v>
      </c>
      <c r="L453" t="s">
        <v>47</v>
      </c>
      <c r="M453" t="s">
        <v>46</v>
      </c>
      <c r="N453" t="s">
        <v>62</v>
      </c>
      <c r="O453" t="s">
        <v>48</v>
      </c>
      <c r="P453">
        <v>27.3</v>
      </c>
      <c r="Q453" t="s">
        <v>62</v>
      </c>
      <c r="R453" t="s">
        <v>47</v>
      </c>
      <c r="S453" t="s">
        <v>47</v>
      </c>
      <c r="T453" t="s">
        <v>47</v>
      </c>
      <c r="U453" t="s">
        <v>47</v>
      </c>
      <c r="V453" t="s">
        <v>86</v>
      </c>
      <c r="W453" t="s">
        <v>47</v>
      </c>
      <c r="X453" t="s">
        <v>47</v>
      </c>
      <c r="Y453" t="s">
        <v>46</v>
      </c>
      <c r="Z453" t="s">
        <v>47</v>
      </c>
      <c r="AA453" t="s">
        <v>47</v>
      </c>
      <c r="AB453" t="s">
        <v>47</v>
      </c>
      <c r="AC453" t="s">
        <v>46</v>
      </c>
      <c r="AD453" t="s">
        <v>47</v>
      </c>
      <c r="AE453" t="s">
        <v>46</v>
      </c>
      <c r="AF453" t="s">
        <v>47</v>
      </c>
      <c r="AG453" t="s">
        <v>52</v>
      </c>
      <c r="AH453" t="s">
        <v>71</v>
      </c>
      <c r="AI453" t="s">
        <v>87</v>
      </c>
      <c r="AJ453">
        <v>4.3</v>
      </c>
      <c r="AK453" t="s">
        <v>47</v>
      </c>
      <c r="AL453" t="s">
        <v>76</v>
      </c>
      <c r="AM453" t="s">
        <v>103</v>
      </c>
      <c r="AN453">
        <v>42</v>
      </c>
      <c r="AO453" t="s">
        <v>47</v>
      </c>
    </row>
    <row r="454" spans="1:41">
      <c r="A454" t="s">
        <v>606</v>
      </c>
      <c r="B454">
        <v>2024</v>
      </c>
      <c r="C454" s="1">
        <v>45438</v>
      </c>
      <c r="D454" t="s">
        <v>84</v>
      </c>
      <c r="E454" t="s">
        <v>571</v>
      </c>
      <c r="F454">
        <v>65</v>
      </c>
      <c r="G454" t="s">
        <v>60</v>
      </c>
      <c r="H454" t="s">
        <v>70</v>
      </c>
      <c r="I454">
        <v>0</v>
      </c>
      <c r="J454">
        <v>0</v>
      </c>
      <c r="K454" t="s">
        <v>46</v>
      </c>
      <c r="L454" t="s">
        <v>47</v>
      </c>
      <c r="M454" t="s">
        <v>47</v>
      </c>
      <c r="N454" t="s">
        <v>48</v>
      </c>
      <c r="O454" t="s">
        <v>49</v>
      </c>
      <c r="P454">
        <v>29.4</v>
      </c>
      <c r="Q454" t="s">
        <v>48</v>
      </c>
      <c r="R454" t="s">
        <v>47</v>
      </c>
      <c r="S454" t="s">
        <v>47</v>
      </c>
      <c r="T454" t="s">
        <v>47</v>
      </c>
      <c r="U454" t="s">
        <v>47</v>
      </c>
      <c r="V454" t="s">
        <v>86</v>
      </c>
      <c r="W454" t="s">
        <v>46</v>
      </c>
      <c r="X454" t="s">
        <v>47</v>
      </c>
      <c r="Y454" t="s">
        <v>47</v>
      </c>
      <c r="Z454" t="s">
        <v>47</v>
      </c>
      <c r="AA454" t="s">
        <v>46</v>
      </c>
      <c r="AB454" t="s">
        <v>47</v>
      </c>
      <c r="AC454" t="s">
        <v>47</v>
      </c>
      <c r="AD454" t="s">
        <v>47</v>
      </c>
      <c r="AE454" t="s">
        <v>47</v>
      </c>
      <c r="AF454" t="s">
        <v>47</v>
      </c>
      <c r="AG454" t="s">
        <v>52</v>
      </c>
      <c r="AH454" t="s">
        <v>71</v>
      </c>
      <c r="AI454" t="s">
        <v>80</v>
      </c>
      <c r="AJ454">
        <v>7.3</v>
      </c>
      <c r="AK454" t="s">
        <v>47</v>
      </c>
      <c r="AL454" t="s">
        <v>66</v>
      </c>
      <c r="AM454" t="s">
        <v>103</v>
      </c>
      <c r="AN454">
        <v>31</v>
      </c>
      <c r="AO454" t="s">
        <v>47</v>
      </c>
    </row>
    <row r="455" spans="1:41">
      <c r="A455" t="s">
        <v>607</v>
      </c>
      <c r="B455">
        <v>2023</v>
      </c>
      <c r="C455" s="1">
        <v>44945</v>
      </c>
      <c r="D455" t="s">
        <v>110</v>
      </c>
      <c r="E455" t="s">
        <v>111</v>
      </c>
      <c r="F455">
        <v>63</v>
      </c>
      <c r="G455" t="s">
        <v>60</v>
      </c>
      <c r="H455" t="s">
        <v>70</v>
      </c>
      <c r="I455">
        <v>0</v>
      </c>
      <c r="J455">
        <v>0</v>
      </c>
      <c r="K455" t="s">
        <v>47</v>
      </c>
      <c r="L455" t="s">
        <v>47</v>
      </c>
      <c r="M455" t="s">
        <v>47</v>
      </c>
      <c r="N455" t="s">
        <v>48</v>
      </c>
      <c r="O455" t="s">
        <v>63</v>
      </c>
      <c r="P455">
        <v>21.8</v>
      </c>
      <c r="Q455" t="s">
        <v>48</v>
      </c>
      <c r="R455" t="s">
        <v>47</v>
      </c>
      <c r="S455" t="s">
        <v>47</v>
      </c>
      <c r="T455" t="s">
        <v>47</v>
      </c>
      <c r="U455" t="s">
        <v>47</v>
      </c>
      <c r="V455" t="s">
        <v>193</v>
      </c>
      <c r="W455" t="s">
        <v>47</v>
      </c>
      <c r="X455" t="s">
        <v>47</v>
      </c>
      <c r="Y455" t="s">
        <v>47</v>
      </c>
      <c r="Z455" t="s">
        <v>47</v>
      </c>
      <c r="AA455" t="s">
        <v>47</v>
      </c>
      <c r="AB455" t="s">
        <v>47</v>
      </c>
      <c r="AC455" t="s">
        <v>47</v>
      </c>
      <c r="AD455" t="s">
        <v>47</v>
      </c>
      <c r="AE455" t="s">
        <v>47</v>
      </c>
      <c r="AF455" t="s">
        <v>46</v>
      </c>
      <c r="AG455" t="s">
        <v>52</v>
      </c>
      <c r="AH455" t="s">
        <v>53</v>
      </c>
      <c r="AI455" t="s">
        <v>80</v>
      </c>
      <c r="AJ455">
        <v>6.3</v>
      </c>
      <c r="AK455" t="s">
        <v>47</v>
      </c>
      <c r="AL455" t="s">
        <v>100</v>
      </c>
      <c r="AM455" t="s">
        <v>56</v>
      </c>
      <c r="AN455">
        <v>23</v>
      </c>
      <c r="AO455" t="s">
        <v>47</v>
      </c>
    </row>
    <row r="456" spans="1:41">
      <c r="A456" t="s">
        <v>608</v>
      </c>
      <c r="B456">
        <v>2021</v>
      </c>
      <c r="C456" s="1">
        <v>44535</v>
      </c>
      <c r="D456" t="s">
        <v>110</v>
      </c>
      <c r="E456" t="s">
        <v>227</v>
      </c>
      <c r="F456">
        <v>58</v>
      </c>
      <c r="G456" t="s">
        <v>60</v>
      </c>
      <c r="H456" t="s">
        <v>70</v>
      </c>
      <c r="I456">
        <v>0</v>
      </c>
      <c r="J456">
        <v>0</v>
      </c>
      <c r="K456" t="s">
        <v>46</v>
      </c>
      <c r="L456" t="s">
        <v>46</v>
      </c>
      <c r="M456" t="s">
        <v>46</v>
      </c>
      <c r="N456" t="s">
        <v>62</v>
      </c>
      <c r="O456" t="s">
        <v>49</v>
      </c>
      <c r="P456">
        <v>21.1</v>
      </c>
      <c r="Q456" t="s">
        <v>48</v>
      </c>
      <c r="R456" t="s">
        <v>47</v>
      </c>
      <c r="S456" t="s">
        <v>47</v>
      </c>
      <c r="T456" t="s">
        <v>47</v>
      </c>
      <c r="U456" t="s">
        <v>47</v>
      </c>
      <c r="V456" t="s">
        <v>86</v>
      </c>
      <c r="W456" t="s">
        <v>47</v>
      </c>
      <c r="X456" t="s">
        <v>47</v>
      </c>
      <c r="Y456" t="s">
        <v>47</v>
      </c>
      <c r="Z456" t="s">
        <v>47</v>
      </c>
      <c r="AA456" t="s">
        <v>46</v>
      </c>
      <c r="AB456" t="s">
        <v>46</v>
      </c>
      <c r="AC456" t="s">
        <v>47</v>
      </c>
      <c r="AD456" t="s">
        <v>47</v>
      </c>
      <c r="AE456" t="s">
        <v>47</v>
      </c>
      <c r="AF456" t="s">
        <v>47</v>
      </c>
      <c r="AG456" t="s">
        <v>52</v>
      </c>
      <c r="AH456" t="s">
        <v>71</v>
      </c>
      <c r="AI456" t="s">
        <v>65</v>
      </c>
      <c r="AJ456">
        <v>3.2</v>
      </c>
      <c r="AK456" t="s">
        <v>47</v>
      </c>
      <c r="AL456" t="s">
        <v>156</v>
      </c>
      <c r="AM456" t="s">
        <v>73</v>
      </c>
      <c r="AN456">
        <v>43</v>
      </c>
      <c r="AO456" t="s">
        <v>46</v>
      </c>
    </row>
    <row r="457" spans="1:41">
      <c r="A457" t="s">
        <v>609</v>
      </c>
      <c r="B457">
        <v>2022</v>
      </c>
      <c r="C457" s="1">
        <v>44692</v>
      </c>
      <c r="D457" t="s">
        <v>110</v>
      </c>
      <c r="E457" t="s">
        <v>231</v>
      </c>
      <c r="F457">
        <v>71</v>
      </c>
      <c r="G457" t="s">
        <v>60</v>
      </c>
      <c r="H457" t="s">
        <v>70</v>
      </c>
      <c r="I457">
        <v>0</v>
      </c>
      <c r="J457">
        <v>0</v>
      </c>
      <c r="K457" t="s">
        <v>47</v>
      </c>
      <c r="L457" t="s">
        <v>46</v>
      </c>
      <c r="M457" t="s">
        <v>47</v>
      </c>
      <c r="N457" t="s">
        <v>62</v>
      </c>
      <c r="O457" t="s">
        <v>48</v>
      </c>
      <c r="P457">
        <v>26.8</v>
      </c>
      <c r="Q457" t="s">
        <v>50</v>
      </c>
      <c r="R457" t="s">
        <v>47</v>
      </c>
      <c r="S457" t="s">
        <v>47</v>
      </c>
      <c r="T457" t="s">
        <v>47</v>
      </c>
      <c r="U457" t="s">
        <v>47</v>
      </c>
      <c r="V457" t="s">
        <v>51</v>
      </c>
      <c r="W457" t="s">
        <v>47</v>
      </c>
      <c r="X457" t="s">
        <v>46</v>
      </c>
      <c r="Y457" t="s">
        <v>47</v>
      </c>
      <c r="Z457" t="s">
        <v>47</v>
      </c>
      <c r="AA457" t="s">
        <v>47</v>
      </c>
      <c r="AB457" t="s">
        <v>46</v>
      </c>
      <c r="AC457" t="s">
        <v>47</v>
      </c>
      <c r="AD457" t="s">
        <v>47</v>
      </c>
      <c r="AE457" t="s">
        <v>47</v>
      </c>
      <c r="AF457" t="s">
        <v>47</v>
      </c>
      <c r="AG457" t="s">
        <v>52</v>
      </c>
      <c r="AH457" t="s">
        <v>53</v>
      </c>
      <c r="AI457" t="s">
        <v>80</v>
      </c>
      <c r="AJ457">
        <v>3.7</v>
      </c>
      <c r="AK457" t="s">
        <v>47</v>
      </c>
      <c r="AL457" t="s">
        <v>81</v>
      </c>
      <c r="AM457" t="s">
        <v>103</v>
      </c>
      <c r="AN457">
        <v>20</v>
      </c>
      <c r="AO457" t="s">
        <v>47</v>
      </c>
    </row>
    <row r="458" spans="1:41">
      <c r="A458" t="s">
        <v>610</v>
      </c>
      <c r="B458">
        <v>2022</v>
      </c>
      <c r="C458" s="1">
        <v>44627</v>
      </c>
      <c r="D458" t="s">
        <v>42</v>
      </c>
      <c r="E458" t="s">
        <v>166</v>
      </c>
      <c r="F458">
        <v>71</v>
      </c>
      <c r="G458" t="s">
        <v>60</v>
      </c>
      <c r="H458" t="s">
        <v>61</v>
      </c>
      <c r="I458">
        <v>21</v>
      </c>
      <c r="J458">
        <v>13</v>
      </c>
      <c r="K458" t="s">
        <v>47</v>
      </c>
      <c r="L458" t="s">
        <v>46</v>
      </c>
      <c r="M458" t="s">
        <v>47</v>
      </c>
      <c r="N458" t="s">
        <v>62</v>
      </c>
      <c r="O458" t="s">
        <v>49</v>
      </c>
      <c r="P458">
        <v>32.1</v>
      </c>
      <c r="Q458" t="s">
        <v>48</v>
      </c>
      <c r="R458" t="s">
        <v>47</v>
      </c>
      <c r="S458" t="s">
        <v>47</v>
      </c>
      <c r="T458" t="s">
        <v>47</v>
      </c>
      <c r="U458" t="s">
        <v>47</v>
      </c>
      <c r="V458" t="s">
        <v>64</v>
      </c>
      <c r="W458" t="s">
        <v>46</v>
      </c>
      <c r="X458" t="s">
        <v>47</v>
      </c>
      <c r="Y458" t="s">
        <v>47</v>
      </c>
      <c r="Z458" t="s">
        <v>46</v>
      </c>
      <c r="AA458" t="s">
        <v>46</v>
      </c>
      <c r="AB458" t="s">
        <v>47</v>
      </c>
      <c r="AC458" t="s">
        <v>47</v>
      </c>
      <c r="AD458" t="s">
        <v>47</v>
      </c>
      <c r="AE458" t="s">
        <v>47</v>
      </c>
      <c r="AF458" t="s">
        <v>47</v>
      </c>
      <c r="AG458" t="s">
        <v>52</v>
      </c>
      <c r="AH458" t="s">
        <v>71</v>
      </c>
      <c r="AI458" t="s">
        <v>87</v>
      </c>
      <c r="AJ458">
        <v>3.7</v>
      </c>
      <c r="AK458" t="s">
        <v>47</v>
      </c>
      <c r="AL458" t="s">
        <v>81</v>
      </c>
      <c r="AM458" t="s">
        <v>73</v>
      </c>
      <c r="AN458">
        <v>54</v>
      </c>
      <c r="AO458" t="s">
        <v>46</v>
      </c>
    </row>
    <row r="459" spans="1:41">
      <c r="A459" t="s">
        <v>611</v>
      </c>
      <c r="B459">
        <v>2022</v>
      </c>
      <c r="C459" s="1">
        <v>44816</v>
      </c>
      <c r="D459" t="s">
        <v>84</v>
      </c>
      <c r="E459" t="s">
        <v>89</v>
      </c>
      <c r="F459">
        <v>61</v>
      </c>
      <c r="G459" t="s">
        <v>44</v>
      </c>
      <c r="H459" t="s">
        <v>70</v>
      </c>
      <c r="I459">
        <v>0</v>
      </c>
      <c r="J459">
        <v>0</v>
      </c>
      <c r="K459" t="s">
        <v>46</v>
      </c>
      <c r="L459" t="s">
        <v>47</v>
      </c>
      <c r="M459" t="s">
        <v>46</v>
      </c>
      <c r="N459" t="s">
        <v>50</v>
      </c>
      <c r="O459" t="s">
        <v>63</v>
      </c>
      <c r="P459">
        <v>31.4</v>
      </c>
      <c r="Q459" t="s">
        <v>50</v>
      </c>
      <c r="R459" t="s">
        <v>47</v>
      </c>
      <c r="S459" t="s">
        <v>47</v>
      </c>
      <c r="T459" t="s">
        <v>46</v>
      </c>
      <c r="U459" t="s">
        <v>47</v>
      </c>
      <c r="V459" t="s">
        <v>193</v>
      </c>
      <c r="W459" t="s">
        <v>47</v>
      </c>
      <c r="X459" t="s">
        <v>47</v>
      </c>
      <c r="Y459" t="s">
        <v>47</v>
      </c>
      <c r="Z459" t="s">
        <v>47</v>
      </c>
      <c r="AA459" t="s">
        <v>47</v>
      </c>
      <c r="AB459" t="s">
        <v>47</v>
      </c>
      <c r="AC459" t="s">
        <v>47</v>
      </c>
      <c r="AD459" t="s">
        <v>47</v>
      </c>
      <c r="AE459" t="s">
        <v>47</v>
      </c>
      <c r="AF459" t="s">
        <v>47</v>
      </c>
      <c r="AG459" t="s">
        <v>52</v>
      </c>
      <c r="AH459" t="s">
        <v>53</v>
      </c>
      <c r="AI459" t="s">
        <v>65</v>
      </c>
      <c r="AJ459">
        <v>2.2999999999999998</v>
      </c>
      <c r="AK459" t="s">
        <v>47</v>
      </c>
      <c r="AL459" t="s">
        <v>76</v>
      </c>
      <c r="AM459" t="s">
        <v>67</v>
      </c>
      <c r="AN459">
        <v>29</v>
      </c>
      <c r="AO459" t="s">
        <v>47</v>
      </c>
    </row>
    <row r="460" spans="1:41">
      <c r="A460" t="s">
        <v>612</v>
      </c>
      <c r="B460">
        <v>2023</v>
      </c>
      <c r="C460" s="1">
        <v>45178</v>
      </c>
      <c r="D460" t="s">
        <v>84</v>
      </c>
      <c r="E460" t="s">
        <v>182</v>
      </c>
      <c r="F460">
        <v>54</v>
      </c>
      <c r="G460" t="s">
        <v>60</v>
      </c>
      <c r="H460" t="s">
        <v>45</v>
      </c>
      <c r="I460">
        <v>18</v>
      </c>
      <c r="J460">
        <v>31</v>
      </c>
      <c r="K460" t="s">
        <v>47</v>
      </c>
      <c r="L460" t="s">
        <v>47</v>
      </c>
      <c r="M460" t="s">
        <v>47</v>
      </c>
      <c r="N460" t="s">
        <v>62</v>
      </c>
      <c r="O460" t="s">
        <v>48</v>
      </c>
      <c r="P460">
        <v>30.9</v>
      </c>
      <c r="Q460" t="s">
        <v>48</v>
      </c>
      <c r="R460" t="s">
        <v>47</v>
      </c>
      <c r="S460" t="s">
        <v>47</v>
      </c>
      <c r="T460" t="s">
        <v>47</v>
      </c>
      <c r="U460" t="s">
        <v>47</v>
      </c>
      <c r="V460" t="s">
        <v>51</v>
      </c>
      <c r="W460" t="s">
        <v>46</v>
      </c>
      <c r="X460" t="s">
        <v>46</v>
      </c>
      <c r="Y460" t="s">
        <v>46</v>
      </c>
      <c r="Z460" t="s">
        <v>46</v>
      </c>
      <c r="AA460" t="s">
        <v>46</v>
      </c>
      <c r="AB460" t="s">
        <v>47</v>
      </c>
      <c r="AC460" t="s">
        <v>47</v>
      </c>
      <c r="AD460" t="s">
        <v>47</v>
      </c>
      <c r="AE460" t="s">
        <v>47</v>
      </c>
      <c r="AF460" t="s">
        <v>47</v>
      </c>
      <c r="AG460" t="s">
        <v>52</v>
      </c>
      <c r="AH460" t="s">
        <v>71</v>
      </c>
      <c r="AI460" t="s">
        <v>54</v>
      </c>
      <c r="AJ460">
        <v>8.3000000000000007</v>
      </c>
      <c r="AK460" t="s">
        <v>46</v>
      </c>
      <c r="AL460" t="s">
        <v>81</v>
      </c>
      <c r="AM460" t="s">
        <v>103</v>
      </c>
      <c r="AN460">
        <v>2</v>
      </c>
      <c r="AO460" t="s">
        <v>47</v>
      </c>
    </row>
    <row r="461" spans="1:41">
      <c r="A461" t="s">
        <v>613</v>
      </c>
      <c r="B461">
        <v>2019</v>
      </c>
      <c r="C461" s="1">
        <v>43612</v>
      </c>
      <c r="D461" t="s">
        <v>98</v>
      </c>
      <c r="E461" t="s">
        <v>202</v>
      </c>
      <c r="F461">
        <v>65</v>
      </c>
      <c r="G461" t="s">
        <v>44</v>
      </c>
      <c r="H461" t="s">
        <v>70</v>
      </c>
      <c r="I461">
        <v>0</v>
      </c>
      <c r="J461">
        <v>0</v>
      </c>
      <c r="K461" t="s">
        <v>46</v>
      </c>
      <c r="L461" t="s">
        <v>47</v>
      </c>
      <c r="M461" t="s">
        <v>47</v>
      </c>
      <c r="N461" t="s">
        <v>62</v>
      </c>
      <c r="O461" t="s">
        <v>48</v>
      </c>
      <c r="P461">
        <v>24.2</v>
      </c>
      <c r="Q461" t="s">
        <v>50</v>
      </c>
      <c r="R461" t="s">
        <v>47</v>
      </c>
      <c r="S461" t="s">
        <v>47</v>
      </c>
      <c r="T461" t="s">
        <v>47</v>
      </c>
      <c r="U461" t="s">
        <v>47</v>
      </c>
      <c r="V461" t="s">
        <v>64</v>
      </c>
      <c r="W461" t="s">
        <v>47</v>
      </c>
      <c r="X461" t="s">
        <v>46</v>
      </c>
      <c r="Y461" t="s">
        <v>47</v>
      </c>
      <c r="Z461" t="s">
        <v>47</v>
      </c>
      <c r="AA461" t="s">
        <v>47</v>
      </c>
      <c r="AB461" t="s">
        <v>47</v>
      </c>
      <c r="AC461" t="s">
        <v>47</v>
      </c>
      <c r="AD461" t="s">
        <v>47</v>
      </c>
      <c r="AE461" t="s">
        <v>47</v>
      </c>
      <c r="AF461" t="s">
        <v>47</v>
      </c>
      <c r="AG461" t="s">
        <v>52</v>
      </c>
      <c r="AH461" t="s">
        <v>90</v>
      </c>
      <c r="AI461" t="s">
        <v>80</v>
      </c>
      <c r="AJ461">
        <v>6.6</v>
      </c>
      <c r="AK461" t="s">
        <v>47</v>
      </c>
      <c r="AL461" t="s">
        <v>81</v>
      </c>
      <c r="AM461" t="s">
        <v>77</v>
      </c>
      <c r="AN461">
        <v>24</v>
      </c>
      <c r="AO461" t="s">
        <v>47</v>
      </c>
    </row>
    <row r="462" spans="1:41">
      <c r="A462" t="s">
        <v>614</v>
      </c>
      <c r="B462">
        <v>2021</v>
      </c>
      <c r="C462" s="1">
        <v>44340</v>
      </c>
      <c r="D462" t="s">
        <v>58</v>
      </c>
      <c r="E462" t="s">
        <v>138</v>
      </c>
      <c r="F462">
        <v>55</v>
      </c>
      <c r="G462" t="s">
        <v>60</v>
      </c>
      <c r="H462" t="s">
        <v>45</v>
      </c>
      <c r="I462">
        <v>12</v>
      </c>
      <c r="J462">
        <v>25</v>
      </c>
      <c r="K462" t="s">
        <v>46</v>
      </c>
      <c r="L462" t="s">
        <v>47</v>
      </c>
      <c r="M462" t="s">
        <v>47</v>
      </c>
      <c r="N462" t="s">
        <v>62</v>
      </c>
      <c r="O462" t="s">
        <v>49</v>
      </c>
      <c r="P462">
        <v>29.8</v>
      </c>
      <c r="Q462" t="s">
        <v>50</v>
      </c>
      <c r="R462" t="s">
        <v>47</v>
      </c>
      <c r="S462" t="s">
        <v>47</v>
      </c>
      <c r="T462" t="s">
        <v>46</v>
      </c>
      <c r="U462" t="s">
        <v>47</v>
      </c>
      <c r="V462" t="s">
        <v>86</v>
      </c>
      <c r="W462" t="s">
        <v>47</v>
      </c>
      <c r="X462" t="s">
        <v>46</v>
      </c>
      <c r="Y462" t="s">
        <v>47</v>
      </c>
      <c r="Z462" t="s">
        <v>47</v>
      </c>
      <c r="AA462" t="s">
        <v>46</v>
      </c>
      <c r="AB462" t="s">
        <v>46</v>
      </c>
      <c r="AC462" t="s">
        <v>46</v>
      </c>
      <c r="AD462" t="s">
        <v>47</v>
      </c>
      <c r="AE462" t="s">
        <v>47</v>
      </c>
      <c r="AF462" t="s">
        <v>47</v>
      </c>
      <c r="AG462" t="s">
        <v>52</v>
      </c>
      <c r="AH462" t="s">
        <v>90</v>
      </c>
      <c r="AI462" t="s">
        <v>80</v>
      </c>
      <c r="AJ462">
        <v>4.7</v>
      </c>
      <c r="AK462" t="s">
        <v>46</v>
      </c>
      <c r="AL462" t="s">
        <v>66</v>
      </c>
      <c r="AM462" t="s">
        <v>67</v>
      </c>
      <c r="AN462">
        <v>14</v>
      </c>
      <c r="AO462" t="s">
        <v>46</v>
      </c>
    </row>
    <row r="463" spans="1:41">
      <c r="A463" t="s">
        <v>615</v>
      </c>
      <c r="B463">
        <v>2021</v>
      </c>
      <c r="C463" s="1">
        <v>44242</v>
      </c>
      <c r="D463" t="s">
        <v>110</v>
      </c>
      <c r="E463" t="s">
        <v>227</v>
      </c>
      <c r="F463">
        <v>53</v>
      </c>
      <c r="G463" t="s">
        <v>60</v>
      </c>
      <c r="H463" t="s">
        <v>61</v>
      </c>
      <c r="I463">
        <v>15</v>
      </c>
      <c r="J463">
        <v>17</v>
      </c>
      <c r="K463" t="s">
        <v>46</v>
      </c>
      <c r="L463" t="s">
        <v>46</v>
      </c>
      <c r="M463" t="s">
        <v>47</v>
      </c>
      <c r="N463" t="s">
        <v>48</v>
      </c>
      <c r="O463" t="s">
        <v>49</v>
      </c>
      <c r="P463">
        <v>26.7</v>
      </c>
      <c r="Q463" t="s">
        <v>48</v>
      </c>
      <c r="R463" t="s">
        <v>46</v>
      </c>
      <c r="S463" t="s">
        <v>47</v>
      </c>
      <c r="T463" t="s">
        <v>47</v>
      </c>
      <c r="U463" t="s">
        <v>47</v>
      </c>
      <c r="V463" t="s">
        <v>86</v>
      </c>
      <c r="W463" t="s">
        <v>47</v>
      </c>
      <c r="X463" t="s">
        <v>46</v>
      </c>
      <c r="Y463" t="s">
        <v>47</v>
      </c>
      <c r="Z463" t="s">
        <v>47</v>
      </c>
      <c r="AA463" t="s">
        <v>46</v>
      </c>
      <c r="AB463" t="s">
        <v>47</v>
      </c>
      <c r="AC463" t="s">
        <v>47</v>
      </c>
      <c r="AD463" t="s">
        <v>46</v>
      </c>
      <c r="AE463" t="s">
        <v>47</v>
      </c>
      <c r="AF463" t="s">
        <v>47</v>
      </c>
      <c r="AG463" t="s">
        <v>52</v>
      </c>
      <c r="AH463" t="s">
        <v>53</v>
      </c>
      <c r="AI463" t="s">
        <v>80</v>
      </c>
      <c r="AJ463">
        <v>3</v>
      </c>
      <c r="AK463" t="s">
        <v>47</v>
      </c>
      <c r="AL463" t="s">
        <v>156</v>
      </c>
      <c r="AM463" t="s">
        <v>82</v>
      </c>
      <c r="AN463">
        <v>14</v>
      </c>
      <c r="AO463" t="s">
        <v>47</v>
      </c>
    </row>
    <row r="464" spans="1:41">
      <c r="A464" t="s">
        <v>616</v>
      </c>
      <c r="B464">
        <v>2025</v>
      </c>
      <c r="C464" s="1">
        <v>45741</v>
      </c>
      <c r="D464" t="s">
        <v>42</v>
      </c>
      <c r="E464" t="s">
        <v>160</v>
      </c>
      <c r="F464">
        <v>64</v>
      </c>
      <c r="G464" t="s">
        <v>60</v>
      </c>
      <c r="H464" t="s">
        <v>61</v>
      </c>
      <c r="I464">
        <v>3</v>
      </c>
      <c r="J464">
        <v>13</v>
      </c>
      <c r="K464" t="s">
        <v>47</v>
      </c>
      <c r="L464" t="s">
        <v>46</v>
      </c>
      <c r="M464" t="s">
        <v>47</v>
      </c>
      <c r="N464" t="s">
        <v>62</v>
      </c>
      <c r="O464" t="s">
        <v>49</v>
      </c>
      <c r="P464">
        <v>36.299999999999997</v>
      </c>
      <c r="Q464" t="s">
        <v>48</v>
      </c>
      <c r="R464" t="s">
        <v>47</v>
      </c>
      <c r="S464" t="s">
        <v>47</v>
      </c>
      <c r="T464" t="s">
        <v>47</v>
      </c>
      <c r="U464" t="s">
        <v>47</v>
      </c>
      <c r="V464" t="s">
        <v>51</v>
      </c>
      <c r="W464" t="s">
        <v>46</v>
      </c>
      <c r="X464" t="s">
        <v>46</v>
      </c>
      <c r="Y464" t="s">
        <v>46</v>
      </c>
      <c r="Z464" t="s">
        <v>47</v>
      </c>
      <c r="AA464" t="s">
        <v>47</v>
      </c>
      <c r="AB464" t="s">
        <v>47</v>
      </c>
      <c r="AC464" t="s">
        <v>47</v>
      </c>
      <c r="AD464" t="s">
        <v>47</v>
      </c>
      <c r="AE464" t="s">
        <v>47</v>
      </c>
      <c r="AF464" t="s">
        <v>47</v>
      </c>
      <c r="AG464" t="s">
        <v>52</v>
      </c>
      <c r="AH464" t="s">
        <v>71</v>
      </c>
      <c r="AI464" t="s">
        <v>87</v>
      </c>
      <c r="AJ464">
        <v>4.5</v>
      </c>
      <c r="AK464" t="s">
        <v>47</v>
      </c>
      <c r="AL464" t="s">
        <v>81</v>
      </c>
      <c r="AM464" t="s">
        <v>67</v>
      </c>
      <c r="AN464">
        <v>60</v>
      </c>
      <c r="AO464" t="s">
        <v>47</v>
      </c>
    </row>
    <row r="465" spans="1:41">
      <c r="A465" t="s">
        <v>617</v>
      </c>
      <c r="B465">
        <v>2021</v>
      </c>
      <c r="C465" s="1">
        <v>44524</v>
      </c>
      <c r="D465" t="s">
        <v>84</v>
      </c>
      <c r="E465" t="s">
        <v>102</v>
      </c>
      <c r="F465">
        <v>72</v>
      </c>
      <c r="G465" t="s">
        <v>60</v>
      </c>
      <c r="H465" t="s">
        <v>70</v>
      </c>
      <c r="I465">
        <v>0</v>
      </c>
      <c r="J465">
        <v>0</v>
      </c>
      <c r="K465" t="s">
        <v>47</v>
      </c>
      <c r="L465" t="s">
        <v>46</v>
      </c>
      <c r="M465" t="s">
        <v>47</v>
      </c>
      <c r="N465" t="s">
        <v>62</v>
      </c>
      <c r="O465" t="s">
        <v>49</v>
      </c>
      <c r="P465">
        <v>26.2</v>
      </c>
      <c r="Q465" t="s">
        <v>48</v>
      </c>
      <c r="R465" t="s">
        <v>47</v>
      </c>
      <c r="S465" t="s">
        <v>47</v>
      </c>
      <c r="T465" t="s">
        <v>47</v>
      </c>
      <c r="U465" t="s">
        <v>47</v>
      </c>
      <c r="V465" t="s">
        <v>51</v>
      </c>
      <c r="W465" t="s">
        <v>47</v>
      </c>
      <c r="X465" t="s">
        <v>47</v>
      </c>
      <c r="Y465" t="s">
        <v>47</v>
      </c>
      <c r="Z465" t="s">
        <v>47</v>
      </c>
      <c r="AA465" t="s">
        <v>46</v>
      </c>
      <c r="AB465" t="s">
        <v>46</v>
      </c>
      <c r="AC465" t="s">
        <v>47</v>
      </c>
      <c r="AD465" t="s">
        <v>47</v>
      </c>
      <c r="AE465" t="s">
        <v>47</v>
      </c>
      <c r="AF465" t="s">
        <v>47</v>
      </c>
      <c r="AG465" t="s">
        <v>52</v>
      </c>
      <c r="AH465" t="s">
        <v>53</v>
      </c>
      <c r="AI465" t="s">
        <v>80</v>
      </c>
      <c r="AJ465">
        <v>8.6999999999999993</v>
      </c>
      <c r="AK465" t="s">
        <v>47</v>
      </c>
      <c r="AL465" t="s">
        <v>55</v>
      </c>
      <c r="AM465" t="s">
        <v>82</v>
      </c>
      <c r="AN465">
        <v>25</v>
      </c>
      <c r="AO465" t="s">
        <v>46</v>
      </c>
    </row>
    <row r="466" spans="1:41">
      <c r="A466" t="s">
        <v>618</v>
      </c>
      <c r="B466">
        <v>2022</v>
      </c>
      <c r="C466" s="1">
        <v>44816</v>
      </c>
      <c r="D466" t="s">
        <v>84</v>
      </c>
      <c r="E466" t="s">
        <v>85</v>
      </c>
      <c r="F466">
        <v>64</v>
      </c>
      <c r="G466" t="s">
        <v>44</v>
      </c>
      <c r="H466" t="s">
        <v>70</v>
      </c>
      <c r="I466">
        <v>0</v>
      </c>
      <c r="J466">
        <v>0</v>
      </c>
      <c r="K466" t="s">
        <v>47</v>
      </c>
      <c r="L466" t="s">
        <v>47</v>
      </c>
      <c r="M466" t="s">
        <v>46</v>
      </c>
      <c r="N466" t="s">
        <v>48</v>
      </c>
      <c r="O466" t="s">
        <v>48</v>
      </c>
      <c r="P466">
        <v>29.2</v>
      </c>
      <c r="Q466" t="s">
        <v>50</v>
      </c>
      <c r="R466" t="s">
        <v>46</v>
      </c>
      <c r="S466" t="s">
        <v>46</v>
      </c>
      <c r="T466" t="s">
        <v>47</v>
      </c>
      <c r="U466" t="s">
        <v>47</v>
      </c>
      <c r="V466" t="s">
        <v>117</v>
      </c>
      <c r="W466" t="s">
        <v>46</v>
      </c>
      <c r="X466" t="s">
        <v>47</v>
      </c>
      <c r="Y466" t="s">
        <v>47</v>
      </c>
      <c r="Z466" t="s">
        <v>47</v>
      </c>
      <c r="AA466" t="s">
        <v>47</v>
      </c>
      <c r="AB466" t="s">
        <v>47</v>
      </c>
      <c r="AC466" t="s">
        <v>47</v>
      </c>
      <c r="AD466" t="s">
        <v>47</v>
      </c>
      <c r="AE466" t="s">
        <v>47</v>
      </c>
      <c r="AF466" t="s">
        <v>47</v>
      </c>
      <c r="AG466" t="s">
        <v>52</v>
      </c>
      <c r="AH466" t="s">
        <v>53</v>
      </c>
      <c r="AI466" t="s">
        <v>80</v>
      </c>
      <c r="AJ466">
        <v>7.2</v>
      </c>
      <c r="AK466" t="s">
        <v>46</v>
      </c>
      <c r="AL466" t="s">
        <v>81</v>
      </c>
      <c r="AM466" t="s">
        <v>77</v>
      </c>
      <c r="AN466">
        <v>12</v>
      </c>
      <c r="AO466" t="s">
        <v>47</v>
      </c>
    </row>
    <row r="467" spans="1:41">
      <c r="A467" t="s">
        <v>619</v>
      </c>
      <c r="B467">
        <v>2021</v>
      </c>
      <c r="C467" s="1">
        <v>44378</v>
      </c>
      <c r="D467" t="s">
        <v>98</v>
      </c>
      <c r="E467" t="s">
        <v>196</v>
      </c>
      <c r="F467">
        <v>62</v>
      </c>
      <c r="G467" t="s">
        <v>60</v>
      </c>
      <c r="H467" t="s">
        <v>70</v>
      </c>
      <c r="I467">
        <v>0</v>
      </c>
      <c r="J467">
        <v>0</v>
      </c>
      <c r="K467" t="s">
        <v>46</v>
      </c>
      <c r="L467" t="s">
        <v>46</v>
      </c>
      <c r="M467" t="s">
        <v>47</v>
      </c>
      <c r="N467" t="s">
        <v>62</v>
      </c>
      <c r="O467" t="s">
        <v>49</v>
      </c>
      <c r="P467">
        <v>23.3</v>
      </c>
      <c r="Q467" t="s">
        <v>48</v>
      </c>
      <c r="R467" t="s">
        <v>47</v>
      </c>
      <c r="S467" t="s">
        <v>47</v>
      </c>
      <c r="T467" t="s">
        <v>47</v>
      </c>
      <c r="U467" t="s">
        <v>47</v>
      </c>
      <c r="V467" t="s">
        <v>86</v>
      </c>
      <c r="W467" t="s">
        <v>46</v>
      </c>
      <c r="X467" t="s">
        <v>47</v>
      </c>
      <c r="Y467" t="s">
        <v>47</v>
      </c>
      <c r="Z467" t="s">
        <v>47</v>
      </c>
      <c r="AA467" t="s">
        <v>46</v>
      </c>
      <c r="AB467" t="s">
        <v>47</v>
      </c>
      <c r="AC467" t="s">
        <v>47</v>
      </c>
      <c r="AD467" t="s">
        <v>47</v>
      </c>
      <c r="AE467" t="s">
        <v>47</v>
      </c>
      <c r="AF467" t="s">
        <v>47</v>
      </c>
      <c r="AG467" t="s">
        <v>52</v>
      </c>
      <c r="AH467" t="s">
        <v>53</v>
      </c>
      <c r="AI467" t="s">
        <v>87</v>
      </c>
      <c r="AJ467">
        <v>4</v>
      </c>
      <c r="AK467" t="s">
        <v>47</v>
      </c>
      <c r="AL467" t="s">
        <v>66</v>
      </c>
      <c r="AM467" t="s">
        <v>73</v>
      </c>
      <c r="AN467">
        <v>31</v>
      </c>
      <c r="AO467" t="s">
        <v>46</v>
      </c>
    </row>
    <row r="468" spans="1:41">
      <c r="A468" t="s">
        <v>620</v>
      </c>
      <c r="B468">
        <v>2024</v>
      </c>
      <c r="C468" s="1">
        <v>45539</v>
      </c>
      <c r="D468" t="s">
        <v>110</v>
      </c>
      <c r="E468" t="s">
        <v>225</v>
      </c>
      <c r="F468">
        <v>55</v>
      </c>
      <c r="G468" t="s">
        <v>60</v>
      </c>
      <c r="H468" t="s">
        <v>70</v>
      </c>
      <c r="I468">
        <v>0</v>
      </c>
      <c r="J468">
        <v>0</v>
      </c>
      <c r="K468" t="s">
        <v>47</v>
      </c>
      <c r="L468" t="s">
        <v>46</v>
      </c>
      <c r="M468" t="s">
        <v>47</v>
      </c>
      <c r="N468" t="s">
        <v>48</v>
      </c>
      <c r="O468" t="s">
        <v>63</v>
      </c>
      <c r="P468">
        <v>25.3</v>
      </c>
      <c r="Q468" t="s">
        <v>50</v>
      </c>
      <c r="R468" t="s">
        <v>47</v>
      </c>
      <c r="S468" t="s">
        <v>47</v>
      </c>
      <c r="T468" t="s">
        <v>47</v>
      </c>
      <c r="U468" t="s">
        <v>47</v>
      </c>
      <c r="V468" t="s">
        <v>51</v>
      </c>
      <c r="W468" t="s">
        <v>46</v>
      </c>
      <c r="X468" t="s">
        <v>47</v>
      </c>
      <c r="Y468" t="s">
        <v>46</v>
      </c>
      <c r="Z468" t="s">
        <v>47</v>
      </c>
      <c r="AA468" t="s">
        <v>46</v>
      </c>
      <c r="AB468" t="s">
        <v>47</v>
      </c>
      <c r="AC468" t="s">
        <v>47</v>
      </c>
      <c r="AD468" t="s">
        <v>47</v>
      </c>
      <c r="AE468" t="s">
        <v>47</v>
      </c>
      <c r="AF468" t="s">
        <v>47</v>
      </c>
      <c r="AG468" t="s">
        <v>52</v>
      </c>
      <c r="AH468" t="s">
        <v>53</v>
      </c>
      <c r="AI468" t="s">
        <v>87</v>
      </c>
      <c r="AJ468">
        <v>5.2</v>
      </c>
      <c r="AK468" t="s">
        <v>47</v>
      </c>
      <c r="AL468" t="s">
        <v>66</v>
      </c>
      <c r="AM468" t="s">
        <v>67</v>
      </c>
      <c r="AN468">
        <v>50</v>
      </c>
      <c r="AO468" t="s">
        <v>46</v>
      </c>
    </row>
    <row r="469" spans="1:41">
      <c r="A469" t="s">
        <v>621</v>
      </c>
      <c r="B469">
        <v>2022</v>
      </c>
      <c r="C469" s="1">
        <v>44734</v>
      </c>
      <c r="D469" t="s">
        <v>84</v>
      </c>
      <c r="E469" t="s">
        <v>184</v>
      </c>
      <c r="F469">
        <v>48</v>
      </c>
      <c r="G469" t="s">
        <v>60</v>
      </c>
      <c r="H469" t="s">
        <v>70</v>
      </c>
      <c r="I469">
        <v>0</v>
      </c>
      <c r="J469">
        <v>0</v>
      </c>
      <c r="K469" t="s">
        <v>47</v>
      </c>
      <c r="L469" t="s">
        <v>47</v>
      </c>
      <c r="M469" t="s">
        <v>46</v>
      </c>
      <c r="N469" t="s">
        <v>62</v>
      </c>
      <c r="O469" t="s">
        <v>63</v>
      </c>
      <c r="P469">
        <v>29.8</v>
      </c>
      <c r="Q469" t="s">
        <v>50</v>
      </c>
      <c r="R469" t="s">
        <v>47</v>
      </c>
      <c r="S469" t="s">
        <v>47</v>
      </c>
      <c r="T469" t="s">
        <v>47</v>
      </c>
      <c r="U469" t="s">
        <v>47</v>
      </c>
      <c r="V469" t="s">
        <v>117</v>
      </c>
      <c r="W469" t="s">
        <v>47</v>
      </c>
      <c r="X469" t="s">
        <v>47</v>
      </c>
      <c r="Y469" t="s">
        <v>46</v>
      </c>
      <c r="Z469" t="s">
        <v>47</v>
      </c>
      <c r="AA469" t="s">
        <v>46</v>
      </c>
      <c r="AB469" t="s">
        <v>47</v>
      </c>
      <c r="AC469" t="s">
        <v>47</v>
      </c>
      <c r="AD469" t="s">
        <v>47</v>
      </c>
      <c r="AE469" t="s">
        <v>47</v>
      </c>
      <c r="AF469" t="s">
        <v>46</v>
      </c>
      <c r="AG469" t="s">
        <v>52</v>
      </c>
      <c r="AH469" t="s">
        <v>71</v>
      </c>
      <c r="AI469" t="s">
        <v>87</v>
      </c>
      <c r="AJ469">
        <v>4.5</v>
      </c>
      <c r="AK469" t="s">
        <v>47</v>
      </c>
      <c r="AL469" t="s">
        <v>55</v>
      </c>
      <c r="AM469" t="s">
        <v>103</v>
      </c>
      <c r="AN469">
        <v>44</v>
      </c>
      <c r="AO469" t="s">
        <v>47</v>
      </c>
    </row>
    <row r="470" spans="1:41">
      <c r="A470" t="s">
        <v>622</v>
      </c>
      <c r="B470">
        <v>2019</v>
      </c>
      <c r="C470" s="1">
        <v>43751</v>
      </c>
      <c r="D470" t="s">
        <v>110</v>
      </c>
      <c r="E470" t="s">
        <v>111</v>
      </c>
      <c r="F470">
        <v>68</v>
      </c>
      <c r="G470" t="s">
        <v>60</v>
      </c>
      <c r="H470" t="s">
        <v>70</v>
      </c>
      <c r="I470">
        <v>0</v>
      </c>
      <c r="J470">
        <v>0</v>
      </c>
      <c r="K470" t="s">
        <v>46</v>
      </c>
      <c r="L470" t="s">
        <v>46</v>
      </c>
      <c r="M470" t="s">
        <v>47</v>
      </c>
      <c r="N470" t="s">
        <v>62</v>
      </c>
      <c r="O470" t="s">
        <v>63</v>
      </c>
      <c r="P470">
        <v>20.9</v>
      </c>
      <c r="Q470" t="s">
        <v>50</v>
      </c>
      <c r="R470" t="s">
        <v>47</v>
      </c>
      <c r="S470" t="s">
        <v>47</v>
      </c>
      <c r="T470" t="s">
        <v>47</v>
      </c>
      <c r="U470" t="s">
        <v>47</v>
      </c>
      <c r="V470" t="s">
        <v>193</v>
      </c>
      <c r="W470" t="s">
        <v>46</v>
      </c>
      <c r="X470" t="s">
        <v>47</v>
      </c>
      <c r="Y470" t="s">
        <v>47</v>
      </c>
      <c r="Z470" t="s">
        <v>47</v>
      </c>
      <c r="AA470" t="s">
        <v>47</v>
      </c>
      <c r="AB470" t="s">
        <v>47</v>
      </c>
      <c r="AC470" t="s">
        <v>47</v>
      </c>
      <c r="AD470" t="s">
        <v>47</v>
      </c>
      <c r="AE470" t="s">
        <v>47</v>
      </c>
      <c r="AF470" t="s">
        <v>46</v>
      </c>
      <c r="AG470" t="s">
        <v>52</v>
      </c>
      <c r="AH470" t="s">
        <v>71</v>
      </c>
      <c r="AI470" t="s">
        <v>87</v>
      </c>
      <c r="AJ470">
        <v>3.5</v>
      </c>
      <c r="AK470" t="s">
        <v>47</v>
      </c>
      <c r="AL470" t="s">
        <v>76</v>
      </c>
      <c r="AM470" t="s">
        <v>82</v>
      </c>
      <c r="AN470">
        <v>27</v>
      </c>
      <c r="AO470" t="s">
        <v>46</v>
      </c>
    </row>
    <row r="471" spans="1:41">
      <c r="A471" t="s">
        <v>623</v>
      </c>
      <c r="B471">
        <v>2019</v>
      </c>
      <c r="C471" s="1">
        <v>43518</v>
      </c>
      <c r="D471" t="s">
        <v>95</v>
      </c>
      <c r="E471" t="s">
        <v>132</v>
      </c>
      <c r="F471">
        <v>59</v>
      </c>
      <c r="G471" t="s">
        <v>60</v>
      </c>
      <c r="H471" t="s">
        <v>70</v>
      </c>
      <c r="I471">
        <v>0</v>
      </c>
      <c r="J471">
        <v>0</v>
      </c>
      <c r="K471" t="s">
        <v>47</v>
      </c>
      <c r="L471" t="s">
        <v>46</v>
      </c>
      <c r="M471" t="s">
        <v>46</v>
      </c>
      <c r="N471" t="s">
        <v>48</v>
      </c>
      <c r="O471" t="s">
        <v>63</v>
      </c>
      <c r="P471">
        <v>23.4</v>
      </c>
      <c r="Q471" t="s">
        <v>50</v>
      </c>
      <c r="R471" t="s">
        <v>47</v>
      </c>
      <c r="S471" t="s">
        <v>47</v>
      </c>
      <c r="T471" t="s">
        <v>47</v>
      </c>
      <c r="U471" t="s">
        <v>46</v>
      </c>
      <c r="V471" t="s">
        <v>51</v>
      </c>
      <c r="W471" t="s">
        <v>47</v>
      </c>
      <c r="X471" t="s">
        <v>47</v>
      </c>
      <c r="Y471" t="s">
        <v>47</v>
      </c>
      <c r="Z471" t="s">
        <v>47</v>
      </c>
      <c r="AA471" t="s">
        <v>46</v>
      </c>
      <c r="AB471" t="s">
        <v>46</v>
      </c>
      <c r="AC471" t="s">
        <v>47</v>
      </c>
      <c r="AD471" t="s">
        <v>47</v>
      </c>
      <c r="AE471" t="s">
        <v>47</v>
      </c>
      <c r="AF471" t="s">
        <v>46</v>
      </c>
      <c r="AG471" t="s">
        <v>52</v>
      </c>
      <c r="AH471" t="s">
        <v>71</v>
      </c>
      <c r="AI471" t="s">
        <v>65</v>
      </c>
      <c r="AJ471">
        <v>1.7</v>
      </c>
      <c r="AK471" t="s">
        <v>47</v>
      </c>
      <c r="AL471" t="s">
        <v>76</v>
      </c>
      <c r="AM471" t="s">
        <v>73</v>
      </c>
      <c r="AN471">
        <v>49</v>
      </c>
      <c r="AO471" t="s">
        <v>46</v>
      </c>
    </row>
    <row r="472" spans="1:41">
      <c r="A472" t="s">
        <v>624</v>
      </c>
      <c r="B472">
        <v>2018</v>
      </c>
      <c r="C472" s="1">
        <v>43313</v>
      </c>
      <c r="D472" t="s">
        <v>42</v>
      </c>
      <c r="E472" t="s">
        <v>154</v>
      </c>
      <c r="F472">
        <v>78</v>
      </c>
      <c r="G472" t="s">
        <v>60</v>
      </c>
      <c r="H472" t="s">
        <v>70</v>
      </c>
      <c r="I472">
        <v>0</v>
      </c>
      <c r="J472">
        <v>0</v>
      </c>
      <c r="K472" t="s">
        <v>46</v>
      </c>
      <c r="L472" t="s">
        <v>47</v>
      </c>
      <c r="M472" t="s">
        <v>47</v>
      </c>
      <c r="N472" t="s">
        <v>48</v>
      </c>
      <c r="O472" t="s">
        <v>48</v>
      </c>
      <c r="P472">
        <v>23.6</v>
      </c>
      <c r="Q472" t="s">
        <v>62</v>
      </c>
      <c r="R472" t="s">
        <v>47</v>
      </c>
      <c r="S472" t="s">
        <v>47</v>
      </c>
      <c r="T472" t="s">
        <v>47</v>
      </c>
      <c r="U472" t="s">
        <v>47</v>
      </c>
      <c r="V472" t="s">
        <v>64</v>
      </c>
      <c r="W472" t="s">
        <v>46</v>
      </c>
      <c r="X472" t="s">
        <v>47</v>
      </c>
      <c r="Y472" t="s">
        <v>47</v>
      </c>
      <c r="Z472" t="s">
        <v>47</v>
      </c>
      <c r="AA472" t="s">
        <v>47</v>
      </c>
      <c r="AB472" t="s">
        <v>46</v>
      </c>
      <c r="AC472" t="s">
        <v>46</v>
      </c>
      <c r="AD472" t="s">
        <v>46</v>
      </c>
      <c r="AE472" t="s">
        <v>47</v>
      </c>
      <c r="AF472" t="s">
        <v>47</v>
      </c>
      <c r="AG472" t="s">
        <v>52</v>
      </c>
      <c r="AH472" t="s">
        <v>53</v>
      </c>
      <c r="AI472" t="s">
        <v>54</v>
      </c>
      <c r="AJ472">
        <v>4.8</v>
      </c>
      <c r="AK472" t="s">
        <v>46</v>
      </c>
      <c r="AL472" t="s">
        <v>76</v>
      </c>
      <c r="AM472" t="s">
        <v>56</v>
      </c>
      <c r="AN472">
        <v>11</v>
      </c>
      <c r="AO472" t="s">
        <v>47</v>
      </c>
    </row>
    <row r="473" spans="1:41">
      <c r="A473" t="s">
        <v>625</v>
      </c>
      <c r="B473">
        <v>2016</v>
      </c>
      <c r="C473" s="1">
        <v>42624</v>
      </c>
      <c r="D473" t="s">
        <v>42</v>
      </c>
      <c r="E473" t="s">
        <v>154</v>
      </c>
      <c r="F473">
        <v>58</v>
      </c>
      <c r="G473" t="s">
        <v>60</v>
      </c>
      <c r="H473" t="s">
        <v>70</v>
      </c>
      <c r="I473">
        <v>0</v>
      </c>
      <c r="J473">
        <v>0</v>
      </c>
      <c r="K473" t="s">
        <v>46</v>
      </c>
      <c r="L473" t="s">
        <v>46</v>
      </c>
      <c r="M473" t="s">
        <v>46</v>
      </c>
      <c r="N473" t="s">
        <v>48</v>
      </c>
      <c r="O473" t="s">
        <v>48</v>
      </c>
      <c r="P473">
        <v>22.2</v>
      </c>
      <c r="Q473" t="s">
        <v>50</v>
      </c>
      <c r="R473" t="s">
        <v>46</v>
      </c>
      <c r="S473" t="s">
        <v>47</v>
      </c>
      <c r="T473" t="s">
        <v>47</v>
      </c>
      <c r="U473" t="s">
        <v>47</v>
      </c>
      <c r="V473" t="s">
        <v>51</v>
      </c>
      <c r="W473" t="s">
        <v>46</v>
      </c>
      <c r="X473" t="s">
        <v>47</v>
      </c>
      <c r="Y473" t="s">
        <v>47</v>
      </c>
      <c r="Z473" t="s">
        <v>47</v>
      </c>
      <c r="AA473" t="s">
        <v>46</v>
      </c>
      <c r="AB473" t="s">
        <v>47</v>
      </c>
      <c r="AC473" t="s">
        <v>47</v>
      </c>
      <c r="AD473" t="s">
        <v>47</v>
      </c>
      <c r="AE473" t="s">
        <v>47</v>
      </c>
      <c r="AF473" t="s">
        <v>47</v>
      </c>
      <c r="AG473" t="s">
        <v>121</v>
      </c>
      <c r="AH473" t="s">
        <v>122</v>
      </c>
      <c r="AI473" t="s">
        <v>80</v>
      </c>
      <c r="AJ473">
        <v>5.6</v>
      </c>
      <c r="AK473" t="s">
        <v>47</v>
      </c>
      <c r="AL473" t="s">
        <v>100</v>
      </c>
      <c r="AM473" t="s">
        <v>77</v>
      </c>
      <c r="AN473">
        <v>18</v>
      </c>
      <c r="AO473" t="s">
        <v>47</v>
      </c>
    </row>
    <row r="474" spans="1:41">
      <c r="A474" t="s">
        <v>626</v>
      </c>
      <c r="B474">
        <v>2022</v>
      </c>
      <c r="C474" s="1">
        <v>44672</v>
      </c>
      <c r="D474" t="s">
        <v>42</v>
      </c>
      <c r="E474" t="s">
        <v>69</v>
      </c>
      <c r="F474">
        <v>55</v>
      </c>
      <c r="G474" t="s">
        <v>60</v>
      </c>
      <c r="H474" t="s">
        <v>70</v>
      </c>
      <c r="I474">
        <v>0</v>
      </c>
      <c r="J474">
        <v>0</v>
      </c>
      <c r="K474" t="s">
        <v>46</v>
      </c>
      <c r="L474" t="s">
        <v>46</v>
      </c>
      <c r="M474" t="s">
        <v>47</v>
      </c>
      <c r="N474" t="s">
        <v>62</v>
      </c>
      <c r="O474" t="s">
        <v>48</v>
      </c>
      <c r="P474">
        <v>24.6</v>
      </c>
      <c r="Q474" t="s">
        <v>50</v>
      </c>
      <c r="R474" t="s">
        <v>47</v>
      </c>
      <c r="S474" t="s">
        <v>47</v>
      </c>
      <c r="T474" t="s">
        <v>47</v>
      </c>
      <c r="U474" t="s">
        <v>47</v>
      </c>
      <c r="V474" t="s">
        <v>193</v>
      </c>
      <c r="W474" t="s">
        <v>46</v>
      </c>
      <c r="X474" t="s">
        <v>46</v>
      </c>
      <c r="Y474" t="s">
        <v>47</v>
      </c>
      <c r="Z474" t="s">
        <v>47</v>
      </c>
      <c r="AA474" t="s">
        <v>46</v>
      </c>
      <c r="AB474" t="s">
        <v>47</v>
      </c>
      <c r="AC474" t="s">
        <v>47</v>
      </c>
      <c r="AD474" t="s">
        <v>47</v>
      </c>
      <c r="AE474" t="s">
        <v>47</v>
      </c>
      <c r="AF474" t="s">
        <v>47</v>
      </c>
      <c r="AG474" t="s">
        <v>52</v>
      </c>
      <c r="AH474" t="s">
        <v>53</v>
      </c>
      <c r="AI474" t="s">
        <v>80</v>
      </c>
      <c r="AJ474">
        <v>5.7</v>
      </c>
      <c r="AK474" t="s">
        <v>46</v>
      </c>
      <c r="AL474" t="s">
        <v>81</v>
      </c>
      <c r="AM474" t="s">
        <v>56</v>
      </c>
      <c r="AN474">
        <v>20</v>
      </c>
      <c r="AO474" t="s">
        <v>47</v>
      </c>
    </row>
    <row r="475" spans="1:41">
      <c r="A475" t="s">
        <v>627</v>
      </c>
      <c r="B475">
        <v>2023</v>
      </c>
      <c r="C475" s="1">
        <v>45257</v>
      </c>
      <c r="D475" t="s">
        <v>58</v>
      </c>
      <c r="E475" t="s">
        <v>252</v>
      </c>
      <c r="F475">
        <v>34</v>
      </c>
      <c r="G475" t="s">
        <v>44</v>
      </c>
      <c r="H475" t="s">
        <v>45</v>
      </c>
      <c r="I475">
        <v>28</v>
      </c>
      <c r="J475">
        <v>16</v>
      </c>
      <c r="K475" t="s">
        <v>46</v>
      </c>
      <c r="L475" t="s">
        <v>47</v>
      </c>
      <c r="M475" t="s">
        <v>47</v>
      </c>
      <c r="N475" t="s">
        <v>50</v>
      </c>
      <c r="O475" t="s">
        <v>48</v>
      </c>
      <c r="P475">
        <v>25.6</v>
      </c>
      <c r="Q475" t="s">
        <v>48</v>
      </c>
      <c r="R475" t="s">
        <v>47</v>
      </c>
      <c r="S475" t="s">
        <v>47</v>
      </c>
      <c r="T475" t="s">
        <v>46</v>
      </c>
      <c r="U475" t="s">
        <v>47</v>
      </c>
      <c r="V475" t="s">
        <v>51</v>
      </c>
      <c r="W475" t="s">
        <v>46</v>
      </c>
      <c r="X475" t="s">
        <v>46</v>
      </c>
      <c r="Y475" t="s">
        <v>46</v>
      </c>
      <c r="Z475" t="s">
        <v>47</v>
      </c>
      <c r="AA475" t="s">
        <v>46</v>
      </c>
      <c r="AB475" t="s">
        <v>47</v>
      </c>
      <c r="AC475" t="s">
        <v>46</v>
      </c>
      <c r="AD475" t="s">
        <v>47</v>
      </c>
      <c r="AE475" t="s">
        <v>47</v>
      </c>
      <c r="AF475" t="s">
        <v>47</v>
      </c>
      <c r="AG475" t="s">
        <v>52</v>
      </c>
      <c r="AH475" t="s">
        <v>71</v>
      </c>
      <c r="AI475" t="s">
        <v>87</v>
      </c>
      <c r="AJ475">
        <v>4.7</v>
      </c>
      <c r="AK475" t="s">
        <v>47</v>
      </c>
      <c r="AL475" t="s">
        <v>76</v>
      </c>
      <c r="AM475" t="s">
        <v>73</v>
      </c>
      <c r="AN475">
        <v>42</v>
      </c>
      <c r="AO475" t="s">
        <v>47</v>
      </c>
    </row>
    <row r="476" spans="1:41">
      <c r="A476" t="s">
        <v>628</v>
      </c>
      <c r="B476">
        <v>2016</v>
      </c>
      <c r="C476" s="1">
        <v>42714</v>
      </c>
      <c r="D476" t="s">
        <v>42</v>
      </c>
      <c r="E476" t="s">
        <v>79</v>
      </c>
      <c r="F476">
        <v>53</v>
      </c>
      <c r="G476" t="s">
        <v>44</v>
      </c>
      <c r="H476" t="s">
        <v>70</v>
      </c>
      <c r="I476">
        <v>0</v>
      </c>
      <c r="J476">
        <v>0</v>
      </c>
      <c r="K476" t="s">
        <v>47</v>
      </c>
      <c r="L476" t="s">
        <v>47</v>
      </c>
      <c r="M476" t="s">
        <v>47</v>
      </c>
      <c r="N476" t="s">
        <v>62</v>
      </c>
      <c r="O476" t="s">
        <v>48</v>
      </c>
      <c r="P476">
        <v>34.799999999999997</v>
      </c>
      <c r="Q476" t="s">
        <v>50</v>
      </c>
      <c r="R476" t="s">
        <v>47</v>
      </c>
      <c r="S476" t="s">
        <v>47</v>
      </c>
      <c r="T476" t="s">
        <v>47</v>
      </c>
      <c r="U476" t="s">
        <v>47</v>
      </c>
      <c r="V476" t="s">
        <v>117</v>
      </c>
      <c r="W476" t="s">
        <v>47</v>
      </c>
      <c r="X476" t="s">
        <v>47</v>
      </c>
      <c r="Y476" t="s">
        <v>46</v>
      </c>
      <c r="Z476" t="s">
        <v>47</v>
      </c>
      <c r="AA476" t="s">
        <v>47</v>
      </c>
      <c r="AB476" t="s">
        <v>47</v>
      </c>
      <c r="AC476" t="s">
        <v>47</v>
      </c>
      <c r="AD476" t="s">
        <v>47</v>
      </c>
      <c r="AE476" t="s">
        <v>46</v>
      </c>
      <c r="AF476" t="s">
        <v>47</v>
      </c>
      <c r="AG476" t="s">
        <v>52</v>
      </c>
      <c r="AH476" t="s">
        <v>53</v>
      </c>
      <c r="AI476" t="s">
        <v>87</v>
      </c>
      <c r="AJ476">
        <v>4.5</v>
      </c>
      <c r="AK476" t="s">
        <v>47</v>
      </c>
      <c r="AL476" t="s">
        <v>100</v>
      </c>
      <c r="AM476" t="s">
        <v>73</v>
      </c>
      <c r="AN476">
        <v>42</v>
      </c>
      <c r="AO476" t="s">
        <v>46</v>
      </c>
    </row>
    <row r="477" spans="1:41">
      <c r="A477" t="s">
        <v>629</v>
      </c>
      <c r="B477">
        <v>2017</v>
      </c>
      <c r="C477" s="1">
        <v>42771</v>
      </c>
      <c r="D477" t="s">
        <v>98</v>
      </c>
      <c r="E477" t="s">
        <v>99</v>
      </c>
      <c r="F477">
        <v>59</v>
      </c>
      <c r="G477" t="s">
        <v>44</v>
      </c>
      <c r="H477" t="s">
        <v>70</v>
      </c>
      <c r="I477">
        <v>0</v>
      </c>
      <c r="J477">
        <v>0</v>
      </c>
      <c r="K477" t="s">
        <v>46</v>
      </c>
      <c r="L477" t="s">
        <v>47</v>
      </c>
      <c r="M477" t="s">
        <v>46</v>
      </c>
      <c r="N477" t="s">
        <v>48</v>
      </c>
      <c r="O477" t="s">
        <v>48</v>
      </c>
      <c r="P477">
        <v>25.7</v>
      </c>
      <c r="Q477" t="s">
        <v>48</v>
      </c>
      <c r="R477" t="s">
        <v>47</v>
      </c>
      <c r="S477" t="s">
        <v>47</v>
      </c>
      <c r="T477" t="s">
        <v>47</v>
      </c>
      <c r="U477" t="s">
        <v>47</v>
      </c>
      <c r="V477" t="s">
        <v>64</v>
      </c>
      <c r="W477" t="s">
        <v>47</v>
      </c>
      <c r="X477" t="s">
        <v>47</v>
      </c>
      <c r="Y477" t="s">
        <v>47</v>
      </c>
      <c r="Z477" t="s">
        <v>46</v>
      </c>
      <c r="AA477" t="s">
        <v>46</v>
      </c>
      <c r="AB477" t="s">
        <v>47</v>
      </c>
      <c r="AC477" t="s">
        <v>46</v>
      </c>
      <c r="AD477" t="s">
        <v>47</v>
      </c>
      <c r="AE477" t="s">
        <v>47</v>
      </c>
      <c r="AF477" t="s">
        <v>47</v>
      </c>
      <c r="AG477" t="s">
        <v>52</v>
      </c>
      <c r="AH477" t="s">
        <v>71</v>
      </c>
      <c r="AI477" t="s">
        <v>80</v>
      </c>
      <c r="AJ477">
        <v>3</v>
      </c>
      <c r="AK477" t="s">
        <v>47</v>
      </c>
      <c r="AL477" t="s">
        <v>81</v>
      </c>
      <c r="AM477" t="s">
        <v>82</v>
      </c>
      <c r="AN477">
        <v>12</v>
      </c>
      <c r="AO477" t="s">
        <v>47</v>
      </c>
    </row>
    <row r="478" spans="1:41">
      <c r="A478" t="s">
        <v>630</v>
      </c>
      <c r="B478">
        <v>2018</v>
      </c>
      <c r="C478" s="1">
        <v>43110</v>
      </c>
      <c r="D478" t="s">
        <v>110</v>
      </c>
      <c r="E478" t="s">
        <v>225</v>
      </c>
      <c r="F478">
        <v>45</v>
      </c>
      <c r="G478" t="s">
        <v>44</v>
      </c>
      <c r="H478" t="s">
        <v>70</v>
      </c>
      <c r="I478">
        <v>0</v>
      </c>
      <c r="J478">
        <v>0</v>
      </c>
      <c r="K478" t="s">
        <v>47</v>
      </c>
      <c r="L478" t="s">
        <v>47</v>
      </c>
      <c r="M478" t="s">
        <v>47</v>
      </c>
      <c r="N478" t="s">
        <v>48</v>
      </c>
      <c r="O478" t="s">
        <v>63</v>
      </c>
      <c r="P478">
        <v>27.7</v>
      </c>
      <c r="Q478" t="s">
        <v>48</v>
      </c>
      <c r="R478" t="s">
        <v>47</v>
      </c>
      <c r="S478" t="s">
        <v>47</v>
      </c>
      <c r="T478" t="s">
        <v>46</v>
      </c>
      <c r="U478" t="s">
        <v>47</v>
      </c>
      <c r="V478" t="s">
        <v>117</v>
      </c>
      <c r="W478" t="s">
        <v>47</v>
      </c>
      <c r="X478" t="s">
        <v>47</v>
      </c>
      <c r="Y478" t="s">
        <v>47</v>
      </c>
      <c r="Z478" t="s">
        <v>47</v>
      </c>
      <c r="AA478" t="s">
        <v>46</v>
      </c>
      <c r="AB478" t="s">
        <v>47</v>
      </c>
      <c r="AC478" t="s">
        <v>47</v>
      </c>
      <c r="AD478" t="s">
        <v>47</v>
      </c>
      <c r="AE478" t="s">
        <v>47</v>
      </c>
      <c r="AF478" t="s">
        <v>47</v>
      </c>
      <c r="AG478" t="s">
        <v>52</v>
      </c>
      <c r="AH478" t="s">
        <v>53</v>
      </c>
      <c r="AI478" t="s">
        <v>80</v>
      </c>
      <c r="AJ478">
        <v>6.8</v>
      </c>
      <c r="AK478" t="s">
        <v>47</v>
      </c>
      <c r="AL478" t="s">
        <v>72</v>
      </c>
      <c r="AM478" t="s">
        <v>56</v>
      </c>
      <c r="AN478">
        <v>26</v>
      </c>
      <c r="AO478" t="s">
        <v>47</v>
      </c>
    </row>
    <row r="479" spans="1:41">
      <c r="A479" t="s">
        <v>631</v>
      </c>
      <c r="B479">
        <v>2025</v>
      </c>
      <c r="C479" s="1">
        <v>45692</v>
      </c>
      <c r="D479" t="s">
        <v>95</v>
      </c>
      <c r="E479" t="s">
        <v>132</v>
      </c>
      <c r="F479">
        <v>67</v>
      </c>
      <c r="G479" t="s">
        <v>60</v>
      </c>
      <c r="H479" t="s">
        <v>70</v>
      </c>
      <c r="I479">
        <v>0</v>
      </c>
      <c r="J479">
        <v>0</v>
      </c>
      <c r="K479" t="s">
        <v>46</v>
      </c>
      <c r="L479" t="s">
        <v>46</v>
      </c>
      <c r="M479" t="s">
        <v>47</v>
      </c>
      <c r="N479" t="s">
        <v>50</v>
      </c>
      <c r="O479" t="s">
        <v>63</v>
      </c>
      <c r="P479">
        <v>30.1</v>
      </c>
      <c r="Q479" t="s">
        <v>62</v>
      </c>
      <c r="R479" t="s">
        <v>47</v>
      </c>
      <c r="S479" t="s">
        <v>47</v>
      </c>
      <c r="T479" t="s">
        <v>47</v>
      </c>
      <c r="U479" t="s">
        <v>47</v>
      </c>
      <c r="V479" t="s">
        <v>171</v>
      </c>
      <c r="W479" t="s">
        <v>47</v>
      </c>
      <c r="X479" t="s">
        <v>47</v>
      </c>
      <c r="Y479" t="s">
        <v>46</v>
      </c>
      <c r="Z479" t="s">
        <v>47</v>
      </c>
      <c r="AA479" t="s">
        <v>47</v>
      </c>
      <c r="AB479" t="s">
        <v>47</v>
      </c>
      <c r="AC479" t="s">
        <v>47</v>
      </c>
      <c r="AD479" t="s">
        <v>47</v>
      </c>
      <c r="AE479" t="s">
        <v>47</v>
      </c>
      <c r="AF479" t="s">
        <v>47</v>
      </c>
      <c r="AG479" t="s">
        <v>52</v>
      </c>
      <c r="AH479" t="s">
        <v>90</v>
      </c>
      <c r="AI479" t="s">
        <v>54</v>
      </c>
      <c r="AJ479">
        <v>9.1999999999999993</v>
      </c>
      <c r="AK479" t="s">
        <v>46</v>
      </c>
      <c r="AL479" t="s">
        <v>72</v>
      </c>
      <c r="AM479" t="s">
        <v>265</v>
      </c>
      <c r="AN479">
        <v>9</v>
      </c>
      <c r="AO479" t="s">
        <v>47</v>
      </c>
    </row>
    <row r="480" spans="1:41">
      <c r="A480" t="s">
        <v>632</v>
      </c>
      <c r="B480">
        <v>2015</v>
      </c>
      <c r="C480" s="1">
        <v>42252</v>
      </c>
      <c r="D480" t="s">
        <v>84</v>
      </c>
      <c r="E480" t="s">
        <v>102</v>
      </c>
      <c r="F480">
        <v>82</v>
      </c>
      <c r="G480" t="s">
        <v>60</v>
      </c>
      <c r="H480" t="s">
        <v>70</v>
      </c>
      <c r="I480">
        <v>0</v>
      </c>
      <c r="J480">
        <v>0</v>
      </c>
      <c r="K480" t="s">
        <v>47</v>
      </c>
      <c r="L480" t="s">
        <v>47</v>
      </c>
      <c r="M480" t="s">
        <v>47</v>
      </c>
      <c r="N480" t="s">
        <v>48</v>
      </c>
      <c r="O480" t="s">
        <v>49</v>
      </c>
      <c r="P480">
        <v>25.1</v>
      </c>
      <c r="Q480" t="s">
        <v>50</v>
      </c>
      <c r="R480" t="s">
        <v>47</v>
      </c>
      <c r="S480" t="s">
        <v>47</v>
      </c>
      <c r="T480" t="s">
        <v>47</v>
      </c>
      <c r="U480" t="s">
        <v>47</v>
      </c>
      <c r="V480" t="s">
        <v>151</v>
      </c>
      <c r="W480" t="s">
        <v>47</v>
      </c>
      <c r="X480" t="s">
        <v>46</v>
      </c>
      <c r="Y480" t="s">
        <v>47</v>
      </c>
      <c r="Z480" t="s">
        <v>47</v>
      </c>
      <c r="AA480" t="s">
        <v>46</v>
      </c>
      <c r="AB480" t="s">
        <v>46</v>
      </c>
      <c r="AC480" t="s">
        <v>47</v>
      </c>
      <c r="AD480" t="s">
        <v>46</v>
      </c>
      <c r="AE480" t="s">
        <v>46</v>
      </c>
      <c r="AF480" t="s">
        <v>47</v>
      </c>
      <c r="AG480" t="s">
        <v>52</v>
      </c>
      <c r="AH480" t="s">
        <v>53</v>
      </c>
      <c r="AI480" t="s">
        <v>65</v>
      </c>
      <c r="AJ480">
        <v>2</v>
      </c>
      <c r="AK480" t="s">
        <v>47</v>
      </c>
      <c r="AL480" t="s">
        <v>76</v>
      </c>
      <c r="AM480" t="s">
        <v>73</v>
      </c>
      <c r="AN480">
        <v>44</v>
      </c>
      <c r="AO480" t="s">
        <v>46</v>
      </c>
    </row>
    <row r="481" spans="1:41">
      <c r="A481" t="s">
        <v>633</v>
      </c>
      <c r="B481">
        <v>2018</v>
      </c>
      <c r="C481" s="1">
        <v>43324</v>
      </c>
      <c r="D481" t="s">
        <v>58</v>
      </c>
      <c r="E481" t="s">
        <v>220</v>
      </c>
      <c r="F481">
        <v>65</v>
      </c>
      <c r="G481" t="s">
        <v>60</v>
      </c>
      <c r="H481" t="s">
        <v>70</v>
      </c>
      <c r="I481">
        <v>0</v>
      </c>
      <c r="J481">
        <v>0</v>
      </c>
      <c r="K481" t="s">
        <v>47</v>
      </c>
      <c r="L481" t="s">
        <v>47</v>
      </c>
      <c r="M481" t="s">
        <v>47</v>
      </c>
      <c r="N481" t="s">
        <v>48</v>
      </c>
      <c r="O481" t="s">
        <v>49</v>
      </c>
      <c r="P481">
        <v>28.2</v>
      </c>
      <c r="Q481" t="s">
        <v>50</v>
      </c>
      <c r="R481" t="s">
        <v>47</v>
      </c>
      <c r="S481" t="s">
        <v>47</v>
      </c>
      <c r="T481" t="s">
        <v>47</v>
      </c>
      <c r="U481" t="s">
        <v>47</v>
      </c>
      <c r="V481" t="s">
        <v>64</v>
      </c>
      <c r="W481" t="s">
        <v>47</v>
      </c>
      <c r="X481" t="s">
        <v>47</v>
      </c>
      <c r="Y481" t="s">
        <v>47</v>
      </c>
      <c r="Z481" t="s">
        <v>47</v>
      </c>
      <c r="AA481" t="s">
        <v>47</v>
      </c>
      <c r="AB481" t="s">
        <v>47</v>
      </c>
      <c r="AC481" t="s">
        <v>47</v>
      </c>
      <c r="AD481" t="s">
        <v>46</v>
      </c>
      <c r="AE481" t="s">
        <v>47</v>
      </c>
      <c r="AF481" t="s">
        <v>47</v>
      </c>
      <c r="AG481" t="s">
        <v>52</v>
      </c>
      <c r="AH481" t="s">
        <v>71</v>
      </c>
      <c r="AI481" t="s">
        <v>65</v>
      </c>
      <c r="AJ481">
        <v>3</v>
      </c>
      <c r="AK481" t="s">
        <v>47</v>
      </c>
      <c r="AL481" t="s">
        <v>72</v>
      </c>
      <c r="AM481" t="s">
        <v>73</v>
      </c>
      <c r="AN481">
        <v>43</v>
      </c>
      <c r="AO481" t="s">
        <v>46</v>
      </c>
    </row>
    <row r="482" spans="1:41">
      <c r="A482" t="s">
        <v>634</v>
      </c>
      <c r="B482">
        <v>2023</v>
      </c>
      <c r="C482" s="1">
        <v>45126</v>
      </c>
      <c r="D482" t="s">
        <v>42</v>
      </c>
      <c r="E482" t="s">
        <v>166</v>
      </c>
      <c r="F482">
        <v>57</v>
      </c>
      <c r="G482" t="s">
        <v>60</v>
      </c>
      <c r="H482" t="s">
        <v>61</v>
      </c>
      <c r="I482">
        <v>7</v>
      </c>
      <c r="J482">
        <v>20</v>
      </c>
      <c r="K482" t="s">
        <v>47</v>
      </c>
      <c r="L482" t="s">
        <v>47</v>
      </c>
      <c r="M482" t="s">
        <v>47</v>
      </c>
      <c r="N482" t="s">
        <v>62</v>
      </c>
      <c r="O482" t="s">
        <v>48</v>
      </c>
      <c r="P482">
        <v>23.7</v>
      </c>
      <c r="Q482" t="s">
        <v>48</v>
      </c>
      <c r="R482" t="s">
        <v>47</v>
      </c>
      <c r="S482" t="s">
        <v>47</v>
      </c>
      <c r="T482" t="s">
        <v>47</v>
      </c>
      <c r="U482" t="s">
        <v>47</v>
      </c>
      <c r="V482" t="s">
        <v>51</v>
      </c>
      <c r="W482" t="s">
        <v>47</v>
      </c>
      <c r="X482" t="s">
        <v>46</v>
      </c>
      <c r="Y482" t="s">
        <v>46</v>
      </c>
      <c r="Z482" t="s">
        <v>47</v>
      </c>
      <c r="AA482" t="s">
        <v>47</v>
      </c>
      <c r="AB482" t="s">
        <v>46</v>
      </c>
      <c r="AC482" t="s">
        <v>47</v>
      </c>
      <c r="AD482" t="s">
        <v>47</v>
      </c>
      <c r="AE482" t="s">
        <v>47</v>
      </c>
      <c r="AF482" t="s">
        <v>47</v>
      </c>
      <c r="AG482" t="s">
        <v>52</v>
      </c>
      <c r="AH482" t="s">
        <v>53</v>
      </c>
      <c r="AI482" t="s">
        <v>87</v>
      </c>
      <c r="AJ482">
        <v>2.7</v>
      </c>
      <c r="AK482" t="s">
        <v>47</v>
      </c>
      <c r="AL482" t="s">
        <v>100</v>
      </c>
      <c r="AM482" t="s">
        <v>67</v>
      </c>
      <c r="AN482">
        <v>56</v>
      </c>
      <c r="AO482" t="s">
        <v>46</v>
      </c>
    </row>
    <row r="483" spans="1:41">
      <c r="A483" t="s">
        <v>635</v>
      </c>
      <c r="B483">
        <v>2022</v>
      </c>
      <c r="C483" s="1">
        <v>44763</v>
      </c>
      <c r="D483" t="s">
        <v>95</v>
      </c>
      <c r="E483" t="s">
        <v>120</v>
      </c>
      <c r="F483">
        <v>65</v>
      </c>
      <c r="G483" t="s">
        <v>44</v>
      </c>
      <c r="H483" t="s">
        <v>70</v>
      </c>
      <c r="I483">
        <v>0</v>
      </c>
      <c r="J483">
        <v>0</v>
      </c>
      <c r="K483" t="s">
        <v>47</v>
      </c>
      <c r="L483" t="s">
        <v>47</v>
      </c>
      <c r="M483" t="s">
        <v>47</v>
      </c>
      <c r="N483" t="s">
        <v>62</v>
      </c>
      <c r="O483" t="s">
        <v>49</v>
      </c>
      <c r="P483">
        <v>31.1</v>
      </c>
      <c r="Q483" t="s">
        <v>50</v>
      </c>
      <c r="R483" t="s">
        <v>47</v>
      </c>
      <c r="S483" t="s">
        <v>47</v>
      </c>
      <c r="T483" t="s">
        <v>47</v>
      </c>
      <c r="U483" t="s">
        <v>47</v>
      </c>
      <c r="V483" t="s">
        <v>117</v>
      </c>
      <c r="W483" t="s">
        <v>46</v>
      </c>
      <c r="X483" t="s">
        <v>46</v>
      </c>
      <c r="Y483" t="s">
        <v>47</v>
      </c>
      <c r="Z483" t="s">
        <v>47</v>
      </c>
      <c r="AA483" t="s">
        <v>46</v>
      </c>
      <c r="AB483" t="s">
        <v>47</v>
      </c>
      <c r="AC483" t="s">
        <v>46</v>
      </c>
      <c r="AD483" t="s">
        <v>46</v>
      </c>
      <c r="AE483" t="s">
        <v>47</v>
      </c>
      <c r="AF483" t="s">
        <v>47</v>
      </c>
      <c r="AG483" t="s">
        <v>52</v>
      </c>
      <c r="AH483" t="s">
        <v>71</v>
      </c>
      <c r="AI483" t="s">
        <v>54</v>
      </c>
      <c r="AJ483">
        <v>8.5</v>
      </c>
      <c r="AK483" t="s">
        <v>46</v>
      </c>
      <c r="AL483" t="s">
        <v>76</v>
      </c>
      <c r="AM483" t="s">
        <v>82</v>
      </c>
      <c r="AN483">
        <v>12</v>
      </c>
      <c r="AO483" t="s">
        <v>47</v>
      </c>
    </row>
    <row r="484" spans="1:41">
      <c r="A484" t="s">
        <v>636</v>
      </c>
      <c r="B484">
        <v>2018</v>
      </c>
      <c r="C484" s="1">
        <v>43332</v>
      </c>
      <c r="D484" t="s">
        <v>58</v>
      </c>
      <c r="E484" t="s">
        <v>229</v>
      </c>
      <c r="F484">
        <v>54</v>
      </c>
      <c r="G484" t="s">
        <v>60</v>
      </c>
      <c r="H484" t="s">
        <v>45</v>
      </c>
      <c r="I484">
        <v>36</v>
      </c>
      <c r="J484">
        <v>16</v>
      </c>
      <c r="K484" t="s">
        <v>46</v>
      </c>
      <c r="L484" t="s">
        <v>46</v>
      </c>
      <c r="M484" t="s">
        <v>47</v>
      </c>
      <c r="N484" t="s">
        <v>48</v>
      </c>
      <c r="O484" t="s">
        <v>49</v>
      </c>
      <c r="P484">
        <v>30.8</v>
      </c>
      <c r="Q484" t="s">
        <v>50</v>
      </c>
      <c r="R484" t="s">
        <v>46</v>
      </c>
      <c r="S484" t="s">
        <v>47</v>
      </c>
      <c r="T484" t="s">
        <v>47</v>
      </c>
      <c r="U484" t="s">
        <v>47</v>
      </c>
      <c r="V484" t="s">
        <v>193</v>
      </c>
      <c r="W484" t="s">
        <v>46</v>
      </c>
      <c r="X484" t="s">
        <v>46</v>
      </c>
      <c r="Y484" t="s">
        <v>46</v>
      </c>
      <c r="Z484" t="s">
        <v>46</v>
      </c>
      <c r="AA484" t="s">
        <v>47</v>
      </c>
      <c r="AB484" t="s">
        <v>46</v>
      </c>
      <c r="AC484" t="s">
        <v>47</v>
      </c>
      <c r="AD484" t="s">
        <v>46</v>
      </c>
      <c r="AE484" t="s">
        <v>46</v>
      </c>
      <c r="AF484" t="s">
        <v>47</v>
      </c>
      <c r="AG484" t="s">
        <v>121</v>
      </c>
      <c r="AH484" t="s">
        <v>122</v>
      </c>
      <c r="AI484" t="s">
        <v>80</v>
      </c>
      <c r="AJ484">
        <v>5.9</v>
      </c>
      <c r="AK484" t="s">
        <v>47</v>
      </c>
      <c r="AL484" t="s">
        <v>100</v>
      </c>
      <c r="AM484" t="s">
        <v>56</v>
      </c>
      <c r="AN484">
        <v>29</v>
      </c>
      <c r="AO484" t="s">
        <v>47</v>
      </c>
    </row>
    <row r="485" spans="1:41">
      <c r="A485" t="s">
        <v>637</v>
      </c>
      <c r="B485">
        <v>2016</v>
      </c>
      <c r="C485" s="1">
        <v>42492</v>
      </c>
      <c r="D485" t="s">
        <v>84</v>
      </c>
      <c r="E485" t="s">
        <v>189</v>
      </c>
      <c r="F485">
        <v>81</v>
      </c>
      <c r="G485" t="s">
        <v>60</v>
      </c>
      <c r="H485" t="s">
        <v>70</v>
      </c>
      <c r="I485">
        <v>0</v>
      </c>
      <c r="J485">
        <v>0</v>
      </c>
      <c r="K485" t="s">
        <v>47</v>
      </c>
      <c r="L485" t="s">
        <v>47</v>
      </c>
      <c r="M485" t="s">
        <v>46</v>
      </c>
      <c r="N485" t="s">
        <v>48</v>
      </c>
      <c r="O485" t="s">
        <v>49</v>
      </c>
      <c r="P485">
        <v>21.7</v>
      </c>
      <c r="Q485" t="s">
        <v>48</v>
      </c>
      <c r="R485" t="s">
        <v>47</v>
      </c>
      <c r="S485" t="s">
        <v>47</v>
      </c>
      <c r="T485" t="s">
        <v>47</v>
      </c>
      <c r="U485" t="s">
        <v>47</v>
      </c>
      <c r="V485" t="s">
        <v>51</v>
      </c>
      <c r="W485" t="s">
        <v>47</v>
      </c>
      <c r="X485" t="s">
        <v>46</v>
      </c>
      <c r="Y485" t="s">
        <v>47</v>
      </c>
      <c r="Z485" t="s">
        <v>47</v>
      </c>
      <c r="AA485" t="s">
        <v>46</v>
      </c>
      <c r="AB485" t="s">
        <v>47</v>
      </c>
      <c r="AC485" t="s">
        <v>47</v>
      </c>
      <c r="AD485" t="s">
        <v>47</v>
      </c>
      <c r="AE485" t="s">
        <v>47</v>
      </c>
      <c r="AF485" t="s">
        <v>47</v>
      </c>
      <c r="AG485" t="s">
        <v>52</v>
      </c>
      <c r="AH485" t="s">
        <v>53</v>
      </c>
      <c r="AI485" t="s">
        <v>54</v>
      </c>
      <c r="AJ485">
        <v>8</v>
      </c>
      <c r="AK485" t="s">
        <v>46</v>
      </c>
      <c r="AL485" t="s">
        <v>76</v>
      </c>
      <c r="AM485" t="s">
        <v>56</v>
      </c>
      <c r="AN485">
        <v>2</v>
      </c>
      <c r="AO485" t="s">
        <v>47</v>
      </c>
    </row>
    <row r="486" spans="1:41">
      <c r="A486" t="s">
        <v>638</v>
      </c>
      <c r="B486">
        <v>2025</v>
      </c>
      <c r="C486" s="1">
        <v>45762</v>
      </c>
      <c r="D486" t="s">
        <v>95</v>
      </c>
      <c r="E486" t="s">
        <v>96</v>
      </c>
      <c r="F486">
        <v>75</v>
      </c>
      <c r="G486" t="s">
        <v>44</v>
      </c>
      <c r="H486" t="s">
        <v>70</v>
      </c>
      <c r="I486">
        <v>0</v>
      </c>
      <c r="J486">
        <v>0</v>
      </c>
      <c r="K486" t="s">
        <v>46</v>
      </c>
      <c r="L486" t="s">
        <v>47</v>
      </c>
      <c r="M486" t="s">
        <v>47</v>
      </c>
      <c r="N486" t="s">
        <v>48</v>
      </c>
      <c r="O486" t="s">
        <v>49</v>
      </c>
      <c r="P486">
        <v>26.6</v>
      </c>
      <c r="Q486" t="s">
        <v>62</v>
      </c>
      <c r="R486" t="s">
        <v>47</v>
      </c>
      <c r="S486" t="s">
        <v>47</v>
      </c>
      <c r="T486" t="s">
        <v>47</v>
      </c>
      <c r="U486" t="s">
        <v>47</v>
      </c>
      <c r="V486" t="s">
        <v>86</v>
      </c>
      <c r="W486" t="s">
        <v>46</v>
      </c>
      <c r="X486" t="s">
        <v>47</v>
      </c>
      <c r="Y486" t="s">
        <v>47</v>
      </c>
      <c r="Z486" t="s">
        <v>47</v>
      </c>
      <c r="AA486" t="s">
        <v>46</v>
      </c>
      <c r="AB486" t="s">
        <v>47</v>
      </c>
      <c r="AC486" t="s">
        <v>47</v>
      </c>
      <c r="AD486" t="s">
        <v>46</v>
      </c>
      <c r="AE486" t="s">
        <v>46</v>
      </c>
      <c r="AF486" t="s">
        <v>47</v>
      </c>
      <c r="AG486" t="s">
        <v>52</v>
      </c>
      <c r="AH486" t="s">
        <v>53</v>
      </c>
      <c r="AI486" t="s">
        <v>87</v>
      </c>
      <c r="AJ486">
        <v>2.5</v>
      </c>
      <c r="AK486" t="s">
        <v>47</v>
      </c>
      <c r="AL486" t="s">
        <v>100</v>
      </c>
      <c r="AM486" t="s">
        <v>73</v>
      </c>
      <c r="AN486">
        <v>28</v>
      </c>
      <c r="AO486" t="s">
        <v>47</v>
      </c>
    </row>
    <row r="487" spans="1:41">
      <c r="A487" t="s">
        <v>639</v>
      </c>
      <c r="B487">
        <v>2021</v>
      </c>
      <c r="C487" s="1">
        <v>44314</v>
      </c>
      <c r="D487" t="s">
        <v>42</v>
      </c>
      <c r="E487" t="s">
        <v>136</v>
      </c>
      <c r="F487">
        <v>69</v>
      </c>
      <c r="G487" t="s">
        <v>44</v>
      </c>
      <c r="H487" t="s">
        <v>70</v>
      </c>
      <c r="I487">
        <v>0</v>
      </c>
      <c r="J487">
        <v>0</v>
      </c>
      <c r="K487" t="s">
        <v>47</v>
      </c>
      <c r="L487" t="s">
        <v>47</v>
      </c>
      <c r="M487" t="s">
        <v>47</v>
      </c>
      <c r="N487" t="s">
        <v>48</v>
      </c>
      <c r="O487" t="s">
        <v>63</v>
      </c>
      <c r="P487">
        <v>26.6</v>
      </c>
      <c r="Q487" t="s">
        <v>62</v>
      </c>
      <c r="R487" t="s">
        <v>47</v>
      </c>
      <c r="S487" t="s">
        <v>47</v>
      </c>
      <c r="T487" t="s">
        <v>47</v>
      </c>
      <c r="U487" t="s">
        <v>47</v>
      </c>
      <c r="V487" t="s">
        <v>64</v>
      </c>
      <c r="W487" t="s">
        <v>46</v>
      </c>
      <c r="X487" t="s">
        <v>46</v>
      </c>
      <c r="Y487" t="s">
        <v>46</v>
      </c>
      <c r="Z487" t="s">
        <v>47</v>
      </c>
      <c r="AA487" t="s">
        <v>46</v>
      </c>
      <c r="AB487" t="s">
        <v>46</v>
      </c>
      <c r="AC487" t="s">
        <v>47</v>
      </c>
      <c r="AD487" t="s">
        <v>46</v>
      </c>
      <c r="AE487" t="s">
        <v>47</v>
      </c>
      <c r="AF487" t="s">
        <v>47</v>
      </c>
      <c r="AG487" t="s">
        <v>52</v>
      </c>
      <c r="AH487" t="s">
        <v>71</v>
      </c>
      <c r="AI487" t="s">
        <v>80</v>
      </c>
      <c r="AJ487">
        <v>6.9</v>
      </c>
      <c r="AK487" t="s">
        <v>46</v>
      </c>
      <c r="AL487" t="s">
        <v>81</v>
      </c>
      <c r="AM487" t="s">
        <v>82</v>
      </c>
      <c r="AN487">
        <v>31</v>
      </c>
      <c r="AO487" t="s">
        <v>47</v>
      </c>
    </row>
    <row r="488" spans="1:41">
      <c r="A488" t="s">
        <v>640</v>
      </c>
      <c r="B488">
        <v>2018</v>
      </c>
      <c r="C488" s="1">
        <v>43153</v>
      </c>
      <c r="D488" t="s">
        <v>42</v>
      </c>
      <c r="E488" t="s">
        <v>136</v>
      </c>
      <c r="F488">
        <v>76</v>
      </c>
      <c r="G488" t="s">
        <v>60</v>
      </c>
      <c r="H488" t="s">
        <v>70</v>
      </c>
      <c r="I488">
        <v>0</v>
      </c>
      <c r="J488">
        <v>0</v>
      </c>
      <c r="K488" t="s">
        <v>46</v>
      </c>
      <c r="L488" t="s">
        <v>47</v>
      </c>
      <c r="M488" t="s">
        <v>47</v>
      </c>
      <c r="N488" t="s">
        <v>48</v>
      </c>
      <c r="O488" t="s">
        <v>63</v>
      </c>
      <c r="P488">
        <v>24</v>
      </c>
      <c r="Q488" t="s">
        <v>50</v>
      </c>
      <c r="R488" t="s">
        <v>47</v>
      </c>
      <c r="S488" t="s">
        <v>47</v>
      </c>
      <c r="T488" t="s">
        <v>47</v>
      </c>
      <c r="U488" t="s">
        <v>47</v>
      </c>
      <c r="V488" t="s">
        <v>117</v>
      </c>
      <c r="W488" t="s">
        <v>47</v>
      </c>
      <c r="X488" t="s">
        <v>46</v>
      </c>
      <c r="Y488" t="s">
        <v>47</v>
      </c>
      <c r="Z488" t="s">
        <v>47</v>
      </c>
      <c r="AA488" t="s">
        <v>47</v>
      </c>
      <c r="AB488" t="s">
        <v>47</v>
      </c>
      <c r="AC488" t="s">
        <v>46</v>
      </c>
      <c r="AD488" t="s">
        <v>46</v>
      </c>
      <c r="AE488" t="s">
        <v>47</v>
      </c>
      <c r="AF488" t="s">
        <v>47</v>
      </c>
      <c r="AG488" t="s">
        <v>52</v>
      </c>
      <c r="AH488" t="s">
        <v>53</v>
      </c>
      <c r="AI488" t="s">
        <v>87</v>
      </c>
      <c r="AJ488">
        <v>4.0999999999999996</v>
      </c>
      <c r="AK488" t="s">
        <v>47</v>
      </c>
      <c r="AL488" t="s">
        <v>55</v>
      </c>
      <c r="AM488" t="s">
        <v>82</v>
      </c>
      <c r="AN488">
        <v>34</v>
      </c>
      <c r="AO488" t="s">
        <v>47</v>
      </c>
    </row>
    <row r="489" spans="1:41">
      <c r="A489" t="s">
        <v>641</v>
      </c>
      <c r="B489">
        <v>2025</v>
      </c>
      <c r="C489" s="1">
        <v>45921</v>
      </c>
      <c r="D489" t="s">
        <v>95</v>
      </c>
      <c r="E489" t="s">
        <v>107</v>
      </c>
      <c r="F489">
        <v>79</v>
      </c>
      <c r="G489" t="s">
        <v>60</v>
      </c>
      <c r="H489" t="s">
        <v>45</v>
      </c>
      <c r="I489">
        <v>33</v>
      </c>
      <c r="J489">
        <v>47</v>
      </c>
      <c r="K489" t="s">
        <v>46</v>
      </c>
      <c r="L489" t="s">
        <v>47</v>
      </c>
      <c r="M489" t="s">
        <v>46</v>
      </c>
      <c r="N489" t="s">
        <v>62</v>
      </c>
      <c r="O489" t="s">
        <v>48</v>
      </c>
      <c r="P489">
        <v>20</v>
      </c>
      <c r="Q489" t="s">
        <v>50</v>
      </c>
      <c r="R489" t="s">
        <v>47</v>
      </c>
      <c r="S489" t="s">
        <v>47</v>
      </c>
      <c r="T489" t="s">
        <v>46</v>
      </c>
      <c r="U489" t="s">
        <v>47</v>
      </c>
      <c r="V489" t="s">
        <v>51</v>
      </c>
      <c r="W489" t="s">
        <v>46</v>
      </c>
      <c r="X489" t="s">
        <v>47</v>
      </c>
      <c r="Y489" t="s">
        <v>46</v>
      </c>
      <c r="Z489" t="s">
        <v>46</v>
      </c>
      <c r="AA489" t="s">
        <v>47</v>
      </c>
      <c r="AB489" t="s">
        <v>46</v>
      </c>
      <c r="AC489" t="s">
        <v>47</v>
      </c>
      <c r="AD489" t="s">
        <v>46</v>
      </c>
      <c r="AE489" t="s">
        <v>47</v>
      </c>
      <c r="AF489" t="s">
        <v>47</v>
      </c>
      <c r="AG489" t="s">
        <v>52</v>
      </c>
      <c r="AH489" t="s">
        <v>53</v>
      </c>
      <c r="AI489" t="s">
        <v>87</v>
      </c>
      <c r="AJ489">
        <v>3.2</v>
      </c>
      <c r="AK489" t="s">
        <v>47</v>
      </c>
      <c r="AL489" t="s">
        <v>66</v>
      </c>
      <c r="AM489" t="s">
        <v>77</v>
      </c>
      <c r="AN489">
        <v>28</v>
      </c>
      <c r="AO489" t="s">
        <v>47</v>
      </c>
    </row>
    <row r="490" spans="1:41">
      <c r="A490" t="s">
        <v>642</v>
      </c>
      <c r="B490">
        <v>2021</v>
      </c>
      <c r="C490" s="1">
        <v>44209</v>
      </c>
      <c r="D490" t="s">
        <v>58</v>
      </c>
      <c r="E490" t="s">
        <v>134</v>
      </c>
      <c r="F490">
        <v>48</v>
      </c>
      <c r="G490" t="s">
        <v>44</v>
      </c>
      <c r="H490" t="s">
        <v>70</v>
      </c>
      <c r="I490">
        <v>0</v>
      </c>
      <c r="J490">
        <v>0</v>
      </c>
      <c r="K490" t="s">
        <v>47</v>
      </c>
      <c r="L490" t="s">
        <v>47</v>
      </c>
      <c r="M490" t="s">
        <v>46</v>
      </c>
      <c r="N490" t="s">
        <v>50</v>
      </c>
      <c r="O490" t="s">
        <v>49</v>
      </c>
      <c r="P490">
        <v>27.8</v>
      </c>
      <c r="Q490" t="s">
        <v>48</v>
      </c>
      <c r="R490" t="s">
        <v>47</v>
      </c>
      <c r="S490" t="s">
        <v>47</v>
      </c>
      <c r="T490" t="s">
        <v>47</v>
      </c>
      <c r="U490" t="s">
        <v>47</v>
      </c>
      <c r="V490" t="s">
        <v>193</v>
      </c>
      <c r="W490" t="s">
        <v>47</v>
      </c>
      <c r="X490" t="s">
        <v>46</v>
      </c>
      <c r="Y490" t="s">
        <v>47</v>
      </c>
      <c r="Z490" t="s">
        <v>47</v>
      </c>
      <c r="AA490" t="s">
        <v>46</v>
      </c>
      <c r="AB490" t="s">
        <v>47</v>
      </c>
      <c r="AC490" t="s">
        <v>47</v>
      </c>
      <c r="AD490" t="s">
        <v>47</v>
      </c>
      <c r="AE490" t="s">
        <v>47</v>
      </c>
      <c r="AF490" t="s">
        <v>47</v>
      </c>
      <c r="AG490" t="s">
        <v>52</v>
      </c>
      <c r="AH490" t="s">
        <v>53</v>
      </c>
      <c r="AI490" t="s">
        <v>80</v>
      </c>
      <c r="AJ490">
        <v>3.7</v>
      </c>
      <c r="AK490" t="s">
        <v>47</v>
      </c>
      <c r="AL490" t="s">
        <v>100</v>
      </c>
      <c r="AM490" t="s">
        <v>67</v>
      </c>
      <c r="AN490">
        <v>18</v>
      </c>
      <c r="AO490" t="s">
        <v>47</v>
      </c>
    </row>
    <row r="491" spans="1:41">
      <c r="A491" t="s">
        <v>643</v>
      </c>
      <c r="B491">
        <v>2025</v>
      </c>
      <c r="C491" s="1">
        <v>45751</v>
      </c>
      <c r="D491" t="s">
        <v>42</v>
      </c>
      <c r="E491" t="s">
        <v>210</v>
      </c>
      <c r="F491">
        <v>52</v>
      </c>
      <c r="G491" t="s">
        <v>60</v>
      </c>
      <c r="H491" t="s">
        <v>70</v>
      </c>
      <c r="I491">
        <v>0</v>
      </c>
      <c r="J491">
        <v>0</v>
      </c>
      <c r="K491" t="s">
        <v>46</v>
      </c>
      <c r="L491" t="s">
        <v>47</v>
      </c>
      <c r="M491" t="s">
        <v>47</v>
      </c>
      <c r="N491" t="s">
        <v>62</v>
      </c>
      <c r="O491" t="s">
        <v>48</v>
      </c>
      <c r="P491">
        <v>32.4</v>
      </c>
      <c r="Q491" t="s">
        <v>50</v>
      </c>
      <c r="R491" t="s">
        <v>47</v>
      </c>
      <c r="S491" t="s">
        <v>47</v>
      </c>
      <c r="T491" t="s">
        <v>47</v>
      </c>
      <c r="U491" t="s">
        <v>47</v>
      </c>
      <c r="V491" t="s">
        <v>51</v>
      </c>
      <c r="W491" t="s">
        <v>47</v>
      </c>
      <c r="X491" t="s">
        <v>47</v>
      </c>
      <c r="Y491" t="s">
        <v>47</v>
      </c>
      <c r="Z491" t="s">
        <v>47</v>
      </c>
      <c r="AA491" t="s">
        <v>46</v>
      </c>
      <c r="AB491" t="s">
        <v>47</v>
      </c>
      <c r="AC491" t="s">
        <v>46</v>
      </c>
      <c r="AD491" t="s">
        <v>47</v>
      </c>
      <c r="AE491" t="s">
        <v>47</v>
      </c>
      <c r="AF491" t="s">
        <v>47</v>
      </c>
      <c r="AG491" t="s">
        <v>52</v>
      </c>
      <c r="AH491" t="s">
        <v>90</v>
      </c>
      <c r="AI491" t="s">
        <v>65</v>
      </c>
      <c r="AJ491">
        <v>2.1</v>
      </c>
      <c r="AK491" t="s">
        <v>47</v>
      </c>
      <c r="AL491" t="s">
        <v>72</v>
      </c>
      <c r="AM491" t="s">
        <v>73</v>
      </c>
      <c r="AN491">
        <v>54</v>
      </c>
      <c r="AO491" t="s">
        <v>46</v>
      </c>
    </row>
    <row r="492" spans="1:41">
      <c r="A492" t="s">
        <v>644</v>
      </c>
      <c r="B492">
        <v>2019</v>
      </c>
      <c r="C492" s="1">
        <v>43518</v>
      </c>
      <c r="D492" t="s">
        <v>42</v>
      </c>
      <c r="E492" t="s">
        <v>160</v>
      </c>
      <c r="F492">
        <v>73</v>
      </c>
      <c r="G492" t="s">
        <v>60</v>
      </c>
      <c r="H492" t="s">
        <v>70</v>
      </c>
      <c r="I492">
        <v>0</v>
      </c>
      <c r="J492">
        <v>0</v>
      </c>
      <c r="K492" t="s">
        <v>47</v>
      </c>
      <c r="L492" t="s">
        <v>47</v>
      </c>
      <c r="M492" t="s">
        <v>47</v>
      </c>
      <c r="N492" t="s">
        <v>48</v>
      </c>
      <c r="O492" t="s">
        <v>48</v>
      </c>
      <c r="P492">
        <v>22.8</v>
      </c>
      <c r="Q492" t="s">
        <v>48</v>
      </c>
      <c r="R492" t="s">
        <v>47</v>
      </c>
      <c r="S492" t="s">
        <v>47</v>
      </c>
      <c r="T492" t="s">
        <v>46</v>
      </c>
      <c r="U492" t="s">
        <v>47</v>
      </c>
      <c r="V492" t="s">
        <v>51</v>
      </c>
      <c r="W492" t="s">
        <v>47</v>
      </c>
      <c r="X492" t="s">
        <v>47</v>
      </c>
      <c r="Y492" t="s">
        <v>47</v>
      </c>
      <c r="Z492" t="s">
        <v>47</v>
      </c>
      <c r="AA492" t="s">
        <v>46</v>
      </c>
      <c r="AB492" t="s">
        <v>47</v>
      </c>
      <c r="AC492" t="s">
        <v>47</v>
      </c>
      <c r="AD492" t="s">
        <v>47</v>
      </c>
      <c r="AE492" t="s">
        <v>47</v>
      </c>
      <c r="AF492" t="s">
        <v>47</v>
      </c>
      <c r="AG492" t="s">
        <v>52</v>
      </c>
      <c r="AH492" t="s">
        <v>53</v>
      </c>
      <c r="AI492" t="s">
        <v>65</v>
      </c>
      <c r="AJ492">
        <v>3</v>
      </c>
      <c r="AK492" t="s">
        <v>47</v>
      </c>
      <c r="AL492" t="s">
        <v>81</v>
      </c>
      <c r="AM492" t="s">
        <v>67</v>
      </c>
      <c r="AN492">
        <v>73</v>
      </c>
      <c r="AO492" t="s">
        <v>46</v>
      </c>
    </row>
    <row r="493" spans="1:41">
      <c r="A493" t="s">
        <v>645</v>
      </c>
      <c r="B493">
        <v>2019</v>
      </c>
      <c r="C493" s="1">
        <v>43790</v>
      </c>
      <c r="D493" t="s">
        <v>58</v>
      </c>
      <c r="E493" t="s">
        <v>163</v>
      </c>
      <c r="F493">
        <v>62</v>
      </c>
      <c r="G493" t="s">
        <v>44</v>
      </c>
      <c r="H493" t="s">
        <v>70</v>
      </c>
      <c r="I493">
        <v>0</v>
      </c>
      <c r="J493">
        <v>0</v>
      </c>
      <c r="K493" t="s">
        <v>46</v>
      </c>
      <c r="L493" t="s">
        <v>46</v>
      </c>
      <c r="M493" t="s">
        <v>47</v>
      </c>
      <c r="N493" t="s">
        <v>50</v>
      </c>
      <c r="O493" t="s">
        <v>48</v>
      </c>
      <c r="P493">
        <v>23.2</v>
      </c>
      <c r="Q493" t="s">
        <v>50</v>
      </c>
      <c r="R493" t="s">
        <v>47</v>
      </c>
      <c r="S493" t="s">
        <v>47</v>
      </c>
      <c r="T493" t="s">
        <v>47</v>
      </c>
      <c r="U493" t="s">
        <v>47</v>
      </c>
      <c r="V493" t="s">
        <v>51</v>
      </c>
      <c r="W493" t="s">
        <v>47</v>
      </c>
      <c r="X493" t="s">
        <v>46</v>
      </c>
      <c r="Y493" t="s">
        <v>46</v>
      </c>
      <c r="Z493" t="s">
        <v>47</v>
      </c>
      <c r="AA493" t="s">
        <v>46</v>
      </c>
      <c r="AB493" t="s">
        <v>47</v>
      </c>
      <c r="AC493" t="s">
        <v>47</v>
      </c>
      <c r="AD493" t="s">
        <v>47</v>
      </c>
      <c r="AE493" t="s">
        <v>46</v>
      </c>
      <c r="AF493" t="s">
        <v>46</v>
      </c>
      <c r="AG493" t="s">
        <v>52</v>
      </c>
      <c r="AH493" t="s">
        <v>53</v>
      </c>
      <c r="AI493" t="s">
        <v>65</v>
      </c>
      <c r="AJ493">
        <v>2.9</v>
      </c>
      <c r="AK493" t="s">
        <v>47</v>
      </c>
      <c r="AL493" t="s">
        <v>76</v>
      </c>
      <c r="AM493" t="s">
        <v>73</v>
      </c>
      <c r="AN493">
        <v>35</v>
      </c>
      <c r="AO493" t="s">
        <v>46</v>
      </c>
    </row>
    <row r="494" spans="1:41">
      <c r="A494" t="s">
        <v>646</v>
      </c>
      <c r="B494">
        <v>2017</v>
      </c>
      <c r="C494" s="1">
        <v>42737</v>
      </c>
      <c r="D494" t="s">
        <v>42</v>
      </c>
      <c r="E494" t="s">
        <v>136</v>
      </c>
      <c r="F494">
        <v>47</v>
      </c>
      <c r="G494" t="s">
        <v>60</v>
      </c>
      <c r="H494" t="s">
        <v>70</v>
      </c>
      <c r="I494">
        <v>0</v>
      </c>
      <c r="J494">
        <v>0</v>
      </c>
      <c r="K494" t="s">
        <v>47</v>
      </c>
      <c r="L494" t="s">
        <v>47</v>
      </c>
      <c r="M494" t="s">
        <v>47</v>
      </c>
      <c r="N494" t="s">
        <v>48</v>
      </c>
      <c r="O494" t="s">
        <v>49</v>
      </c>
      <c r="P494">
        <v>33.1</v>
      </c>
      <c r="Q494" t="s">
        <v>48</v>
      </c>
      <c r="R494" t="s">
        <v>47</v>
      </c>
      <c r="S494" t="s">
        <v>47</v>
      </c>
      <c r="T494" t="s">
        <v>47</v>
      </c>
      <c r="U494" t="s">
        <v>47</v>
      </c>
      <c r="V494" t="s">
        <v>51</v>
      </c>
      <c r="W494" t="s">
        <v>46</v>
      </c>
      <c r="X494" t="s">
        <v>46</v>
      </c>
      <c r="Y494" t="s">
        <v>47</v>
      </c>
      <c r="Z494" t="s">
        <v>47</v>
      </c>
      <c r="AA494" t="s">
        <v>47</v>
      </c>
      <c r="AB494" t="s">
        <v>47</v>
      </c>
      <c r="AC494" t="s">
        <v>47</v>
      </c>
      <c r="AD494" t="s">
        <v>47</v>
      </c>
      <c r="AE494" t="s">
        <v>47</v>
      </c>
      <c r="AF494" t="s">
        <v>47</v>
      </c>
      <c r="AG494" t="s">
        <v>52</v>
      </c>
      <c r="AH494" t="s">
        <v>53</v>
      </c>
      <c r="AI494" t="s">
        <v>54</v>
      </c>
      <c r="AJ494">
        <v>9.8000000000000007</v>
      </c>
      <c r="AK494" t="s">
        <v>46</v>
      </c>
      <c r="AL494" t="s">
        <v>81</v>
      </c>
      <c r="AM494" t="s">
        <v>265</v>
      </c>
      <c r="AN494">
        <v>7</v>
      </c>
      <c r="AO494" t="s">
        <v>47</v>
      </c>
    </row>
    <row r="495" spans="1:41">
      <c r="A495" t="s">
        <v>647</v>
      </c>
      <c r="B495">
        <v>2024</v>
      </c>
      <c r="C495" s="1">
        <v>45387</v>
      </c>
      <c r="D495" t="s">
        <v>95</v>
      </c>
      <c r="E495" t="s">
        <v>255</v>
      </c>
      <c r="F495">
        <v>51</v>
      </c>
      <c r="G495" t="s">
        <v>60</v>
      </c>
      <c r="H495" t="s">
        <v>70</v>
      </c>
      <c r="I495">
        <v>0</v>
      </c>
      <c r="J495">
        <v>0</v>
      </c>
      <c r="K495" t="s">
        <v>46</v>
      </c>
      <c r="L495" t="s">
        <v>47</v>
      </c>
      <c r="M495" t="s">
        <v>47</v>
      </c>
      <c r="N495" t="s">
        <v>48</v>
      </c>
      <c r="O495" t="s">
        <v>48</v>
      </c>
      <c r="P495">
        <v>26.6</v>
      </c>
      <c r="Q495" t="s">
        <v>48</v>
      </c>
      <c r="R495" t="s">
        <v>47</v>
      </c>
      <c r="S495" t="s">
        <v>47</v>
      </c>
      <c r="T495" t="s">
        <v>47</v>
      </c>
      <c r="U495" t="s">
        <v>47</v>
      </c>
      <c r="V495" t="s">
        <v>86</v>
      </c>
      <c r="W495" t="s">
        <v>47</v>
      </c>
      <c r="X495" t="s">
        <v>47</v>
      </c>
      <c r="Y495" t="s">
        <v>47</v>
      </c>
      <c r="Z495" t="s">
        <v>46</v>
      </c>
      <c r="AA495" t="s">
        <v>46</v>
      </c>
      <c r="AB495" t="s">
        <v>47</v>
      </c>
      <c r="AC495" t="s">
        <v>47</v>
      </c>
      <c r="AD495" t="s">
        <v>47</v>
      </c>
      <c r="AE495" t="s">
        <v>47</v>
      </c>
      <c r="AF495" t="s">
        <v>47</v>
      </c>
      <c r="AG495" t="s">
        <v>121</v>
      </c>
      <c r="AH495" t="s">
        <v>122</v>
      </c>
      <c r="AI495" t="s">
        <v>87</v>
      </c>
      <c r="AJ495">
        <v>4</v>
      </c>
      <c r="AK495" t="s">
        <v>47</v>
      </c>
      <c r="AL495" t="s">
        <v>156</v>
      </c>
      <c r="AM495" t="s">
        <v>67</v>
      </c>
      <c r="AN495">
        <v>43</v>
      </c>
      <c r="AO495" t="s">
        <v>47</v>
      </c>
    </row>
    <row r="496" spans="1:41">
      <c r="A496" t="s">
        <v>648</v>
      </c>
      <c r="B496">
        <v>2024</v>
      </c>
      <c r="C496" s="1">
        <v>45385</v>
      </c>
      <c r="D496" t="s">
        <v>58</v>
      </c>
      <c r="E496" t="s">
        <v>220</v>
      </c>
      <c r="F496">
        <v>50</v>
      </c>
      <c r="G496" t="s">
        <v>44</v>
      </c>
      <c r="H496" t="s">
        <v>45</v>
      </c>
      <c r="I496">
        <v>27</v>
      </c>
      <c r="J496">
        <v>25</v>
      </c>
      <c r="K496" t="s">
        <v>46</v>
      </c>
      <c r="L496" t="s">
        <v>47</v>
      </c>
      <c r="M496" t="s">
        <v>47</v>
      </c>
      <c r="N496" t="s">
        <v>48</v>
      </c>
      <c r="O496" t="s">
        <v>48</v>
      </c>
      <c r="P496">
        <v>24.3</v>
      </c>
      <c r="Q496" t="s">
        <v>48</v>
      </c>
      <c r="R496" t="s">
        <v>47</v>
      </c>
      <c r="S496" t="s">
        <v>47</v>
      </c>
      <c r="T496" t="s">
        <v>47</v>
      </c>
      <c r="U496" t="s">
        <v>47</v>
      </c>
      <c r="V496" t="s">
        <v>64</v>
      </c>
      <c r="W496" t="s">
        <v>46</v>
      </c>
      <c r="X496" t="s">
        <v>47</v>
      </c>
      <c r="Y496" t="s">
        <v>46</v>
      </c>
      <c r="Z496" t="s">
        <v>47</v>
      </c>
      <c r="AA496" t="s">
        <v>46</v>
      </c>
      <c r="AB496" t="s">
        <v>47</v>
      </c>
      <c r="AC496" t="s">
        <v>46</v>
      </c>
      <c r="AD496" t="s">
        <v>47</v>
      </c>
      <c r="AE496" t="s">
        <v>47</v>
      </c>
      <c r="AF496" t="s">
        <v>47</v>
      </c>
      <c r="AG496" t="s">
        <v>121</v>
      </c>
      <c r="AH496" t="s">
        <v>122</v>
      </c>
      <c r="AI496" t="s">
        <v>80</v>
      </c>
      <c r="AJ496">
        <v>4.9000000000000004</v>
      </c>
      <c r="AK496" t="s">
        <v>46</v>
      </c>
      <c r="AL496" t="s">
        <v>81</v>
      </c>
      <c r="AM496" t="s">
        <v>82</v>
      </c>
      <c r="AN496">
        <v>19</v>
      </c>
      <c r="AO496" t="s">
        <v>47</v>
      </c>
    </row>
    <row r="497" spans="1:41">
      <c r="A497" t="s">
        <v>649</v>
      </c>
      <c r="B497">
        <v>2018</v>
      </c>
      <c r="C497" s="1">
        <v>43209</v>
      </c>
      <c r="D497" t="s">
        <v>42</v>
      </c>
      <c r="E497" t="s">
        <v>160</v>
      </c>
      <c r="F497">
        <v>56</v>
      </c>
      <c r="G497" t="s">
        <v>44</v>
      </c>
      <c r="H497" t="s">
        <v>70</v>
      </c>
      <c r="I497">
        <v>0</v>
      </c>
      <c r="J497">
        <v>0</v>
      </c>
      <c r="K497" t="s">
        <v>47</v>
      </c>
      <c r="L497" t="s">
        <v>47</v>
      </c>
      <c r="M497" t="s">
        <v>47</v>
      </c>
      <c r="N497" t="s">
        <v>62</v>
      </c>
      <c r="O497" t="s">
        <v>48</v>
      </c>
      <c r="P497">
        <v>25.8</v>
      </c>
      <c r="Q497" t="s">
        <v>62</v>
      </c>
      <c r="R497" t="s">
        <v>47</v>
      </c>
      <c r="S497" t="s">
        <v>47</v>
      </c>
      <c r="T497" t="s">
        <v>47</v>
      </c>
      <c r="U497" t="s">
        <v>47</v>
      </c>
      <c r="V497" t="s">
        <v>64</v>
      </c>
      <c r="W497" t="s">
        <v>46</v>
      </c>
      <c r="X497" t="s">
        <v>47</v>
      </c>
      <c r="Y497" t="s">
        <v>47</v>
      </c>
      <c r="Z497" t="s">
        <v>46</v>
      </c>
      <c r="AA497" t="s">
        <v>47</v>
      </c>
      <c r="AB497" t="s">
        <v>46</v>
      </c>
      <c r="AC497" t="s">
        <v>47</v>
      </c>
      <c r="AD497" t="s">
        <v>46</v>
      </c>
      <c r="AE497" t="s">
        <v>47</v>
      </c>
      <c r="AF497" t="s">
        <v>46</v>
      </c>
      <c r="AG497" t="s">
        <v>52</v>
      </c>
      <c r="AH497" t="s">
        <v>53</v>
      </c>
      <c r="AI497" t="s">
        <v>65</v>
      </c>
      <c r="AJ497">
        <v>1.3</v>
      </c>
      <c r="AK497" t="s">
        <v>47</v>
      </c>
      <c r="AL497" t="s">
        <v>66</v>
      </c>
      <c r="AM497" t="s">
        <v>73</v>
      </c>
      <c r="AN497">
        <v>46</v>
      </c>
      <c r="AO497" t="s">
        <v>46</v>
      </c>
    </row>
    <row r="498" spans="1:41">
      <c r="A498" t="s">
        <v>650</v>
      </c>
      <c r="B498">
        <v>2015</v>
      </c>
      <c r="C498" s="1">
        <v>42105</v>
      </c>
      <c r="D498" t="s">
        <v>110</v>
      </c>
      <c r="E498" t="s">
        <v>294</v>
      </c>
      <c r="F498">
        <v>70</v>
      </c>
      <c r="G498" t="s">
        <v>60</v>
      </c>
      <c r="H498" t="s">
        <v>70</v>
      </c>
      <c r="I498">
        <v>0</v>
      </c>
      <c r="J498">
        <v>0</v>
      </c>
      <c r="K498" t="s">
        <v>47</v>
      </c>
      <c r="L498" t="s">
        <v>47</v>
      </c>
      <c r="M498" t="s">
        <v>47</v>
      </c>
      <c r="N498" t="s">
        <v>62</v>
      </c>
      <c r="O498" t="s">
        <v>48</v>
      </c>
      <c r="P498">
        <v>25.2</v>
      </c>
      <c r="Q498" t="s">
        <v>62</v>
      </c>
      <c r="R498" t="s">
        <v>47</v>
      </c>
      <c r="S498" t="s">
        <v>47</v>
      </c>
      <c r="T498" t="s">
        <v>47</v>
      </c>
      <c r="U498" t="s">
        <v>47</v>
      </c>
      <c r="V498" t="s">
        <v>86</v>
      </c>
      <c r="W498" t="s">
        <v>47</v>
      </c>
      <c r="X498" t="s">
        <v>47</v>
      </c>
      <c r="Y498" t="s">
        <v>47</v>
      </c>
      <c r="Z498" t="s">
        <v>47</v>
      </c>
      <c r="AA498" t="s">
        <v>46</v>
      </c>
      <c r="AB498" t="s">
        <v>46</v>
      </c>
      <c r="AC498" t="s">
        <v>47</v>
      </c>
      <c r="AD498" t="s">
        <v>47</v>
      </c>
      <c r="AE498" t="s">
        <v>47</v>
      </c>
      <c r="AF498" t="s">
        <v>47</v>
      </c>
      <c r="AG498" t="s">
        <v>121</v>
      </c>
      <c r="AH498" t="s">
        <v>122</v>
      </c>
      <c r="AI498" t="s">
        <v>54</v>
      </c>
      <c r="AJ498">
        <v>8.6999999999999993</v>
      </c>
      <c r="AK498" t="s">
        <v>46</v>
      </c>
      <c r="AL498" t="s">
        <v>100</v>
      </c>
      <c r="AM498" t="s">
        <v>118</v>
      </c>
      <c r="AN498">
        <v>11</v>
      </c>
      <c r="AO498" t="s">
        <v>47</v>
      </c>
    </row>
    <row r="499" spans="1:41">
      <c r="A499" t="s">
        <v>651</v>
      </c>
      <c r="B499">
        <v>2016</v>
      </c>
      <c r="C499" s="1">
        <v>42644</v>
      </c>
      <c r="D499" t="s">
        <v>95</v>
      </c>
      <c r="E499" t="s">
        <v>130</v>
      </c>
      <c r="F499">
        <v>58</v>
      </c>
      <c r="G499" t="s">
        <v>44</v>
      </c>
      <c r="H499" t="s">
        <v>70</v>
      </c>
      <c r="I499">
        <v>0</v>
      </c>
      <c r="J499">
        <v>0</v>
      </c>
      <c r="K499" t="s">
        <v>46</v>
      </c>
      <c r="L499" t="s">
        <v>47</v>
      </c>
      <c r="M499" t="s">
        <v>47</v>
      </c>
      <c r="N499" t="s">
        <v>62</v>
      </c>
      <c r="O499" t="s">
        <v>63</v>
      </c>
      <c r="P499">
        <v>28.2</v>
      </c>
      <c r="Q499" t="s">
        <v>50</v>
      </c>
      <c r="R499" t="s">
        <v>46</v>
      </c>
      <c r="S499" t="s">
        <v>47</v>
      </c>
      <c r="T499" t="s">
        <v>47</v>
      </c>
      <c r="U499" t="s">
        <v>47</v>
      </c>
      <c r="V499" t="s">
        <v>117</v>
      </c>
      <c r="W499" t="s">
        <v>46</v>
      </c>
      <c r="X499" t="s">
        <v>47</v>
      </c>
      <c r="Y499" t="s">
        <v>46</v>
      </c>
      <c r="Z499" t="s">
        <v>47</v>
      </c>
      <c r="AA499" t="s">
        <v>46</v>
      </c>
      <c r="AB499" t="s">
        <v>46</v>
      </c>
      <c r="AC499" t="s">
        <v>46</v>
      </c>
      <c r="AD499" t="s">
        <v>47</v>
      </c>
      <c r="AE499" t="s">
        <v>47</v>
      </c>
      <c r="AF499" t="s">
        <v>47</v>
      </c>
      <c r="AG499" t="s">
        <v>52</v>
      </c>
      <c r="AH499" t="s">
        <v>53</v>
      </c>
      <c r="AI499" t="s">
        <v>80</v>
      </c>
      <c r="AJ499">
        <v>6.8</v>
      </c>
      <c r="AK499" t="s">
        <v>47</v>
      </c>
      <c r="AL499" t="s">
        <v>81</v>
      </c>
      <c r="AM499" t="s">
        <v>118</v>
      </c>
      <c r="AN499">
        <v>20</v>
      </c>
      <c r="AO499" t="s">
        <v>47</v>
      </c>
    </row>
    <row r="500" spans="1:41">
      <c r="A500" t="s">
        <v>652</v>
      </c>
      <c r="B500">
        <v>2018</v>
      </c>
      <c r="C500" s="1">
        <v>43164</v>
      </c>
      <c r="D500" t="s">
        <v>42</v>
      </c>
      <c r="E500" t="s">
        <v>75</v>
      </c>
      <c r="F500">
        <v>68</v>
      </c>
      <c r="G500" t="s">
        <v>60</v>
      </c>
      <c r="H500" t="s">
        <v>45</v>
      </c>
      <c r="I500">
        <v>23</v>
      </c>
      <c r="J500">
        <v>31</v>
      </c>
      <c r="K500" t="s">
        <v>47</v>
      </c>
      <c r="L500" t="s">
        <v>47</v>
      </c>
      <c r="M500" t="s">
        <v>47</v>
      </c>
      <c r="N500" t="s">
        <v>62</v>
      </c>
      <c r="O500" t="s">
        <v>63</v>
      </c>
      <c r="P500">
        <v>30.5</v>
      </c>
      <c r="Q500" t="s">
        <v>48</v>
      </c>
      <c r="R500" t="s">
        <v>47</v>
      </c>
      <c r="S500" t="s">
        <v>47</v>
      </c>
      <c r="T500" t="s">
        <v>47</v>
      </c>
      <c r="U500" t="s">
        <v>47</v>
      </c>
      <c r="V500" t="s">
        <v>151</v>
      </c>
      <c r="W500" t="s">
        <v>46</v>
      </c>
      <c r="X500" t="s">
        <v>46</v>
      </c>
      <c r="Y500" t="s">
        <v>47</v>
      </c>
      <c r="Z500" t="s">
        <v>46</v>
      </c>
      <c r="AA500" t="s">
        <v>46</v>
      </c>
      <c r="AB500" t="s">
        <v>46</v>
      </c>
      <c r="AC500" t="s">
        <v>47</v>
      </c>
      <c r="AD500" t="s">
        <v>46</v>
      </c>
      <c r="AE500" t="s">
        <v>46</v>
      </c>
      <c r="AF500" t="s">
        <v>47</v>
      </c>
      <c r="AG500" t="s">
        <v>52</v>
      </c>
      <c r="AH500" t="s">
        <v>53</v>
      </c>
      <c r="AI500" t="s">
        <v>54</v>
      </c>
      <c r="AJ500">
        <v>7.5</v>
      </c>
      <c r="AK500" t="s">
        <v>46</v>
      </c>
      <c r="AL500" t="s">
        <v>76</v>
      </c>
      <c r="AM500" t="s">
        <v>82</v>
      </c>
      <c r="AN500">
        <v>5</v>
      </c>
      <c r="AO500" t="s">
        <v>47</v>
      </c>
    </row>
    <row r="501" spans="1:41">
      <c r="A501" t="s">
        <v>653</v>
      </c>
      <c r="B501">
        <v>2025</v>
      </c>
      <c r="C501" s="1">
        <v>45803</v>
      </c>
      <c r="D501" t="s">
        <v>58</v>
      </c>
      <c r="E501" t="s">
        <v>142</v>
      </c>
      <c r="F501">
        <v>52</v>
      </c>
      <c r="G501" t="s">
        <v>44</v>
      </c>
      <c r="H501" t="s">
        <v>45</v>
      </c>
      <c r="I501">
        <v>22</v>
      </c>
      <c r="J501">
        <v>34</v>
      </c>
      <c r="K501" t="s">
        <v>46</v>
      </c>
      <c r="L501" t="s">
        <v>47</v>
      </c>
      <c r="M501" t="s">
        <v>47</v>
      </c>
      <c r="N501" t="s">
        <v>50</v>
      </c>
      <c r="O501" t="s">
        <v>48</v>
      </c>
      <c r="P501">
        <v>21.6</v>
      </c>
      <c r="Q501" t="s">
        <v>62</v>
      </c>
      <c r="R501" t="s">
        <v>46</v>
      </c>
      <c r="S501" t="s">
        <v>47</v>
      </c>
      <c r="T501" t="s">
        <v>47</v>
      </c>
      <c r="U501" t="s">
        <v>47</v>
      </c>
      <c r="V501" t="s">
        <v>151</v>
      </c>
      <c r="W501" t="s">
        <v>46</v>
      </c>
      <c r="X501" t="s">
        <v>46</v>
      </c>
      <c r="Y501" t="s">
        <v>47</v>
      </c>
      <c r="Z501" t="s">
        <v>47</v>
      </c>
      <c r="AA501" t="s">
        <v>46</v>
      </c>
      <c r="AB501" t="s">
        <v>46</v>
      </c>
      <c r="AC501" t="s">
        <v>46</v>
      </c>
      <c r="AD501" t="s">
        <v>47</v>
      </c>
      <c r="AE501" t="s">
        <v>47</v>
      </c>
      <c r="AF501" t="s">
        <v>47</v>
      </c>
      <c r="AG501" t="s">
        <v>52</v>
      </c>
      <c r="AH501" t="s">
        <v>53</v>
      </c>
      <c r="AI501" t="s">
        <v>54</v>
      </c>
      <c r="AJ501">
        <v>3.7</v>
      </c>
      <c r="AK501" t="s">
        <v>46</v>
      </c>
      <c r="AL501" t="s">
        <v>81</v>
      </c>
      <c r="AM501" t="s">
        <v>82</v>
      </c>
      <c r="AN501">
        <v>6</v>
      </c>
      <c r="AO501" t="s">
        <v>47</v>
      </c>
    </row>
    <row r="502" spans="1:41">
      <c r="A502" t="s">
        <v>654</v>
      </c>
      <c r="B502">
        <v>2025</v>
      </c>
      <c r="C502" s="1">
        <v>45710</v>
      </c>
      <c r="D502" t="s">
        <v>84</v>
      </c>
      <c r="E502" t="s">
        <v>218</v>
      </c>
      <c r="F502">
        <v>35</v>
      </c>
      <c r="G502" t="s">
        <v>44</v>
      </c>
      <c r="H502" t="s">
        <v>70</v>
      </c>
      <c r="I502">
        <v>0</v>
      </c>
      <c r="J502">
        <v>0</v>
      </c>
      <c r="K502" t="s">
        <v>46</v>
      </c>
      <c r="L502" t="s">
        <v>47</v>
      </c>
      <c r="M502" t="s">
        <v>47</v>
      </c>
      <c r="N502" t="s">
        <v>50</v>
      </c>
      <c r="O502" t="s">
        <v>48</v>
      </c>
      <c r="P502">
        <v>26</v>
      </c>
      <c r="Q502" t="s">
        <v>50</v>
      </c>
      <c r="R502" t="s">
        <v>47</v>
      </c>
      <c r="S502" t="s">
        <v>47</v>
      </c>
      <c r="T502" t="s">
        <v>47</v>
      </c>
      <c r="U502" t="s">
        <v>47</v>
      </c>
      <c r="V502" t="s">
        <v>86</v>
      </c>
      <c r="W502" t="s">
        <v>47</v>
      </c>
      <c r="X502" t="s">
        <v>47</v>
      </c>
      <c r="Y502" t="s">
        <v>47</v>
      </c>
      <c r="Z502" t="s">
        <v>47</v>
      </c>
      <c r="AA502" t="s">
        <v>47</v>
      </c>
      <c r="AB502" t="s">
        <v>46</v>
      </c>
      <c r="AC502" t="s">
        <v>47</v>
      </c>
      <c r="AD502" t="s">
        <v>47</v>
      </c>
      <c r="AE502" t="s">
        <v>47</v>
      </c>
      <c r="AF502" t="s">
        <v>46</v>
      </c>
      <c r="AG502" t="s">
        <v>52</v>
      </c>
      <c r="AH502" t="s">
        <v>53</v>
      </c>
      <c r="AI502" t="s">
        <v>65</v>
      </c>
      <c r="AJ502">
        <v>2</v>
      </c>
      <c r="AK502" t="s">
        <v>47</v>
      </c>
      <c r="AL502" t="s">
        <v>76</v>
      </c>
      <c r="AM502" t="s">
        <v>82</v>
      </c>
      <c r="AN502">
        <v>65</v>
      </c>
      <c r="AO502" t="s">
        <v>46</v>
      </c>
    </row>
    <row r="503" spans="1:41">
      <c r="A503" t="s">
        <v>655</v>
      </c>
      <c r="B503">
        <v>2022</v>
      </c>
      <c r="C503" s="1">
        <v>44621</v>
      </c>
      <c r="D503" t="s">
        <v>95</v>
      </c>
      <c r="E503" t="s">
        <v>107</v>
      </c>
      <c r="F503">
        <v>47</v>
      </c>
      <c r="G503" t="s">
        <v>44</v>
      </c>
      <c r="H503" t="s">
        <v>70</v>
      </c>
      <c r="I503">
        <v>0</v>
      </c>
      <c r="J503">
        <v>0</v>
      </c>
      <c r="K503" t="s">
        <v>46</v>
      </c>
      <c r="L503" t="s">
        <v>47</v>
      </c>
      <c r="M503" t="s">
        <v>47</v>
      </c>
      <c r="N503" t="s">
        <v>62</v>
      </c>
      <c r="O503" t="s">
        <v>48</v>
      </c>
      <c r="P503">
        <v>30</v>
      </c>
      <c r="Q503" t="s">
        <v>50</v>
      </c>
      <c r="R503" t="s">
        <v>47</v>
      </c>
      <c r="S503" t="s">
        <v>47</v>
      </c>
      <c r="T503" t="s">
        <v>47</v>
      </c>
      <c r="U503" t="s">
        <v>47</v>
      </c>
      <c r="V503" t="s">
        <v>86</v>
      </c>
      <c r="W503" t="s">
        <v>46</v>
      </c>
      <c r="X503" t="s">
        <v>47</v>
      </c>
      <c r="Y503" t="s">
        <v>47</v>
      </c>
      <c r="Z503" t="s">
        <v>47</v>
      </c>
      <c r="AA503" t="s">
        <v>46</v>
      </c>
      <c r="AB503" t="s">
        <v>47</v>
      </c>
      <c r="AC503" t="s">
        <v>47</v>
      </c>
      <c r="AD503" t="s">
        <v>47</v>
      </c>
      <c r="AE503" t="s">
        <v>47</v>
      </c>
      <c r="AF503" t="s">
        <v>47</v>
      </c>
      <c r="AG503" t="s">
        <v>52</v>
      </c>
      <c r="AH503" t="s">
        <v>53</v>
      </c>
      <c r="AI503" t="s">
        <v>65</v>
      </c>
      <c r="AJ503">
        <v>1.3</v>
      </c>
      <c r="AK503" t="s">
        <v>47</v>
      </c>
      <c r="AL503" t="s">
        <v>66</v>
      </c>
      <c r="AM503" t="s">
        <v>67</v>
      </c>
      <c r="AN503">
        <v>54</v>
      </c>
      <c r="AO503" t="s">
        <v>46</v>
      </c>
    </row>
    <row r="504" spans="1:41">
      <c r="A504" t="s">
        <v>656</v>
      </c>
      <c r="B504">
        <v>2025</v>
      </c>
      <c r="C504" s="1">
        <v>45766</v>
      </c>
      <c r="D504" t="s">
        <v>58</v>
      </c>
      <c r="E504" t="s">
        <v>138</v>
      </c>
      <c r="F504">
        <v>60</v>
      </c>
      <c r="G504" t="s">
        <v>60</v>
      </c>
      <c r="H504" t="s">
        <v>45</v>
      </c>
      <c r="I504">
        <v>16</v>
      </c>
      <c r="J504">
        <v>27</v>
      </c>
      <c r="K504" t="s">
        <v>47</v>
      </c>
      <c r="L504" t="s">
        <v>46</v>
      </c>
      <c r="M504" t="s">
        <v>47</v>
      </c>
      <c r="N504" t="s">
        <v>50</v>
      </c>
      <c r="O504" t="s">
        <v>49</v>
      </c>
      <c r="P504">
        <v>30.3</v>
      </c>
      <c r="Q504" t="s">
        <v>62</v>
      </c>
      <c r="R504" t="s">
        <v>47</v>
      </c>
      <c r="S504" t="s">
        <v>47</v>
      </c>
      <c r="T504" t="s">
        <v>46</v>
      </c>
      <c r="U504" t="s">
        <v>47</v>
      </c>
      <c r="V504" t="s">
        <v>51</v>
      </c>
      <c r="W504" t="s">
        <v>46</v>
      </c>
      <c r="X504" t="s">
        <v>47</v>
      </c>
      <c r="Y504" t="s">
        <v>47</v>
      </c>
      <c r="Z504" t="s">
        <v>46</v>
      </c>
      <c r="AA504" t="s">
        <v>46</v>
      </c>
      <c r="AB504" t="s">
        <v>47</v>
      </c>
      <c r="AC504" t="s">
        <v>47</v>
      </c>
      <c r="AD504" t="s">
        <v>47</v>
      </c>
      <c r="AE504" t="s">
        <v>46</v>
      </c>
      <c r="AF504" t="s">
        <v>46</v>
      </c>
      <c r="AG504" t="s">
        <v>52</v>
      </c>
      <c r="AH504" t="s">
        <v>53</v>
      </c>
      <c r="AI504" t="s">
        <v>87</v>
      </c>
      <c r="AJ504">
        <v>4.2</v>
      </c>
      <c r="AK504" t="s">
        <v>47</v>
      </c>
      <c r="AL504" t="s">
        <v>100</v>
      </c>
      <c r="AM504" t="s">
        <v>67</v>
      </c>
      <c r="AN504">
        <v>45</v>
      </c>
      <c r="AO504" t="s">
        <v>46</v>
      </c>
    </row>
    <row r="505" spans="1:41">
      <c r="A505" t="s">
        <v>657</v>
      </c>
      <c r="B505">
        <v>2018</v>
      </c>
      <c r="C505" s="1">
        <v>43106</v>
      </c>
      <c r="D505" t="s">
        <v>84</v>
      </c>
      <c r="E505" t="s">
        <v>184</v>
      </c>
      <c r="F505">
        <v>70</v>
      </c>
      <c r="G505" t="s">
        <v>60</v>
      </c>
      <c r="H505" t="s">
        <v>61</v>
      </c>
      <c r="I505">
        <v>15</v>
      </c>
      <c r="J505">
        <v>11</v>
      </c>
      <c r="K505" t="s">
        <v>47</v>
      </c>
      <c r="L505" t="s">
        <v>47</v>
      </c>
      <c r="M505" t="s">
        <v>47</v>
      </c>
      <c r="N505" t="s">
        <v>50</v>
      </c>
      <c r="O505" t="s">
        <v>48</v>
      </c>
      <c r="P505">
        <v>19.8</v>
      </c>
      <c r="Q505" t="s">
        <v>50</v>
      </c>
      <c r="R505" t="s">
        <v>46</v>
      </c>
      <c r="S505" t="s">
        <v>47</v>
      </c>
      <c r="T505" t="s">
        <v>47</v>
      </c>
      <c r="U505" t="s">
        <v>47</v>
      </c>
      <c r="V505" t="s">
        <v>64</v>
      </c>
      <c r="W505" t="s">
        <v>46</v>
      </c>
      <c r="X505" t="s">
        <v>46</v>
      </c>
      <c r="Y505" t="s">
        <v>46</v>
      </c>
      <c r="Z505" t="s">
        <v>46</v>
      </c>
      <c r="AA505" t="s">
        <v>46</v>
      </c>
      <c r="AB505" t="s">
        <v>47</v>
      </c>
      <c r="AC505" t="s">
        <v>47</v>
      </c>
      <c r="AD505" t="s">
        <v>47</v>
      </c>
      <c r="AE505" t="s">
        <v>47</v>
      </c>
      <c r="AF505" t="s">
        <v>47</v>
      </c>
      <c r="AG505" t="s">
        <v>52</v>
      </c>
      <c r="AH505" t="s">
        <v>53</v>
      </c>
      <c r="AI505" t="s">
        <v>54</v>
      </c>
      <c r="AJ505">
        <v>8.9</v>
      </c>
      <c r="AK505" t="s">
        <v>46</v>
      </c>
      <c r="AL505" t="s">
        <v>66</v>
      </c>
      <c r="AM505" t="s">
        <v>56</v>
      </c>
      <c r="AN505">
        <v>7</v>
      </c>
      <c r="AO505" t="s">
        <v>46</v>
      </c>
    </row>
    <row r="506" spans="1:41">
      <c r="A506" t="s">
        <v>658</v>
      </c>
      <c r="B506">
        <v>2017</v>
      </c>
      <c r="C506" s="1">
        <v>42740</v>
      </c>
      <c r="D506" t="s">
        <v>58</v>
      </c>
      <c r="E506" t="s">
        <v>229</v>
      </c>
      <c r="F506">
        <v>53</v>
      </c>
      <c r="G506" t="s">
        <v>60</v>
      </c>
      <c r="H506" t="s">
        <v>45</v>
      </c>
      <c r="I506">
        <v>22</v>
      </c>
      <c r="J506">
        <v>8</v>
      </c>
      <c r="K506" t="s">
        <v>47</v>
      </c>
      <c r="L506" t="s">
        <v>47</v>
      </c>
      <c r="M506" t="s">
        <v>47</v>
      </c>
      <c r="N506" t="s">
        <v>62</v>
      </c>
      <c r="O506" t="s">
        <v>49</v>
      </c>
      <c r="P506">
        <v>23.8</v>
      </c>
      <c r="Q506" t="s">
        <v>50</v>
      </c>
      <c r="R506" t="s">
        <v>47</v>
      </c>
      <c r="S506" t="s">
        <v>47</v>
      </c>
      <c r="T506" t="s">
        <v>47</v>
      </c>
      <c r="U506" t="s">
        <v>47</v>
      </c>
      <c r="V506" t="s">
        <v>51</v>
      </c>
      <c r="W506" t="s">
        <v>47</v>
      </c>
      <c r="X506" t="s">
        <v>46</v>
      </c>
      <c r="Y506" t="s">
        <v>46</v>
      </c>
      <c r="Z506" t="s">
        <v>47</v>
      </c>
      <c r="AA506" t="s">
        <v>47</v>
      </c>
      <c r="AB506" t="s">
        <v>47</v>
      </c>
      <c r="AC506" t="s">
        <v>46</v>
      </c>
      <c r="AD506" t="s">
        <v>47</v>
      </c>
      <c r="AE506" t="s">
        <v>46</v>
      </c>
      <c r="AF506" t="s">
        <v>47</v>
      </c>
      <c r="AG506" t="s">
        <v>52</v>
      </c>
      <c r="AH506" t="s">
        <v>53</v>
      </c>
      <c r="AI506" t="s">
        <v>54</v>
      </c>
      <c r="AJ506">
        <v>7.4</v>
      </c>
      <c r="AK506" t="s">
        <v>46</v>
      </c>
      <c r="AL506" t="s">
        <v>66</v>
      </c>
      <c r="AM506" t="s">
        <v>77</v>
      </c>
      <c r="AN506">
        <v>10</v>
      </c>
      <c r="AO506" t="s">
        <v>47</v>
      </c>
    </row>
    <row r="507" spans="1:41">
      <c r="A507" t="s">
        <v>659</v>
      </c>
      <c r="B507">
        <v>2022</v>
      </c>
      <c r="C507" s="1">
        <v>44808</v>
      </c>
      <c r="D507" t="s">
        <v>110</v>
      </c>
      <c r="E507" t="s">
        <v>227</v>
      </c>
      <c r="F507">
        <v>53</v>
      </c>
      <c r="G507" t="s">
        <v>60</v>
      </c>
      <c r="H507" t="s">
        <v>45</v>
      </c>
      <c r="I507">
        <v>11</v>
      </c>
      <c r="J507">
        <v>24</v>
      </c>
      <c r="K507" t="s">
        <v>47</v>
      </c>
      <c r="L507" t="s">
        <v>47</v>
      </c>
      <c r="M507" t="s">
        <v>47</v>
      </c>
      <c r="N507" t="s">
        <v>48</v>
      </c>
      <c r="O507" t="s">
        <v>49</v>
      </c>
      <c r="P507">
        <v>27.1</v>
      </c>
      <c r="Q507" t="s">
        <v>48</v>
      </c>
      <c r="R507" t="s">
        <v>46</v>
      </c>
      <c r="S507" t="s">
        <v>47</v>
      </c>
      <c r="T507" t="s">
        <v>47</v>
      </c>
      <c r="U507" t="s">
        <v>47</v>
      </c>
      <c r="V507" t="s">
        <v>92</v>
      </c>
      <c r="W507" t="s">
        <v>46</v>
      </c>
      <c r="X507" t="s">
        <v>46</v>
      </c>
      <c r="Y507" t="s">
        <v>47</v>
      </c>
      <c r="Z507" t="s">
        <v>47</v>
      </c>
      <c r="AA507" t="s">
        <v>46</v>
      </c>
      <c r="AB507" t="s">
        <v>47</v>
      </c>
      <c r="AC507" t="s">
        <v>46</v>
      </c>
      <c r="AD507" t="s">
        <v>47</v>
      </c>
      <c r="AE507" t="s">
        <v>47</v>
      </c>
      <c r="AF507" t="s">
        <v>47</v>
      </c>
      <c r="AG507" t="s">
        <v>52</v>
      </c>
      <c r="AH507" t="s">
        <v>53</v>
      </c>
      <c r="AI507" t="s">
        <v>54</v>
      </c>
      <c r="AJ507">
        <v>10.7</v>
      </c>
      <c r="AK507" t="s">
        <v>46</v>
      </c>
      <c r="AL507" t="s">
        <v>100</v>
      </c>
      <c r="AM507" t="s">
        <v>118</v>
      </c>
      <c r="AN507">
        <v>11</v>
      </c>
      <c r="AO507" t="s">
        <v>47</v>
      </c>
    </row>
    <row r="508" spans="1:41">
      <c r="A508" t="s">
        <v>660</v>
      </c>
      <c r="B508">
        <v>2017</v>
      </c>
      <c r="C508" s="1">
        <v>42962</v>
      </c>
      <c r="D508" t="s">
        <v>110</v>
      </c>
      <c r="E508" t="s">
        <v>111</v>
      </c>
      <c r="F508">
        <v>76</v>
      </c>
      <c r="G508" t="s">
        <v>44</v>
      </c>
      <c r="H508" t="s">
        <v>45</v>
      </c>
      <c r="I508">
        <v>26</v>
      </c>
      <c r="J508">
        <v>26</v>
      </c>
      <c r="K508" t="s">
        <v>46</v>
      </c>
      <c r="L508" t="s">
        <v>46</v>
      </c>
      <c r="M508" t="s">
        <v>47</v>
      </c>
      <c r="N508" t="s">
        <v>62</v>
      </c>
      <c r="O508" t="s">
        <v>48</v>
      </c>
      <c r="P508">
        <v>22.3</v>
      </c>
      <c r="Q508" t="s">
        <v>48</v>
      </c>
      <c r="R508" t="s">
        <v>46</v>
      </c>
      <c r="S508" t="s">
        <v>47</v>
      </c>
      <c r="T508" t="s">
        <v>47</v>
      </c>
      <c r="U508" t="s">
        <v>46</v>
      </c>
      <c r="V508" t="s">
        <v>151</v>
      </c>
      <c r="W508" t="s">
        <v>46</v>
      </c>
      <c r="X508" t="s">
        <v>47</v>
      </c>
      <c r="Y508" t="s">
        <v>47</v>
      </c>
      <c r="Z508" t="s">
        <v>47</v>
      </c>
      <c r="AA508" t="s">
        <v>46</v>
      </c>
      <c r="AB508" t="s">
        <v>46</v>
      </c>
      <c r="AC508" t="s">
        <v>46</v>
      </c>
      <c r="AD508" t="s">
        <v>47</v>
      </c>
      <c r="AE508" t="s">
        <v>47</v>
      </c>
      <c r="AF508" t="s">
        <v>46</v>
      </c>
      <c r="AG508" t="s">
        <v>52</v>
      </c>
      <c r="AH508" t="s">
        <v>71</v>
      </c>
      <c r="AI508" t="s">
        <v>54</v>
      </c>
      <c r="AJ508">
        <v>8.1</v>
      </c>
      <c r="AK508" t="s">
        <v>46</v>
      </c>
      <c r="AL508" t="s">
        <v>76</v>
      </c>
      <c r="AM508" t="s">
        <v>265</v>
      </c>
      <c r="AN508">
        <v>11</v>
      </c>
      <c r="AO508" t="s">
        <v>47</v>
      </c>
    </row>
    <row r="509" spans="1:41">
      <c r="A509" t="s">
        <v>661</v>
      </c>
      <c r="B509">
        <v>2017</v>
      </c>
      <c r="C509" s="1">
        <v>42997</v>
      </c>
      <c r="D509" t="s">
        <v>84</v>
      </c>
      <c r="E509" t="s">
        <v>85</v>
      </c>
      <c r="F509">
        <v>58</v>
      </c>
      <c r="G509" t="s">
        <v>44</v>
      </c>
      <c r="H509" t="s">
        <v>70</v>
      </c>
      <c r="I509">
        <v>0</v>
      </c>
      <c r="J509">
        <v>0</v>
      </c>
      <c r="K509" t="s">
        <v>47</v>
      </c>
      <c r="L509" t="s">
        <v>47</v>
      </c>
      <c r="M509" t="s">
        <v>46</v>
      </c>
      <c r="N509" t="s">
        <v>48</v>
      </c>
      <c r="O509" t="s">
        <v>48</v>
      </c>
      <c r="P509">
        <v>27.8</v>
      </c>
      <c r="Q509" t="s">
        <v>50</v>
      </c>
      <c r="R509" t="s">
        <v>46</v>
      </c>
      <c r="S509" t="s">
        <v>47</v>
      </c>
      <c r="T509" t="s">
        <v>47</v>
      </c>
      <c r="U509" t="s">
        <v>46</v>
      </c>
      <c r="V509" t="s">
        <v>171</v>
      </c>
      <c r="W509" t="s">
        <v>47</v>
      </c>
      <c r="X509" t="s">
        <v>47</v>
      </c>
      <c r="Y509" t="s">
        <v>47</v>
      </c>
      <c r="Z509" t="s">
        <v>47</v>
      </c>
      <c r="AA509" t="s">
        <v>47</v>
      </c>
      <c r="AB509" t="s">
        <v>46</v>
      </c>
      <c r="AC509" t="s">
        <v>47</v>
      </c>
      <c r="AD509" t="s">
        <v>47</v>
      </c>
      <c r="AE509" t="s">
        <v>47</v>
      </c>
      <c r="AF509" t="s">
        <v>47</v>
      </c>
      <c r="AG509" t="s">
        <v>52</v>
      </c>
      <c r="AH509" t="s">
        <v>90</v>
      </c>
      <c r="AI509" t="s">
        <v>87</v>
      </c>
      <c r="AJ509">
        <v>3.4</v>
      </c>
      <c r="AK509" t="s">
        <v>47</v>
      </c>
      <c r="AL509" t="s">
        <v>66</v>
      </c>
      <c r="AM509" t="s">
        <v>67</v>
      </c>
      <c r="AN509">
        <v>24</v>
      </c>
      <c r="AO509" t="s">
        <v>47</v>
      </c>
    </row>
    <row r="510" spans="1:41">
      <c r="A510" t="s">
        <v>662</v>
      </c>
      <c r="B510">
        <v>2017</v>
      </c>
      <c r="C510" s="1">
        <v>42964</v>
      </c>
      <c r="D510" t="s">
        <v>42</v>
      </c>
      <c r="E510" t="s">
        <v>160</v>
      </c>
      <c r="F510">
        <v>57</v>
      </c>
      <c r="G510" t="s">
        <v>60</v>
      </c>
      <c r="H510" t="s">
        <v>70</v>
      </c>
      <c r="I510">
        <v>0</v>
      </c>
      <c r="J510">
        <v>0</v>
      </c>
      <c r="K510" t="s">
        <v>47</v>
      </c>
      <c r="L510" t="s">
        <v>47</v>
      </c>
      <c r="M510" t="s">
        <v>47</v>
      </c>
      <c r="N510" t="s">
        <v>50</v>
      </c>
      <c r="O510" t="s">
        <v>63</v>
      </c>
      <c r="P510">
        <v>22.4</v>
      </c>
      <c r="Q510" t="s">
        <v>62</v>
      </c>
      <c r="R510" t="s">
        <v>47</v>
      </c>
      <c r="S510" t="s">
        <v>46</v>
      </c>
      <c r="T510" t="s">
        <v>47</v>
      </c>
      <c r="U510" t="s">
        <v>47</v>
      </c>
      <c r="V510" t="s">
        <v>51</v>
      </c>
      <c r="W510" t="s">
        <v>47</v>
      </c>
      <c r="X510" t="s">
        <v>47</v>
      </c>
      <c r="Y510" t="s">
        <v>46</v>
      </c>
      <c r="Z510" t="s">
        <v>47</v>
      </c>
      <c r="AA510" t="s">
        <v>46</v>
      </c>
      <c r="AB510" t="s">
        <v>47</v>
      </c>
      <c r="AC510" t="s">
        <v>47</v>
      </c>
      <c r="AD510" t="s">
        <v>47</v>
      </c>
      <c r="AE510" t="s">
        <v>47</v>
      </c>
      <c r="AF510" t="s">
        <v>47</v>
      </c>
      <c r="AG510" t="s">
        <v>52</v>
      </c>
      <c r="AH510" t="s">
        <v>90</v>
      </c>
      <c r="AI510" t="s">
        <v>65</v>
      </c>
      <c r="AJ510">
        <v>1.8</v>
      </c>
      <c r="AK510" t="s">
        <v>47</v>
      </c>
      <c r="AL510" t="s">
        <v>72</v>
      </c>
      <c r="AM510" t="s">
        <v>73</v>
      </c>
      <c r="AN510">
        <v>54</v>
      </c>
      <c r="AO510" t="s">
        <v>47</v>
      </c>
    </row>
    <row r="511" spans="1:41">
      <c r="A511" t="s">
        <v>663</v>
      </c>
      <c r="B511">
        <v>2015</v>
      </c>
      <c r="C511" s="1">
        <v>42279</v>
      </c>
      <c r="D511" t="s">
        <v>42</v>
      </c>
      <c r="E511" t="s">
        <v>75</v>
      </c>
      <c r="F511">
        <v>57</v>
      </c>
      <c r="G511" t="s">
        <v>44</v>
      </c>
      <c r="H511" t="s">
        <v>70</v>
      </c>
      <c r="I511">
        <v>0</v>
      </c>
      <c r="J511">
        <v>0</v>
      </c>
      <c r="K511" t="s">
        <v>46</v>
      </c>
      <c r="L511" t="s">
        <v>46</v>
      </c>
      <c r="M511" t="s">
        <v>47</v>
      </c>
      <c r="N511" t="s">
        <v>48</v>
      </c>
      <c r="O511" t="s">
        <v>63</v>
      </c>
      <c r="P511">
        <v>32.799999999999997</v>
      </c>
      <c r="Q511" t="s">
        <v>48</v>
      </c>
      <c r="R511" t="s">
        <v>46</v>
      </c>
      <c r="S511" t="s">
        <v>47</v>
      </c>
      <c r="T511" t="s">
        <v>47</v>
      </c>
      <c r="U511" t="s">
        <v>47</v>
      </c>
      <c r="V511" t="s">
        <v>193</v>
      </c>
      <c r="W511" t="s">
        <v>47</v>
      </c>
      <c r="X511" t="s">
        <v>47</v>
      </c>
      <c r="Y511" t="s">
        <v>47</v>
      </c>
      <c r="Z511" t="s">
        <v>47</v>
      </c>
      <c r="AA511" t="s">
        <v>46</v>
      </c>
      <c r="AB511" t="s">
        <v>47</v>
      </c>
      <c r="AC511" t="s">
        <v>47</v>
      </c>
      <c r="AD511" t="s">
        <v>47</v>
      </c>
      <c r="AE511" t="s">
        <v>47</v>
      </c>
      <c r="AF511" t="s">
        <v>47</v>
      </c>
      <c r="AG511" t="s">
        <v>52</v>
      </c>
      <c r="AH511" t="s">
        <v>90</v>
      </c>
      <c r="AI511" t="s">
        <v>65</v>
      </c>
      <c r="AJ511">
        <v>1.6</v>
      </c>
      <c r="AK511" t="s">
        <v>47</v>
      </c>
      <c r="AL511" t="s">
        <v>76</v>
      </c>
      <c r="AM511" t="s">
        <v>103</v>
      </c>
      <c r="AN511">
        <v>76</v>
      </c>
      <c r="AO511" t="s">
        <v>47</v>
      </c>
    </row>
    <row r="512" spans="1:41">
      <c r="A512" t="s">
        <v>664</v>
      </c>
      <c r="B512">
        <v>2025</v>
      </c>
      <c r="C512" s="1">
        <v>45792</v>
      </c>
      <c r="D512" t="s">
        <v>110</v>
      </c>
      <c r="E512" t="s">
        <v>177</v>
      </c>
      <c r="F512">
        <v>39</v>
      </c>
      <c r="G512" t="s">
        <v>44</v>
      </c>
      <c r="H512" t="s">
        <v>61</v>
      </c>
      <c r="I512">
        <v>19</v>
      </c>
      <c r="J512">
        <v>11</v>
      </c>
      <c r="K512" t="s">
        <v>47</v>
      </c>
      <c r="L512" t="s">
        <v>47</v>
      </c>
      <c r="M512" t="s">
        <v>46</v>
      </c>
      <c r="N512" t="s">
        <v>48</v>
      </c>
      <c r="O512" t="s">
        <v>49</v>
      </c>
      <c r="P512">
        <v>30</v>
      </c>
      <c r="Q512" t="s">
        <v>62</v>
      </c>
      <c r="R512" t="s">
        <v>46</v>
      </c>
      <c r="S512" t="s">
        <v>47</v>
      </c>
      <c r="T512" t="s">
        <v>47</v>
      </c>
      <c r="U512" t="s">
        <v>47</v>
      </c>
      <c r="V512" t="s">
        <v>151</v>
      </c>
      <c r="W512" t="s">
        <v>47</v>
      </c>
      <c r="X512" t="s">
        <v>46</v>
      </c>
      <c r="Y512" t="s">
        <v>46</v>
      </c>
      <c r="Z512" t="s">
        <v>46</v>
      </c>
      <c r="AA512" t="s">
        <v>47</v>
      </c>
      <c r="AB512" t="s">
        <v>46</v>
      </c>
      <c r="AC512" t="s">
        <v>47</v>
      </c>
      <c r="AD512" t="s">
        <v>46</v>
      </c>
      <c r="AE512" t="s">
        <v>47</v>
      </c>
      <c r="AF512" t="s">
        <v>46</v>
      </c>
      <c r="AG512" t="s">
        <v>52</v>
      </c>
      <c r="AH512" t="s">
        <v>71</v>
      </c>
      <c r="AI512" t="s">
        <v>54</v>
      </c>
      <c r="AJ512">
        <v>7.3</v>
      </c>
      <c r="AK512" t="s">
        <v>46</v>
      </c>
      <c r="AL512" t="s">
        <v>66</v>
      </c>
      <c r="AM512" t="s">
        <v>103</v>
      </c>
      <c r="AN512">
        <v>19</v>
      </c>
      <c r="AO512" t="s">
        <v>47</v>
      </c>
    </row>
    <row r="513" spans="1:41">
      <c r="A513" t="s">
        <v>665</v>
      </c>
      <c r="B513">
        <v>2021</v>
      </c>
      <c r="C513" s="1">
        <v>44212</v>
      </c>
      <c r="D513" t="s">
        <v>42</v>
      </c>
      <c r="E513" t="s">
        <v>79</v>
      </c>
      <c r="F513">
        <v>63</v>
      </c>
      <c r="G513" t="s">
        <v>44</v>
      </c>
      <c r="H513" t="s">
        <v>61</v>
      </c>
      <c r="I513">
        <v>19</v>
      </c>
      <c r="J513">
        <v>8</v>
      </c>
      <c r="K513" t="s">
        <v>47</v>
      </c>
      <c r="L513" t="s">
        <v>47</v>
      </c>
      <c r="M513" t="s">
        <v>47</v>
      </c>
      <c r="N513" t="s">
        <v>50</v>
      </c>
      <c r="O513" t="s">
        <v>49</v>
      </c>
      <c r="P513">
        <v>28.8</v>
      </c>
      <c r="Q513" t="s">
        <v>50</v>
      </c>
      <c r="R513" t="s">
        <v>47</v>
      </c>
      <c r="S513" t="s">
        <v>47</v>
      </c>
      <c r="T513" t="s">
        <v>47</v>
      </c>
      <c r="U513" t="s">
        <v>47</v>
      </c>
      <c r="V513" t="s">
        <v>51</v>
      </c>
      <c r="W513" t="s">
        <v>46</v>
      </c>
      <c r="X513" t="s">
        <v>46</v>
      </c>
      <c r="Y513" t="s">
        <v>46</v>
      </c>
      <c r="Z513" t="s">
        <v>47</v>
      </c>
      <c r="AA513" t="s">
        <v>47</v>
      </c>
      <c r="AB513" t="s">
        <v>47</v>
      </c>
      <c r="AC513" t="s">
        <v>47</v>
      </c>
      <c r="AD513" t="s">
        <v>47</v>
      </c>
      <c r="AE513" t="s">
        <v>47</v>
      </c>
      <c r="AF513" t="s">
        <v>46</v>
      </c>
      <c r="AG513" t="s">
        <v>52</v>
      </c>
      <c r="AH513" t="s">
        <v>53</v>
      </c>
      <c r="AI513" t="s">
        <v>65</v>
      </c>
      <c r="AJ513">
        <v>2.8</v>
      </c>
      <c r="AK513" t="s">
        <v>47</v>
      </c>
      <c r="AL513" t="s">
        <v>156</v>
      </c>
      <c r="AM513" t="s">
        <v>73</v>
      </c>
      <c r="AN513">
        <v>77</v>
      </c>
      <c r="AO513" t="s">
        <v>46</v>
      </c>
    </row>
    <row r="514" spans="1:41">
      <c r="A514" t="s">
        <v>666</v>
      </c>
      <c r="B514">
        <v>2022</v>
      </c>
      <c r="C514" s="1">
        <v>44764</v>
      </c>
      <c r="D514" t="s">
        <v>110</v>
      </c>
      <c r="E514" t="s">
        <v>227</v>
      </c>
      <c r="F514">
        <v>56</v>
      </c>
      <c r="G514" t="s">
        <v>44</v>
      </c>
      <c r="H514" t="s">
        <v>70</v>
      </c>
      <c r="I514">
        <v>0</v>
      </c>
      <c r="J514">
        <v>0</v>
      </c>
      <c r="K514" t="s">
        <v>46</v>
      </c>
      <c r="L514" t="s">
        <v>47</v>
      </c>
      <c r="M514" t="s">
        <v>47</v>
      </c>
      <c r="N514" t="s">
        <v>62</v>
      </c>
      <c r="O514" t="s">
        <v>48</v>
      </c>
      <c r="P514">
        <v>26.6</v>
      </c>
      <c r="Q514" t="s">
        <v>48</v>
      </c>
      <c r="R514" t="s">
        <v>47</v>
      </c>
      <c r="S514" t="s">
        <v>47</v>
      </c>
      <c r="T514" t="s">
        <v>47</v>
      </c>
      <c r="U514" t="s">
        <v>47</v>
      </c>
      <c r="V514" t="s">
        <v>128</v>
      </c>
      <c r="W514" t="s">
        <v>47</v>
      </c>
      <c r="X514" t="s">
        <v>47</v>
      </c>
      <c r="Y514" t="s">
        <v>47</v>
      </c>
      <c r="Z514" t="s">
        <v>47</v>
      </c>
      <c r="AA514" t="s">
        <v>46</v>
      </c>
      <c r="AB514" t="s">
        <v>47</v>
      </c>
      <c r="AC514" t="s">
        <v>47</v>
      </c>
      <c r="AD514" t="s">
        <v>47</v>
      </c>
      <c r="AE514" t="s">
        <v>47</v>
      </c>
      <c r="AF514" t="s">
        <v>47</v>
      </c>
      <c r="AG514" t="s">
        <v>52</v>
      </c>
      <c r="AH514" t="s">
        <v>53</v>
      </c>
      <c r="AI514" t="s">
        <v>65</v>
      </c>
      <c r="AJ514">
        <v>0.5</v>
      </c>
      <c r="AK514" t="s">
        <v>47</v>
      </c>
      <c r="AL514" t="s">
        <v>72</v>
      </c>
      <c r="AM514" t="s">
        <v>73</v>
      </c>
      <c r="AN514">
        <v>74</v>
      </c>
      <c r="AO514" t="s">
        <v>46</v>
      </c>
    </row>
    <row r="515" spans="1:41">
      <c r="A515" t="s">
        <v>667</v>
      </c>
      <c r="B515">
        <v>2020</v>
      </c>
      <c r="C515" s="1">
        <v>44066</v>
      </c>
      <c r="D515" t="s">
        <v>95</v>
      </c>
      <c r="E515" t="s">
        <v>96</v>
      </c>
      <c r="F515">
        <v>68</v>
      </c>
      <c r="G515" t="s">
        <v>60</v>
      </c>
      <c r="H515" t="s">
        <v>45</v>
      </c>
      <c r="I515">
        <v>22</v>
      </c>
      <c r="J515">
        <v>34</v>
      </c>
      <c r="K515" t="s">
        <v>47</v>
      </c>
      <c r="L515" t="s">
        <v>47</v>
      </c>
      <c r="M515" t="s">
        <v>46</v>
      </c>
      <c r="N515" t="s">
        <v>48</v>
      </c>
      <c r="O515" t="s">
        <v>48</v>
      </c>
      <c r="P515">
        <v>27.4</v>
      </c>
      <c r="Q515" t="s">
        <v>50</v>
      </c>
      <c r="R515" t="s">
        <v>47</v>
      </c>
      <c r="S515" t="s">
        <v>47</v>
      </c>
      <c r="T515" t="s">
        <v>47</v>
      </c>
      <c r="U515" t="s">
        <v>47</v>
      </c>
      <c r="V515" t="s">
        <v>86</v>
      </c>
      <c r="W515" t="s">
        <v>46</v>
      </c>
      <c r="X515" t="s">
        <v>46</v>
      </c>
      <c r="Y515" t="s">
        <v>46</v>
      </c>
      <c r="Z515" t="s">
        <v>47</v>
      </c>
      <c r="AA515" t="s">
        <v>46</v>
      </c>
      <c r="AB515" t="s">
        <v>46</v>
      </c>
      <c r="AC515" t="s">
        <v>47</v>
      </c>
      <c r="AD515" t="s">
        <v>47</v>
      </c>
      <c r="AE515" t="s">
        <v>47</v>
      </c>
      <c r="AF515" t="s">
        <v>47</v>
      </c>
      <c r="AG515" t="s">
        <v>52</v>
      </c>
      <c r="AH515" t="s">
        <v>53</v>
      </c>
      <c r="AI515" t="s">
        <v>87</v>
      </c>
      <c r="AJ515">
        <v>4.0999999999999996</v>
      </c>
      <c r="AK515" t="s">
        <v>47</v>
      </c>
      <c r="AL515" t="s">
        <v>100</v>
      </c>
      <c r="AM515" t="s">
        <v>118</v>
      </c>
      <c r="AN515">
        <v>16</v>
      </c>
      <c r="AO515" t="s">
        <v>46</v>
      </c>
    </row>
    <row r="516" spans="1:41">
      <c r="A516" t="s">
        <v>668</v>
      </c>
      <c r="B516">
        <v>2022</v>
      </c>
      <c r="C516" s="1">
        <v>44595</v>
      </c>
      <c r="D516" t="s">
        <v>95</v>
      </c>
      <c r="E516" t="s">
        <v>107</v>
      </c>
      <c r="F516">
        <v>47</v>
      </c>
      <c r="G516" t="s">
        <v>60</v>
      </c>
      <c r="H516" t="s">
        <v>45</v>
      </c>
      <c r="I516">
        <v>28</v>
      </c>
      <c r="J516">
        <v>19</v>
      </c>
      <c r="K516" t="s">
        <v>47</v>
      </c>
      <c r="L516" t="s">
        <v>47</v>
      </c>
      <c r="M516" t="s">
        <v>47</v>
      </c>
      <c r="N516" t="s">
        <v>62</v>
      </c>
      <c r="O516" t="s">
        <v>49</v>
      </c>
      <c r="P516">
        <v>23.8</v>
      </c>
      <c r="Q516" t="s">
        <v>62</v>
      </c>
      <c r="R516" t="s">
        <v>47</v>
      </c>
      <c r="S516" t="s">
        <v>47</v>
      </c>
      <c r="T516" t="s">
        <v>47</v>
      </c>
      <c r="U516" t="s">
        <v>47</v>
      </c>
      <c r="V516" t="s">
        <v>51</v>
      </c>
      <c r="W516" t="s">
        <v>46</v>
      </c>
      <c r="X516" t="s">
        <v>46</v>
      </c>
      <c r="Y516" t="s">
        <v>46</v>
      </c>
      <c r="Z516" t="s">
        <v>46</v>
      </c>
      <c r="AA516" t="s">
        <v>46</v>
      </c>
      <c r="AB516" t="s">
        <v>46</v>
      </c>
      <c r="AC516" t="s">
        <v>46</v>
      </c>
      <c r="AD516" t="s">
        <v>47</v>
      </c>
      <c r="AE516" t="s">
        <v>47</v>
      </c>
      <c r="AF516" t="s">
        <v>47</v>
      </c>
      <c r="AG516" t="s">
        <v>52</v>
      </c>
      <c r="AH516" t="s">
        <v>90</v>
      </c>
      <c r="AI516" t="s">
        <v>87</v>
      </c>
      <c r="AJ516">
        <v>2.4</v>
      </c>
      <c r="AK516" t="s">
        <v>47</v>
      </c>
      <c r="AL516" t="s">
        <v>76</v>
      </c>
      <c r="AM516" t="s">
        <v>82</v>
      </c>
      <c r="AN516">
        <v>36</v>
      </c>
      <c r="AO516" t="s">
        <v>46</v>
      </c>
    </row>
    <row r="517" spans="1:41">
      <c r="A517" t="s">
        <v>669</v>
      </c>
      <c r="B517">
        <v>2025</v>
      </c>
      <c r="C517" s="1">
        <v>45935</v>
      </c>
      <c r="D517" t="s">
        <v>42</v>
      </c>
      <c r="E517" t="s">
        <v>69</v>
      </c>
      <c r="F517">
        <v>48</v>
      </c>
      <c r="G517" t="s">
        <v>60</v>
      </c>
      <c r="H517" t="s">
        <v>70</v>
      </c>
      <c r="I517">
        <v>0</v>
      </c>
      <c r="J517">
        <v>0</v>
      </c>
      <c r="K517" t="s">
        <v>47</v>
      </c>
      <c r="L517" t="s">
        <v>47</v>
      </c>
      <c r="M517" t="s">
        <v>47</v>
      </c>
      <c r="N517" t="s">
        <v>48</v>
      </c>
      <c r="O517" t="s">
        <v>48</v>
      </c>
      <c r="P517">
        <v>24.3</v>
      </c>
      <c r="Q517" t="s">
        <v>48</v>
      </c>
      <c r="R517" t="s">
        <v>47</v>
      </c>
      <c r="S517" t="s">
        <v>47</v>
      </c>
      <c r="T517" t="s">
        <v>46</v>
      </c>
      <c r="U517" t="s">
        <v>47</v>
      </c>
      <c r="V517" t="s">
        <v>51</v>
      </c>
      <c r="W517" t="s">
        <v>47</v>
      </c>
      <c r="X517" t="s">
        <v>47</v>
      </c>
      <c r="Y517" t="s">
        <v>47</v>
      </c>
      <c r="Z517" t="s">
        <v>47</v>
      </c>
      <c r="AA517" t="s">
        <v>47</v>
      </c>
      <c r="AB517" t="s">
        <v>47</v>
      </c>
      <c r="AC517" t="s">
        <v>47</v>
      </c>
      <c r="AD517" t="s">
        <v>47</v>
      </c>
      <c r="AE517" t="s">
        <v>47</v>
      </c>
      <c r="AF517" t="s">
        <v>46</v>
      </c>
      <c r="AG517" t="s">
        <v>52</v>
      </c>
      <c r="AH517" t="s">
        <v>53</v>
      </c>
      <c r="AI517" t="s">
        <v>54</v>
      </c>
      <c r="AJ517">
        <v>5.4</v>
      </c>
      <c r="AK517" t="s">
        <v>46</v>
      </c>
      <c r="AL517" t="s">
        <v>66</v>
      </c>
      <c r="AM517" t="s">
        <v>82</v>
      </c>
      <c r="AN517">
        <v>14</v>
      </c>
      <c r="AO517" t="s">
        <v>47</v>
      </c>
    </row>
    <row r="518" spans="1:41">
      <c r="A518" t="s">
        <v>670</v>
      </c>
      <c r="B518">
        <v>2022</v>
      </c>
      <c r="C518" s="1">
        <v>44629</v>
      </c>
      <c r="D518" t="s">
        <v>110</v>
      </c>
      <c r="E518" t="s">
        <v>124</v>
      </c>
      <c r="F518">
        <v>72</v>
      </c>
      <c r="G518" t="s">
        <v>44</v>
      </c>
      <c r="H518" t="s">
        <v>70</v>
      </c>
      <c r="I518">
        <v>0</v>
      </c>
      <c r="J518">
        <v>0</v>
      </c>
      <c r="K518" t="s">
        <v>46</v>
      </c>
      <c r="L518" t="s">
        <v>47</v>
      </c>
      <c r="M518" t="s">
        <v>46</v>
      </c>
      <c r="N518" t="s">
        <v>62</v>
      </c>
      <c r="O518" t="s">
        <v>48</v>
      </c>
      <c r="P518">
        <v>27.5</v>
      </c>
      <c r="Q518" t="s">
        <v>62</v>
      </c>
      <c r="R518" t="s">
        <v>47</v>
      </c>
      <c r="S518" t="s">
        <v>47</v>
      </c>
      <c r="T518" t="s">
        <v>47</v>
      </c>
      <c r="U518" t="s">
        <v>47</v>
      </c>
      <c r="V518" t="s">
        <v>86</v>
      </c>
      <c r="W518" t="s">
        <v>46</v>
      </c>
      <c r="X518" t="s">
        <v>47</v>
      </c>
      <c r="Y518" t="s">
        <v>46</v>
      </c>
      <c r="Z518" t="s">
        <v>47</v>
      </c>
      <c r="AA518" t="s">
        <v>46</v>
      </c>
      <c r="AB518" t="s">
        <v>47</v>
      </c>
      <c r="AC518" t="s">
        <v>47</v>
      </c>
      <c r="AD518" t="s">
        <v>47</v>
      </c>
      <c r="AE518" t="s">
        <v>46</v>
      </c>
      <c r="AF518" t="s">
        <v>47</v>
      </c>
      <c r="AG518" t="s">
        <v>52</v>
      </c>
      <c r="AH518" t="s">
        <v>90</v>
      </c>
      <c r="AI518" t="s">
        <v>87</v>
      </c>
      <c r="AJ518">
        <v>5.5</v>
      </c>
      <c r="AK518" t="s">
        <v>47</v>
      </c>
      <c r="AL518" t="s">
        <v>66</v>
      </c>
      <c r="AM518" t="s">
        <v>67</v>
      </c>
      <c r="AN518">
        <v>24</v>
      </c>
      <c r="AO518" t="s">
        <v>46</v>
      </c>
    </row>
    <row r="519" spans="1:41">
      <c r="A519" t="s">
        <v>671</v>
      </c>
      <c r="B519">
        <v>2017</v>
      </c>
      <c r="C519" s="1">
        <v>43058</v>
      </c>
      <c r="D519" t="s">
        <v>58</v>
      </c>
      <c r="E519" t="s">
        <v>220</v>
      </c>
      <c r="F519">
        <v>60</v>
      </c>
      <c r="G519" t="s">
        <v>60</v>
      </c>
      <c r="H519" t="s">
        <v>70</v>
      </c>
      <c r="I519">
        <v>0</v>
      </c>
      <c r="J519">
        <v>0</v>
      </c>
      <c r="K519" t="s">
        <v>46</v>
      </c>
      <c r="L519" t="s">
        <v>47</v>
      </c>
      <c r="M519" t="s">
        <v>47</v>
      </c>
      <c r="N519" t="s">
        <v>62</v>
      </c>
      <c r="O519" t="s">
        <v>63</v>
      </c>
      <c r="P519">
        <v>29.8</v>
      </c>
      <c r="Q519" t="s">
        <v>48</v>
      </c>
      <c r="R519" t="s">
        <v>47</v>
      </c>
      <c r="S519" t="s">
        <v>47</v>
      </c>
      <c r="T519" t="s">
        <v>47</v>
      </c>
      <c r="U519" t="s">
        <v>47</v>
      </c>
      <c r="V519" t="s">
        <v>117</v>
      </c>
      <c r="W519" t="s">
        <v>46</v>
      </c>
      <c r="X519" t="s">
        <v>47</v>
      </c>
      <c r="Y519" t="s">
        <v>47</v>
      </c>
      <c r="Z519" t="s">
        <v>47</v>
      </c>
      <c r="AA519" t="s">
        <v>46</v>
      </c>
      <c r="AB519" t="s">
        <v>46</v>
      </c>
      <c r="AC519" t="s">
        <v>47</v>
      </c>
      <c r="AD519" t="s">
        <v>47</v>
      </c>
      <c r="AE519" t="s">
        <v>47</v>
      </c>
      <c r="AF519" t="s">
        <v>47</v>
      </c>
      <c r="AG519" t="s">
        <v>52</v>
      </c>
      <c r="AH519" t="s">
        <v>71</v>
      </c>
      <c r="AI519" t="s">
        <v>65</v>
      </c>
      <c r="AJ519">
        <v>0.5</v>
      </c>
      <c r="AK519" t="s">
        <v>47</v>
      </c>
      <c r="AL519" t="s">
        <v>72</v>
      </c>
      <c r="AM519" t="s">
        <v>73</v>
      </c>
      <c r="AN519">
        <v>54</v>
      </c>
      <c r="AO519" t="s">
        <v>47</v>
      </c>
    </row>
    <row r="520" spans="1:41">
      <c r="A520" t="s">
        <v>672</v>
      </c>
      <c r="B520">
        <v>2023</v>
      </c>
      <c r="C520" s="1">
        <v>45271</v>
      </c>
      <c r="D520" t="s">
        <v>42</v>
      </c>
      <c r="E520" t="s">
        <v>79</v>
      </c>
      <c r="F520">
        <v>63</v>
      </c>
      <c r="G520" t="s">
        <v>60</v>
      </c>
      <c r="H520" t="s">
        <v>70</v>
      </c>
      <c r="I520">
        <v>0</v>
      </c>
      <c r="J520">
        <v>0</v>
      </c>
      <c r="K520" t="s">
        <v>47</v>
      </c>
      <c r="L520" t="s">
        <v>47</v>
      </c>
      <c r="M520" t="s">
        <v>47</v>
      </c>
      <c r="N520" t="s">
        <v>48</v>
      </c>
      <c r="O520" t="s">
        <v>48</v>
      </c>
      <c r="P520">
        <v>23.8</v>
      </c>
      <c r="Q520" t="s">
        <v>48</v>
      </c>
      <c r="R520" t="s">
        <v>46</v>
      </c>
      <c r="S520" t="s">
        <v>47</v>
      </c>
      <c r="T520" t="s">
        <v>46</v>
      </c>
      <c r="U520" t="s">
        <v>47</v>
      </c>
      <c r="V520" t="s">
        <v>51</v>
      </c>
      <c r="W520" t="s">
        <v>46</v>
      </c>
      <c r="X520" t="s">
        <v>47</v>
      </c>
      <c r="Y520" t="s">
        <v>47</v>
      </c>
      <c r="Z520" t="s">
        <v>47</v>
      </c>
      <c r="AA520" t="s">
        <v>47</v>
      </c>
      <c r="AB520" t="s">
        <v>47</v>
      </c>
      <c r="AC520" t="s">
        <v>47</v>
      </c>
      <c r="AD520" t="s">
        <v>46</v>
      </c>
      <c r="AE520" t="s">
        <v>47</v>
      </c>
      <c r="AF520" t="s">
        <v>47</v>
      </c>
      <c r="AG520" t="s">
        <v>52</v>
      </c>
      <c r="AH520" t="s">
        <v>53</v>
      </c>
      <c r="AI520" t="s">
        <v>80</v>
      </c>
      <c r="AJ520">
        <v>5.2</v>
      </c>
      <c r="AK520" t="s">
        <v>47</v>
      </c>
      <c r="AL520" t="s">
        <v>66</v>
      </c>
      <c r="AM520" t="s">
        <v>82</v>
      </c>
      <c r="AN520">
        <v>10</v>
      </c>
      <c r="AO520" t="s">
        <v>47</v>
      </c>
    </row>
    <row r="521" spans="1:41">
      <c r="A521" t="s">
        <v>673</v>
      </c>
      <c r="B521">
        <v>2020</v>
      </c>
      <c r="C521" s="1">
        <v>44121</v>
      </c>
      <c r="D521" t="s">
        <v>95</v>
      </c>
      <c r="E521" t="s">
        <v>130</v>
      </c>
      <c r="F521">
        <v>60</v>
      </c>
      <c r="G521" t="s">
        <v>60</v>
      </c>
      <c r="H521" t="s">
        <v>45</v>
      </c>
      <c r="I521">
        <v>14</v>
      </c>
      <c r="J521">
        <v>30</v>
      </c>
      <c r="K521" t="s">
        <v>47</v>
      </c>
      <c r="L521" t="s">
        <v>47</v>
      </c>
      <c r="M521" t="s">
        <v>47</v>
      </c>
      <c r="N521" t="s">
        <v>62</v>
      </c>
      <c r="O521" t="s">
        <v>49</v>
      </c>
      <c r="P521">
        <v>25.4</v>
      </c>
      <c r="Q521" t="s">
        <v>62</v>
      </c>
      <c r="R521" t="s">
        <v>47</v>
      </c>
      <c r="S521" t="s">
        <v>47</v>
      </c>
      <c r="T521" t="s">
        <v>47</v>
      </c>
      <c r="U521" t="s">
        <v>47</v>
      </c>
      <c r="V521" t="s">
        <v>51</v>
      </c>
      <c r="W521" t="s">
        <v>46</v>
      </c>
      <c r="X521" t="s">
        <v>46</v>
      </c>
      <c r="Y521" t="s">
        <v>47</v>
      </c>
      <c r="Z521" t="s">
        <v>47</v>
      </c>
      <c r="AA521" t="s">
        <v>47</v>
      </c>
      <c r="AB521" t="s">
        <v>47</v>
      </c>
      <c r="AC521" t="s">
        <v>46</v>
      </c>
      <c r="AD521" t="s">
        <v>47</v>
      </c>
      <c r="AE521" t="s">
        <v>46</v>
      </c>
      <c r="AF521" t="s">
        <v>46</v>
      </c>
      <c r="AG521" t="s">
        <v>52</v>
      </c>
      <c r="AH521" t="s">
        <v>71</v>
      </c>
      <c r="AI521" t="s">
        <v>54</v>
      </c>
      <c r="AJ521">
        <v>6.5</v>
      </c>
      <c r="AK521" t="s">
        <v>46</v>
      </c>
      <c r="AL521" t="s">
        <v>100</v>
      </c>
      <c r="AM521" t="s">
        <v>77</v>
      </c>
      <c r="AN521">
        <v>9</v>
      </c>
      <c r="AO521" t="s">
        <v>47</v>
      </c>
    </row>
    <row r="522" spans="1:41">
      <c r="A522" t="s">
        <v>674</v>
      </c>
      <c r="B522">
        <v>2023</v>
      </c>
      <c r="C522" s="1">
        <v>45155</v>
      </c>
      <c r="D522" t="s">
        <v>84</v>
      </c>
      <c r="E522" t="s">
        <v>449</v>
      </c>
      <c r="F522">
        <v>59</v>
      </c>
      <c r="G522" t="s">
        <v>60</v>
      </c>
      <c r="H522" t="s">
        <v>70</v>
      </c>
      <c r="I522">
        <v>0</v>
      </c>
      <c r="J522">
        <v>0</v>
      </c>
      <c r="K522" t="s">
        <v>46</v>
      </c>
      <c r="L522" t="s">
        <v>46</v>
      </c>
      <c r="M522" t="s">
        <v>47</v>
      </c>
      <c r="N522" t="s">
        <v>62</v>
      </c>
      <c r="O522" t="s">
        <v>49</v>
      </c>
      <c r="P522">
        <v>21</v>
      </c>
      <c r="Q522" t="s">
        <v>48</v>
      </c>
      <c r="R522" t="s">
        <v>47</v>
      </c>
      <c r="S522" t="s">
        <v>47</v>
      </c>
      <c r="T522" t="s">
        <v>47</v>
      </c>
      <c r="U522" t="s">
        <v>47</v>
      </c>
      <c r="V522" t="s">
        <v>171</v>
      </c>
      <c r="W522" t="s">
        <v>47</v>
      </c>
      <c r="X522" t="s">
        <v>47</v>
      </c>
      <c r="Y522" t="s">
        <v>46</v>
      </c>
      <c r="Z522" t="s">
        <v>46</v>
      </c>
      <c r="AA522" t="s">
        <v>46</v>
      </c>
      <c r="AB522" t="s">
        <v>47</v>
      </c>
      <c r="AC522" t="s">
        <v>47</v>
      </c>
      <c r="AD522" t="s">
        <v>46</v>
      </c>
      <c r="AE522" t="s">
        <v>47</v>
      </c>
      <c r="AF522" t="s">
        <v>47</v>
      </c>
      <c r="AG522" t="s">
        <v>52</v>
      </c>
      <c r="AH522" t="s">
        <v>53</v>
      </c>
      <c r="AI522" t="s">
        <v>80</v>
      </c>
      <c r="AJ522">
        <v>5.6</v>
      </c>
      <c r="AK522" t="s">
        <v>47</v>
      </c>
      <c r="AL522" t="s">
        <v>100</v>
      </c>
      <c r="AM522" t="s">
        <v>56</v>
      </c>
      <c r="AN522">
        <v>19</v>
      </c>
      <c r="AO522" t="s">
        <v>47</v>
      </c>
    </row>
    <row r="523" spans="1:41">
      <c r="A523" t="s">
        <v>675</v>
      </c>
      <c r="B523">
        <v>2021</v>
      </c>
      <c r="C523" s="1">
        <v>44381</v>
      </c>
      <c r="D523" t="s">
        <v>58</v>
      </c>
      <c r="E523" t="s">
        <v>169</v>
      </c>
      <c r="F523">
        <v>55</v>
      </c>
      <c r="G523" t="s">
        <v>60</v>
      </c>
      <c r="H523" t="s">
        <v>70</v>
      </c>
      <c r="I523">
        <v>0</v>
      </c>
      <c r="J523">
        <v>0</v>
      </c>
      <c r="K523" t="s">
        <v>46</v>
      </c>
      <c r="L523" t="s">
        <v>47</v>
      </c>
      <c r="M523" t="s">
        <v>46</v>
      </c>
      <c r="N523" t="s">
        <v>50</v>
      </c>
      <c r="O523" t="s">
        <v>63</v>
      </c>
      <c r="P523">
        <v>25.1</v>
      </c>
      <c r="Q523" t="s">
        <v>62</v>
      </c>
      <c r="R523" t="s">
        <v>47</v>
      </c>
      <c r="S523" t="s">
        <v>47</v>
      </c>
      <c r="T523" t="s">
        <v>47</v>
      </c>
      <c r="U523" t="s">
        <v>47</v>
      </c>
      <c r="V523" t="s">
        <v>171</v>
      </c>
      <c r="W523" t="s">
        <v>46</v>
      </c>
      <c r="X523" t="s">
        <v>47</v>
      </c>
      <c r="Y523" t="s">
        <v>46</v>
      </c>
      <c r="Z523" t="s">
        <v>46</v>
      </c>
      <c r="AA523" t="s">
        <v>47</v>
      </c>
      <c r="AB523" t="s">
        <v>47</v>
      </c>
      <c r="AC523" t="s">
        <v>47</v>
      </c>
      <c r="AD523" t="s">
        <v>47</v>
      </c>
      <c r="AE523" t="s">
        <v>47</v>
      </c>
      <c r="AF523" t="s">
        <v>47</v>
      </c>
      <c r="AG523" t="s">
        <v>52</v>
      </c>
      <c r="AH523" t="s">
        <v>53</v>
      </c>
      <c r="AI523" t="s">
        <v>87</v>
      </c>
      <c r="AJ523">
        <v>2</v>
      </c>
      <c r="AK523" t="s">
        <v>47</v>
      </c>
      <c r="AL523" t="s">
        <v>66</v>
      </c>
      <c r="AM523" t="s">
        <v>77</v>
      </c>
      <c r="AN523">
        <v>18</v>
      </c>
      <c r="AO523" t="s">
        <v>46</v>
      </c>
    </row>
    <row r="524" spans="1:41">
      <c r="A524" t="s">
        <v>676</v>
      </c>
      <c r="B524">
        <v>2021</v>
      </c>
      <c r="C524" s="1">
        <v>44521</v>
      </c>
      <c r="D524" t="s">
        <v>42</v>
      </c>
      <c r="E524" t="s">
        <v>75</v>
      </c>
      <c r="F524">
        <v>61</v>
      </c>
      <c r="G524" t="s">
        <v>44</v>
      </c>
      <c r="H524" t="s">
        <v>70</v>
      </c>
      <c r="I524">
        <v>0</v>
      </c>
      <c r="J524">
        <v>0</v>
      </c>
      <c r="K524" t="s">
        <v>47</v>
      </c>
      <c r="L524" t="s">
        <v>47</v>
      </c>
      <c r="M524" t="s">
        <v>46</v>
      </c>
      <c r="N524" t="s">
        <v>50</v>
      </c>
      <c r="O524" t="s">
        <v>48</v>
      </c>
      <c r="P524">
        <v>28.8</v>
      </c>
      <c r="Q524" t="s">
        <v>62</v>
      </c>
      <c r="R524" t="s">
        <v>47</v>
      </c>
      <c r="S524" t="s">
        <v>47</v>
      </c>
      <c r="T524" t="s">
        <v>47</v>
      </c>
      <c r="U524" t="s">
        <v>47</v>
      </c>
      <c r="V524" t="s">
        <v>117</v>
      </c>
      <c r="W524" t="s">
        <v>47</v>
      </c>
      <c r="X524" t="s">
        <v>47</v>
      </c>
      <c r="Y524" t="s">
        <v>47</v>
      </c>
      <c r="Z524" t="s">
        <v>47</v>
      </c>
      <c r="AA524" t="s">
        <v>46</v>
      </c>
      <c r="AB524" t="s">
        <v>47</v>
      </c>
      <c r="AC524" t="s">
        <v>47</v>
      </c>
      <c r="AD524" t="s">
        <v>46</v>
      </c>
      <c r="AE524" t="s">
        <v>47</v>
      </c>
      <c r="AF524" t="s">
        <v>47</v>
      </c>
      <c r="AG524" t="s">
        <v>52</v>
      </c>
      <c r="AH524" t="s">
        <v>90</v>
      </c>
      <c r="AI524" t="s">
        <v>65</v>
      </c>
      <c r="AJ524">
        <v>2.4</v>
      </c>
      <c r="AK524" t="s">
        <v>47</v>
      </c>
      <c r="AL524" t="s">
        <v>100</v>
      </c>
      <c r="AM524" t="s">
        <v>67</v>
      </c>
      <c r="AN524">
        <v>16</v>
      </c>
      <c r="AO524" t="s">
        <v>46</v>
      </c>
    </row>
    <row r="525" spans="1:41">
      <c r="A525" t="s">
        <v>677</v>
      </c>
      <c r="B525">
        <v>2022</v>
      </c>
      <c r="C525" s="1">
        <v>44923</v>
      </c>
      <c r="D525" t="s">
        <v>58</v>
      </c>
      <c r="E525" t="s">
        <v>59</v>
      </c>
      <c r="F525">
        <v>79</v>
      </c>
      <c r="G525" t="s">
        <v>44</v>
      </c>
      <c r="H525" t="s">
        <v>70</v>
      </c>
      <c r="I525">
        <v>0</v>
      </c>
      <c r="J525">
        <v>0</v>
      </c>
      <c r="K525" t="s">
        <v>46</v>
      </c>
      <c r="L525" t="s">
        <v>47</v>
      </c>
      <c r="M525" t="s">
        <v>47</v>
      </c>
      <c r="N525" t="s">
        <v>50</v>
      </c>
      <c r="O525" t="s">
        <v>48</v>
      </c>
      <c r="P525">
        <v>32.299999999999997</v>
      </c>
      <c r="Q525" t="s">
        <v>48</v>
      </c>
      <c r="R525" t="s">
        <v>46</v>
      </c>
      <c r="S525" t="s">
        <v>47</v>
      </c>
      <c r="T525" t="s">
        <v>47</v>
      </c>
      <c r="U525" t="s">
        <v>47</v>
      </c>
      <c r="V525" t="s">
        <v>86</v>
      </c>
      <c r="W525" t="s">
        <v>47</v>
      </c>
      <c r="X525" t="s">
        <v>47</v>
      </c>
      <c r="Y525" t="s">
        <v>47</v>
      </c>
      <c r="Z525" t="s">
        <v>46</v>
      </c>
      <c r="AA525" t="s">
        <v>46</v>
      </c>
      <c r="AB525" t="s">
        <v>47</v>
      </c>
      <c r="AC525" t="s">
        <v>47</v>
      </c>
      <c r="AD525" t="s">
        <v>47</v>
      </c>
      <c r="AE525" t="s">
        <v>47</v>
      </c>
      <c r="AF525" t="s">
        <v>46</v>
      </c>
      <c r="AG525" t="s">
        <v>52</v>
      </c>
      <c r="AH525" t="s">
        <v>53</v>
      </c>
      <c r="AI525" t="s">
        <v>65</v>
      </c>
      <c r="AJ525">
        <v>0.5</v>
      </c>
      <c r="AK525" t="s">
        <v>47</v>
      </c>
      <c r="AL525" t="s">
        <v>100</v>
      </c>
      <c r="AM525" t="s">
        <v>118</v>
      </c>
      <c r="AN525">
        <v>66</v>
      </c>
      <c r="AO525" t="s">
        <v>46</v>
      </c>
    </row>
    <row r="526" spans="1:41">
      <c r="A526" t="s">
        <v>678</v>
      </c>
      <c r="B526">
        <v>2025</v>
      </c>
      <c r="C526" s="1">
        <v>45853</v>
      </c>
      <c r="D526" t="s">
        <v>110</v>
      </c>
      <c r="E526" t="s">
        <v>236</v>
      </c>
      <c r="F526">
        <v>32</v>
      </c>
      <c r="G526" t="s">
        <v>44</v>
      </c>
      <c r="H526" t="s">
        <v>70</v>
      </c>
      <c r="I526">
        <v>0</v>
      </c>
      <c r="J526">
        <v>0</v>
      </c>
      <c r="K526" t="s">
        <v>46</v>
      </c>
      <c r="L526" t="s">
        <v>47</v>
      </c>
      <c r="M526" t="s">
        <v>47</v>
      </c>
      <c r="N526" t="s">
        <v>48</v>
      </c>
      <c r="O526" t="s">
        <v>49</v>
      </c>
      <c r="P526">
        <v>26.3</v>
      </c>
      <c r="Q526" t="s">
        <v>62</v>
      </c>
      <c r="R526" t="s">
        <v>47</v>
      </c>
      <c r="S526" t="s">
        <v>47</v>
      </c>
      <c r="T526" t="s">
        <v>47</v>
      </c>
      <c r="U526" t="s">
        <v>47</v>
      </c>
      <c r="V526" t="s">
        <v>51</v>
      </c>
      <c r="W526" t="s">
        <v>46</v>
      </c>
      <c r="X526" t="s">
        <v>46</v>
      </c>
      <c r="Y526" t="s">
        <v>47</v>
      </c>
      <c r="Z526" t="s">
        <v>47</v>
      </c>
      <c r="AA526" t="s">
        <v>46</v>
      </c>
      <c r="AB526" t="s">
        <v>47</v>
      </c>
      <c r="AC526" t="s">
        <v>47</v>
      </c>
      <c r="AD526" t="s">
        <v>47</v>
      </c>
      <c r="AE526" t="s">
        <v>47</v>
      </c>
      <c r="AF526" t="s">
        <v>47</v>
      </c>
      <c r="AG526" t="s">
        <v>52</v>
      </c>
      <c r="AH526" t="s">
        <v>53</v>
      </c>
      <c r="AI526" t="s">
        <v>65</v>
      </c>
      <c r="AJ526">
        <v>0.7</v>
      </c>
      <c r="AK526" t="s">
        <v>47</v>
      </c>
      <c r="AL526" t="s">
        <v>72</v>
      </c>
      <c r="AM526" t="s">
        <v>73</v>
      </c>
      <c r="AN526">
        <v>44</v>
      </c>
      <c r="AO526" t="s">
        <v>46</v>
      </c>
    </row>
    <row r="527" spans="1:41">
      <c r="A527" t="s">
        <v>679</v>
      </c>
      <c r="B527">
        <v>2021</v>
      </c>
      <c r="C527" s="1">
        <v>44388</v>
      </c>
      <c r="D527" t="s">
        <v>110</v>
      </c>
      <c r="E527" t="s">
        <v>225</v>
      </c>
      <c r="F527">
        <v>60</v>
      </c>
      <c r="G527" t="s">
        <v>44</v>
      </c>
      <c r="H527" t="s">
        <v>61</v>
      </c>
      <c r="I527">
        <v>15</v>
      </c>
      <c r="J527">
        <v>10</v>
      </c>
      <c r="K527" t="s">
        <v>47</v>
      </c>
      <c r="L527" t="s">
        <v>47</v>
      </c>
      <c r="M527" t="s">
        <v>47</v>
      </c>
      <c r="N527" t="s">
        <v>62</v>
      </c>
      <c r="O527" t="s">
        <v>49</v>
      </c>
      <c r="P527">
        <v>31.9</v>
      </c>
      <c r="Q527" t="s">
        <v>50</v>
      </c>
      <c r="R527" t="s">
        <v>47</v>
      </c>
      <c r="S527" t="s">
        <v>47</v>
      </c>
      <c r="T527" t="s">
        <v>47</v>
      </c>
      <c r="U527" t="s">
        <v>47</v>
      </c>
      <c r="V527" t="s">
        <v>64</v>
      </c>
      <c r="W527" t="s">
        <v>46</v>
      </c>
      <c r="X527" t="s">
        <v>46</v>
      </c>
      <c r="Y527" t="s">
        <v>47</v>
      </c>
      <c r="Z527" t="s">
        <v>47</v>
      </c>
      <c r="AA527" t="s">
        <v>47</v>
      </c>
      <c r="AB527" t="s">
        <v>46</v>
      </c>
      <c r="AC527" t="s">
        <v>47</v>
      </c>
      <c r="AD527" t="s">
        <v>47</v>
      </c>
      <c r="AE527" t="s">
        <v>47</v>
      </c>
      <c r="AF527" t="s">
        <v>47</v>
      </c>
      <c r="AG527" t="s">
        <v>52</v>
      </c>
      <c r="AH527" t="s">
        <v>90</v>
      </c>
      <c r="AI527" t="s">
        <v>65</v>
      </c>
      <c r="AJ527">
        <v>2.7</v>
      </c>
      <c r="AK527" t="s">
        <v>47</v>
      </c>
      <c r="AL527" t="s">
        <v>72</v>
      </c>
      <c r="AM527" t="s">
        <v>103</v>
      </c>
      <c r="AN527">
        <v>44</v>
      </c>
      <c r="AO527" t="s">
        <v>46</v>
      </c>
    </row>
    <row r="528" spans="1:41">
      <c r="A528" t="s">
        <v>680</v>
      </c>
      <c r="B528">
        <v>2019</v>
      </c>
      <c r="C528" s="1">
        <v>43660</v>
      </c>
      <c r="D528" t="s">
        <v>58</v>
      </c>
      <c r="E528" t="s">
        <v>169</v>
      </c>
      <c r="F528">
        <v>61</v>
      </c>
      <c r="G528" t="s">
        <v>60</v>
      </c>
      <c r="H528" t="s">
        <v>61</v>
      </c>
      <c r="I528">
        <v>8</v>
      </c>
      <c r="J528">
        <v>19</v>
      </c>
      <c r="K528" t="s">
        <v>47</v>
      </c>
      <c r="L528" t="s">
        <v>47</v>
      </c>
      <c r="M528" t="s">
        <v>46</v>
      </c>
      <c r="N528" t="s">
        <v>48</v>
      </c>
      <c r="O528" t="s">
        <v>49</v>
      </c>
      <c r="P528">
        <v>28.1</v>
      </c>
      <c r="Q528" t="s">
        <v>50</v>
      </c>
      <c r="R528" t="s">
        <v>47</v>
      </c>
      <c r="S528" t="s">
        <v>47</v>
      </c>
      <c r="T528" t="s">
        <v>47</v>
      </c>
      <c r="U528" t="s">
        <v>47</v>
      </c>
      <c r="V528" t="s">
        <v>51</v>
      </c>
      <c r="W528" t="s">
        <v>46</v>
      </c>
      <c r="X528" t="s">
        <v>46</v>
      </c>
      <c r="Y528" t="s">
        <v>47</v>
      </c>
      <c r="Z528" t="s">
        <v>47</v>
      </c>
      <c r="AA528" t="s">
        <v>46</v>
      </c>
      <c r="AB528" t="s">
        <v>47</v>
      </c>
      <c r="AC528" t="s">
        <v>47</v>
      </c>
      <c r="AD528" t="s">
        <v>46</v>
      </c>
      <c r="AE528" t="s">
        <v>47</v>
      </c>
      <c r="AF528" t="s">
        <v>47</v>
      </c>
      <c r="AG528" t="s">
        <v>52</v>
      </c>
      <c r="AH528" t="s">
        <v>71</v>
      </c>
      <c r="AI528" t="s">
        <v>87</v>
      </c>
      <c r="AJ528">
        <v>2.8</v>
      </c>
      <c r="AK528" t="s">
        <v>47</v>
      </c>
      <c r="AL528" t="s">
        <v>81</v>
      </c>
      <c r="AM528" t="s">
        <v>103</v>
      </c>
      <c r="AN528">
        <v>47</v>
      </c>
      <c r="AO528" t="s">
        <v>47</v>
      </c>
    </row>
    <row r="529" spans="1:41">
      <c r="A529" t="s">
        <v>681</v>
      </c>
      <c r="B529">
        <v>2017</v>
      </c>
      <c r="C529" s="1">
        <v>42900</v>
      </c>
      <c r="D529" t="s">
        <v>58</v>
      </c>
      <c r="E529" t="s">
        <v>138</v>
      </c>
      <c r="F529">
        <v>76</v>
      </c>
      <c r="G529" t="s">
        <v>60</v>
      </c>
      <c r="H529" t="s">
        <v>45</v>
      </c>
      <c r="I529">
        <v>5</v>
      </c>
      <c r="J529">
        <v>33</v>
      </c>
      <c r="K529" t="s">
        <v>47</v>
      </c>
      <c r="L529" t="s">
        <v>47</v>
      </c>
      <c r="M529" t="s">
        <v>47</v>
      </c>
      <c r="N529" t="s">
        <v>48</v>
      </c>
      <c r="O529" t="s">
        <v>48</v>
      </c>
      <c r="P529">
        <v>21.5</v>
      </c>
      <c r="Q529" t="s">
        <v>50</v>
      </c>
      <c r="R529" t="s">
        <v>47</v>
      </c>
      <c r="S529" t="s">
        <v>47</v>
      </c>
      <c r="T529" t="s">
        <v>47</v>
      </c>
      <c r="U529" t="s">
        <v>47</v>
      </c>
      <c r="V529" t="s">
        <v>151</v>
      </c>
      <c r="W529" t="s">
        <v>46</v>
      </c>
      <c r="X529" t="s">
        <v>46</v>
      </c>
      <c r="Y529" t="s">
        <v>47</v>
      </c>
      <c r="Z529" t="s">
        <v>47</v>
      </c>
      <c r="AA529" t="s">
        <v>46</v>
      </c>
      <c r="AB529" t="s">
        <v>46</v>
      </c>
      <c r="AC529" t="s">
        <v>47</v>
      </c>
      <c r="AD529" t="s">
        <v>46</v>
      </c>
      <c r="AE529" t="s">
        <v>47</v>
      </c>
      <c r="AF529" t="s">
        <v>47</v>
      </c>
      <c r="AG529" t="s">
        <v>52</v>
      </c>
      <c r="AH529" t="s">
        <v>71</v>
      </c>
      <c r="AI529" t="s">
        <v>80</v>
      </c>
      <c r="AJ529">
        <v>5.2</v>
      </c>
      <c r="AK529" t="s">
        <v>47</v>
      </c>
      <c r="AL529" t="s">
        <v>156</v>
      </c>
      <c r="AM529" t="s">
        <v>118</v>
      </c>
      <c r="AN529">
        <v>15</v>
      </c>
      <c r="AO529" t="s">
        <v>47</v>
      </c>
    </row>
    <row r="530" spans="1:41">
      <c r="A530" t="s">
        <v>682</v>
      </c>
      <c r="B530">
        <v>2021</v>
      </c>
      <c r="C530" s="1">
        <v>44509</v>
      </c>
      <c r="D530" t="s">
        <v>42</v>
      </c>
      <c r="E530" t="s">
        <v>136</v>
      </c>
      <c r="F530">
        <v>70</v>
      </c>
      <c r="G530" t="s">
        <v>60</v>
      </c>
      <c r="H530" t="s">
        <v>61</v>
      </c>
      <c r="I530">
        <v>12</v>
      </c>
      <c r="J530">
        <v>13</v>
      </c>
      <c r="K530" t="s">
        <v>47</v>
      </c>
      <c r="L530" t="s">
        <v>47</v>
      </c>
      <c r="M530" t="s">
        <v>47</v>
      </c>
      <c r="N530" t="s">
        <v>50</v>
      </c>
      <c r="O530" t="s">
        <v>48</v>
      </c>
      <c r="P530">
        <v>29.4</v>
      </c>
      <c r="Q530" t="s">
        <v>62</v>
      </c>
      <c r="R530" t="s">
        <v>47</v>
      </c>
      <c r="S530" t="s">
        <v>47</v>
      </c>
      <c r="T530" t="s">
        <v>47</v>
      </c>
      <c r="U530" t="s">
        <v>47</v>
      </c>
      <c r="V530" t="s">
        <v>171</v>
      </c>
      <c r="W530" t="s">
        <v>47</v>
      </c>
      <c r="X530" t="s">
        <v>46</v>
      </c>
      <c r="Y530" t="s">
        <v>46</v>
      </c>
      <c r="Z530" t="s">
        <v>47</v>
      </c>
      <c r="AA530" t="s">
        <v>46</v>
      </c>
      <c r="AB530" t="s">
        <v>47</v>
      </c>
      <c r="AC530" t="s">
        <v>47</v>
      </c>
      <c r="AD530" t="s">
        <v>46</v>
      </c>
      <c r="AE530" t="s">
        <v>47</v>
      </c>
      <c r="AF530" t="s">
        <v>47</v>
      </c>
      <c r="AG530" t="s">
        <v>52</v>
      </c>
      <c r="AH530" t="s">
        <v>53</v>
      </c>
      <c r="AI530" t="s">
        <v>65</v>
      </c>
      <c r="AJ530">
        <v>2.4</v>
      </c>
      <c r="AK530" t="s">
        <v>47</v>
      </c>
      <c r="AL530" t="s">
        <v>76</v>
      </c>
      <c r="AM530" t="s">
        <v>73</v>
      </c>
      <c r="AN530">
        <v>64</v>
      </c>
      <c r="AO530" t="s">
        <v>47</v>
      </c>
    </row>
    <row r="531" spans="1:41">
      <c r="A531" t="s">
        <v>683</v>
      </c>
      <c r="B531">
        <v>2018</v>
      </c>
      <c r="C531" s="1">
        <v>43181</v>
      </c>
      <c r="D531" t="s">
        <v>110</v>
      </c>
      <c r="E531" t="s">
        <v>225</v>
      </c>
      <c r="F531">
        <v>74</v>
      </c>
      <c r="G531" t="s">
        <v>60</v>
      </c>
      <c r="H531" t="s">
        <v>70</v>
      </c>
      <c r="I531">
        <v>0</v>
      </c>
      <c r="J531">
        <v>0</v>
      </c>
      <c r="K531" t="s">
        <v>46</v>
      </c>
      <c r="L531" t="s">
        <v>46</v>
      </c>
      <c r="M531" t="s">
        <v>46</v>
      </c>
      <c r="N531" t="s">
        <v>48</v>
      </c>
      <c r="O531" t="s">
        <v>49</v>
      </c>
      <c r="P531">
        <v>21.7</v>
      </c>
      <c r="Q531" t="s">
        <v>62</v>
      </c>
      <c r="R531" t="s">
        <v>47</v>
      </c>
      <c r="S531" t="s">
        <v>47</v>
      </c>
      <c r="T531" t="s">
        <v>47</v>
      </c>
      <c r="U531" t="s">
        <v>47</v>
      </c>
      <c r="V531" t="s">
        <v>51</v>
      </c>
      <c r="W531" t="s">
        <v>47</v>
      </c>
      <c r="X531" t="s">
        <v>46</v>
      </c>
      <c r="Y531" t="s">
        <v>47</v>
      </c>
      <c r="Z531" t="s">
        <v>46</v>
      </c>
      <c r="AA531" t="s">
        <v>46</v>
      </c>
      <c r="AB531" t="s">
        <v>47</v>
      </c>
      <c r="AC531" t="s">
        <v>47</v>
      </c>
      <c r="AD531" t="s">
        <v>46</v>
      </c>
      <c r="AE531" t="s">
        <v>46</v>
      </c>
      <c r="AF531" t="s">
        <v>47</v>
      </c>
      <c r="AG531" t="s">
        <v>52</v>
      </c>
      <c r="AH531" t="s">
        <v>53</v>
      </c>
      <c r="AI531" t="s">
        <v>87</v>
      </c>
      <c r="AJ531">
        <v>5.8</v>
      </c>
      <c r="AK531" t="s">
        <v>47</v>
      </c>
      <c r="AL531" t="s">
        <v>156</v>
      </c>
      <c r="AM531" t="s">
        <v>67</v>
      </c>
      <c r="AN531">
        <v>41</v>
      </c>
      <c r="AO531" t="s">
        <v>46</v>
      </c>
    </row>
    <row r="532" spans="1:41">
      <c r="A532" t="s">
        <v>684</v>
      </c>
      <c r="B532">
        <v>2025</v>
      </c>
      <c r="C532" s="1">
        <v>45691</v>
      </c>
      <c r="D532" t="s">
        <v>58</v>
      </c>
      <c r="E532" t="s">
        <v>169</v>
      </c>
      <c r="F532">
        <v>65</v>
      </c>
      <c r="G532" t="s">
        <v>60</v>
      </c>
      <c r="H532" t="s">
        <v>70</v>
      </c>
      <c r="I532">
        <v>0</v>
      </c>
      <c r="J532">
        <v>0</v>
      </c>
      <c r="K532" t="s">
        <v>47</v>
      </c>
      <c r="L532" t="s">
        <v>47</v>
      </c>
      <c r="M532" t="s">
        <v>47</v>
      </c>
      <c r="N532" t="s">
        <v>62</v>
      </c>
      <c r="O532" t="s">
        <v>48</v>
      </c>
      <c r="P532">
        <v>29</v>
      </c>
      <c r="Q532" t="s">
        <v>50</v>
      </c>
      <c r="R532" t="s">
        <v>47</v>
      </c>
      <c r="S532" t="s">
        <v>47</v>
      </c>
      <c r="T532" t="s">
        <v>47</v>
      </c>
      <c r="U532" t="s">
        <v>47</v>
      </c>
      <c r="V532" t="s">
        <v>86</v>
      </c>
      <c r="W532" t="s">
        <v>47</v>
      </c>
      <c r="X532" t="s">
        <v>47</v>
      </c>
      <c r="Y532" t="s">
        <v>47</v>
      </c>
      <c r="Z532" t="s">
        <v>47</v>
      </c>
      <c r="AA532" t="s">
        <v>46</v>
      </c>
      <c r="AB532" t="s">
        <v>47</v>
      </c>
      <c r="AC532" t="s">
        <v>47</v>
      </c>
      <c r="AD532" t="s">
        <v>47</v>
      </c>
      <c r="AE532" t="s">
        <v>47</v>
      </c>
      <c r="AF532" t="s">
        <v>47</v>
      </c>
      <c r="AG532" t="s">
        <v>52</v>
      </c>
      <c r="AH532" t="s">
        <v>71</v>
      </c>
      <c r="AI532" t="s">
        <v>65</v>
      </c>
      <c r="AJ532">
        <v>1.4</v>
      </c>
      <c r="AK532" t="s">
        <v>47</v>
      </c>
      <c r="AL532" t="s">
        <v>76</v>
      </c>
      <c r="AM532" t="s">
        <v>73</v>
      </c>
      <c r="AN532">
        <v>60</v>
      </c>
      <c r="AO532" t="s">
        <v>46</v>
      </c>
    </row>
    <row r="533" spans="1:41">
      <c r="A533" t="s">
        <v>685</v>
      </c>
      <c r="B533">
        <v>2024</v>
      </c>
      <c r="C533" s="1">
        <v>45336</v>
      </c>
      <c r="D533" t="s">
        <v>42</v>
      </c>
      <c r="E533" t="s">
        <v>69</v>
      </c>
      <c r="F533">
        <v>73</v>
      </c>
      <c r="G533" t="s">
        <v>60</v>
      </c>
      <c r="H533" t="s">
        <v>61</v>
      </c>
      <c r="I533">
        <v>30</v>
      </c>
      <c r="J533">
        <v>21</v>
      </c>
      <c r="K533" t="s">
        <v>46</v>
      </c>
      <c r="L533" t="s">
        <v>47</v>
      </c>
      <c r="M533" t="s">
        <v>46</v>
      </c>
      <c r="N533" t="s">
        <v>48</v>
      </c>
      <c r="O533" t="s">
        <v>49</v>
      </c>
      <c r="P533">
        <v>27</v>
      </c>
      <c r="Q533" t="s">
        <v>48</v>
      </c>
      <c r="R533" t="s">
        <v>46</v>
      </c>
      <c r="S533" t="s">
        <v>47</v>
      </c>
      <c r="T533" t="s">
        <v>47</v>
      </c>
      <c r="U533" t="s">
        <v>47</v>
      </c>
      <c r="V533" t="s">
        <v>151</v>
      </c>
      <c r="W533" t="s">
        <v>47</v>
      </c>
      <c r="X533" t="s">
        <v>47</v>
      </c>
      <c r="Y533" t="s">
        <v>47</v>
      </c>
      <c r="Z533" t="s">
        <v>47</v>
      </c>
      <c r="AA533" t="s">
        <v>46</v>
      </c>
      <c r="AB533" t="s">
        <v>47</v>
      </c>
      <c r="AC533" t="s">
        <v>47</v>
      </c>
      <c r="AD533" t="s">
        <v>47</v>
      </c>
      <c r="AE533" t="s">
        <v>46</v>
      </c>
      <c r="AF533" t="s">
        <v>47</v>
      </c>
      <c r="AG533" t="s">
        <v>52</v>
      </c>
      <c r="AH533" t="s">
        <v>90</v>
      </c>
      <c r="AI533" t="s">
        <v>54</v>
      </c>
      <c r="AJ533">
        <v>5.0999999999999996</v>
      </c>
      <c r="AK533" t="s">
        <v>46</v>
      </c>
      <c r="AL533" t="s">
        <v>66</v>
      </c>
      <c r="AM533" t="s">
        <v>118</v>
      </c>
      <c r="AN533">
        <v>10</v>
      </c>
      <c r="AO533" t="s">
        <v>47</v>
      </c>
    </row>
    <row r="534" spans="1:41">
      <c r="A534" t="s">
        <v>686</v>
      </c>
      <c r="B534">
        <v>2019</v>
      </c>
      <c r="C534" s="1">
        <v>43823</v>
      </c>
      <c r="D534" t="s">
        <v>84</v>
      </c>
      <c r="E534" t="s">
        <v>189</v>
      </c>
      <c r="F534">
        <v>58</v>
      </c>
      <c r="G534" t="s">
        <v>60</v>
      </c>
      <c r="H534" t="s">
        <v>45</v>
      </c>
      <c r="I534">
        <v>23</v>
      </c>
      <c r="J534">
        <v>20</v>
      </c>
      <c r="K534" t="s">
        <v>47</v>
      </c>
      <c r="L534" t="s">
        <v>47</v>
      </c>
      <c r="M534" t="s">
        <v>47</v>
      </c>
      <c r="N534" t="s">
        <v>48</v>
      </c>
      <c r="O534" t="s">
        <v>48</v>
      </c>
      <c r="P534">
        <v>24.3</v>
      </c>
      <c r="Q534" t="s">
        <v>48</v>
      </c>
      <c r="R534" t="s">
        <v>47</v>
      </c>
      <c r="S534" t="s">
        <v>47</v>
      </c>
      <c r="T534" t="s">
        <v>47</v>
      </c>
      <c r="U534" t="s">
        <v>47</v>
      </c>
      <c r="V534" t="s">
        <v>151</v>
      </c>
      <c r="W534" t="s">
        <v>47</v>
      </c>
      <c r="X534" t="s">
        <v>46</v>
      </c>
      <c r="Y534" t="s">
        <v>46</v>
      </c>
      <c r="Z534" t="s">
        <v>46</v>
      </c>
      <c r="AA534" t="s">
        <v>46</v>
      </c>
      <c r="AB534" t="s">
        <v>46</v>
      </c>
      <c r="AC534" t="s">
        <v>46</v>
      </c>
      <c r="AD534" t="s">
        <v>47</v>
      </c>
      <c r="AE534" t="s">
        <v>47</v>
      </c>
      <c r="AF534" t="s">
        <v>47</v>
      </c>
      <c r="AG534" t="s">
        <v>52</v>
      </c>
      <c r="AH534" t="s">
        <v>71</v>
      </c>
      <c r="AI534" t="s">
        <v>54</v>
      </c>
      <c r="AJ534">
        <v>5.4</v>
      </c>
      <c r="AK534" t="s">
        <v>46</v>
      </c>
      <c r="AL534" t="s">
        <v>66</v>
      </c>
      <c r="AM534" t="s">
        <v>56</v>
      </c>
      <c r="AN534">
        <v>1</v>
      </c>
      <c r="AO534" t="s">
        <v>47</v>
      </c>
    </row>
    <row r="535" spans="1:41">
      <c r="A535" t="s">
        <v>687</v>
      </c>
      <c r="B535">
        <v>2024</v>
      </c>
      <c r="C535" s="1">
        <v>45369</v>
      </c>
      <c r="D535" t="s">
        <v>95</v>
      </c>
      <c r="E535" t="s">
        <v>114</v>
      </c>
      <c r="F535">
        <v>48</v>
      </c>
      <c r="G535" t="s">
        <v>44</v>
      </c>
      <c r="H535" t="s">
        <v>70</v>
      </c>
      <c r="I535">
        <v>0</v>
      </c>
      <c r="J535">
        <v>0</v>
      </c>
      <c r="K535" t="s">
        <v>46</v>
      </c>
      <c r="L535" t="s">
        <v>47</v>
      </c>
      <c r="M535" t="s">
        <v>46</v>
      </c>
      <c r="N535" t="s">
        <v>62</v>
      </c>
      <c r="O535" t="s">
        <v>48</v>
      </c>
      <c r="P535">
        <v>25.3</v>
      </c>
      <c r="Q535" t="s">
        <v>62</v>
      </c>
      <c r="R535" t="s">
        <v>47</v>
      </c>
      <c r="S535" t="s">
        <v>47</v>
      </c>
      <c r="T535" t="s">
        <v>47</v>
      </c>
      <c r="U535" t="s">
        <v>47</v>
      </c>
      <c r="V535" t="s">
        <v>86</v>
      </c>
      <c r="W535" t="s">
        <v>47</v>
      </c>
      <c r="X535" t="s">
        <v>46</v>
      </c>
      <c r="Y535" t="s">
        <v>46</v>
      </c>
      <c r="Z535" t="s">
        <v>47</v>
      </c>
      <c r="AA535" t="s">
        <v>46</v>
      </c>
      <c r="AB535" t="s">
        <v>47</v>
      </c>
      <c r="AC535" t="s">
        <v>47</v>
      </c>
      <c r="AD535" t="s">
        <v>47</v>
      </c>
      <c r="AE535" t="s">
        <v>47</v>
      </c>
      <c r="AF535" t="s">
        <v>46</v>
      </c>
      <c r="AG535" t="s">
        <v>52</v>
      </c>
      <c r="AH535" t="s">
        <v>90</v>
      </c>
      <c r="AI535" t="s">
        <v>65</v>
      </c>
      <c r="AJ535">
        <v>1.4</v>
      </c>
      <c r="AK535" t="s">
        <v>47</v>
      </c>
      <c r="AL535" t="s">
        <v>76</v>
      </c>
      <c r="AM535" t="s">
        <v>73</v>
      </c>
      <c r="AN535">
        <v>76</v>
      </c>
      <c r="AO535" t="s">
        <v>46</v>
      </c>
    </row>
    <row r="536" spans="1:41">
      <c r="A536" t="s">
        <v>688</v>
      </c>
      <c r="B536">
        <v>2017</v>
      </c>
      <c r="C536" s="1">
        <v>43026</v>
      </c>
      <c r="D536" t="s">
        <v>58</v>
      </c>
      <c r="E536" t="s">
        <v>220</v>
      </c>
      <c r="F536">
        <v>55</v>
      </c>
      <c r="G536" t="s">
        <v>60</v>
      </c>
      <c r="H536" t="s">
        <v>70</v>
      </c>
      <c r="I536">
        <v>0</v>
      </c>
      <c r="J536">
        <v>0</v>
      </c>
      <c r="K536" t="s">
        <v>46</v>
      </c>
      <c r="L536" t="s">
        <v>47</v>
      </c>
      <c r="M536" t="s">
        <v>47</v>
      </c>
      <c r="N536" t="s">
        <v>48</v>
      </c>
      <c r="O536" t="s">
        <v>63</v>
      </c>
      <c r="P536">
        <v>21.6</v>
      </c>
      <c r="Q536" t="s">
        <v>50</v>
      </c>
      <c r="R536" t="s">
        <v>47</v>
      </c>
      <c r="S536" t="s">
        <v>47</v>
      </c>
      <c r="T536" t="s">
        <v>47</v>
      </c>
      <c r="U536" t="s">
        <v>47</v>
      </c>
      <c r="V536" t="s">
        <v>171</v>
      </c>
      <c r="W536" t="s">
        <v>46</v>
      </c>
      <c r="X536" t="s">
        <v>46</v>
      </c>
      <c r="Y536" t="s">
        <v>47</v>
      </c>
      <c r="Z536" t="s">
        <v>47</v>
      </c>
      <c r="AA536" t="s">
        <v>47</v>
      </c>
      <c r="AB536" t="s">
        <v>47</v>
      </c>
      <c r="AC536" t="s">
        <v>47</v>
      </c>
      <c r="AD536" t="s">
        <v>47</v>
      </c>
      <c r="AE536" t="s">
        <v>47</v>
      </c>
      <c r="AF536" t="s">
        <v>46</v>
      </c>
      <c r="AG536" t="s">
        <v>52</v>
      </c>
      <c r="AH536" t="s">
        <v>90</v>
      </c>
      <c r="AI536" t="s">
        <v>54</v>
      </c>
      <c r="AJ536">
        <v>9.6999999999999993</v>
      </c>
      <c r="AK536" t="s">
        <v>46</v>
      </c>
      <c r="AL536" t="s">
        <v>100</v>
      </c>
      <c r="AM536" t="s">
        <v>77</v>
      </c>
      <c r="AN536">
        <v>10</v>
      </c>
      <c r="AO536" t="s">
        <v>47</v>
      </c>
    </row>
    <row r="537" spans="1:41">
      <c r="A537" t="s">
        <v>689</v>
      </c>
      <c r="B537">
        <v>2021</v>
      </c>
      <c r="C537" s="1">
        <v>44369</v>
      </c>
      <c r="D537" t="s">
        <v>110</v>
      </c>
      <c r="E537" t="s">
        <v>227</v>
      </c>
      <c r="F537">
        <v>69</v>
      </c>
      <c r="G537" t="s">
        <v>44</v>
      </c>
      <c r="H537" t="s">
        <v>70</v>
      </c>
      <c r="I537">
        <v>0</v>
      </c>
      <c r="J537">
        <v>0</v>
      </c>
      <c r="K537" t="s">
        <v>47</v>
      </c>
      <c r="L537" t="s">
        <v>47</v>
      </c>
      <c r="M537" t="s">
        <v>47</v>
      </c>
      <c r="N537" t="s">
        <v>62</v>
      </c>
      <c r="O537" t="s">
        <v>49</v>
      </c>
      <c r="P537">
        <v>25</v>
      </c>
      <c r="Q537" t="s">
        <v>62</v>
      </c>
      <c r="R537" t="s">
        <v>47</v>
      </c>
      <c r="S537" t="s">
        <v>47</v>
      </c>
      <c r="T537" t="s">
        <v>47</v>
      </c>
      <c r="U537" t="s">
        <v>47</v>
      </c>
      <c r="V537" t="s">
        <v>151</v>
      </c>
      <c r="W537" t="s">
        <v>47</v>
      </c>
      <c r="X537" t="s">
        <v>46</v>
      </c>
      <c r="Y537" t="s">
        <v>46</v>
      </c>
      <c r="Z537" t="s">
        <v>47</v>
      </c>
      <c r="AA537" t="s">
        <v>46</v>
      </c>
      <c r="AB537" t="s">
        <v>47</v>
      </c>
      <c r="AC537" t="s">
        <v>47</v>
      </c>
      <c r="AD537" t="s">
        <v>47</v>
      </c>
      <c r="AE537" t="s">
        <v>47</v>
      </c>
      <c r="AF537" t="s">
        <v>47</v>
      </c>
      <c r="AG537" t="s">
        <v>121</v>
      </c>
      <c r="AH537" t="s">
        <v>122</v>
      </c>
      <c r="AI537" t="s">
        <v>80</v>
      </c>
      <c r="AJ537">
        <v>4.8</v>
      </c>
      <c r="AK537" t="s">
        <v>47</v>
      </c>
      <c r="AL537" t="s">
        <v>76</v>
      </c>
      <c r="AM537" t="s">
        <v>77</v>
      </c>
      <c r="AN537">
        <v>25</v>
      </c>
      <c r="AO537" t="s">
        <v>46</v>
      </c>
    </row>
    <row r="538" spans="1:41">
      <c r="A538" t="s">
        <v>690</v>
      </c>
      <c r="B538">
        <v>2025</v>
      </c>
      <c r="C538" s="1">
        <v>45850</v>
      </c>
      <c r="D538" t="s">
        <v>84</v>
      </c>
      <c r="E538" t="s">
        <v>102</v>
      </c>
      <c r="F538">
        <v>67</v>
      </c>
      <c r="G538" t="s">
        <v>60</v>
      </c>
      <c r="H538" t="s">
        <v>70</v>
      </c>
      <c r="I538">
        <v>0</v>
      </c>
      <c r="J538">
        <v>0</v>
      </c>
      <c r="K538" t="s">
        <v>46</v>
      </c>
      <c r="L538" t="s">
        <v>47</v>
      </c>
      <c r="M538" t="s">
        <v>47</v>
      </c>
      <c r="N538" t="s">
        <v>62</v>
      </c>
      <c r="O538" t="s">
        <v>63</v>
      </c>
      <c r="P538">
        <v>25.1</v>
      </c>
      <c r="Q538" t="s">
        <v>48</v>
      </c>
      <c r="R538" t="s">
        <v>47</v>
      </c>
      <c r="S538" t="s">
        <v>47</v>
      </c>
      <c r="T538" t="s">
        <v>47</v>
      </c>
      <c r="U538" t="s">
        <v>47</v>
      </c>
      <c r="V538" t="s">
        <v>151</v>
      </c>
      <c r="W538" t="s">
        <v>47</v>
      </c>
      <c r="X538" t="s">
        <v>46</v>
      </c>
      <c r="Y538" t="s">
        <v>47</v>
      </c>
      <c r="Z538" t="s">
        <v>47</v>
      </c>
      <c r="AA538" t="s">
        <v>47</v>
      </c>
      <c r="AB538" t="s">
        <v>46</v>
      </c>
      <c r="AC538" t="s">
        <v>47</v>
      </c>
      <c r="AD538" t="s">
        <v>47</v>
      </c>
      <c r="AE538" t="s">
        <v>47</v>
      </c>
      <c r="AF538" t="s">
        <v>47</v>
      </c>
      <c r="AG538" t="s">
        <v>52</v>
      </c>
      <c r="AH538" t="s">
        <v>71</v>
      </c>
      <c r="AI538" t="s">
        <v>65</v>
      </c>
      <c r="AJ538">
        <v>2.4</v>
      </c>
      <c r="AK538" t="s">
        <v>47</v>
      </c>
      <c r="AL538" t="s">
        <v>72</v>
      </c>
      <c r="AM538" t="s">
        <v>73</v>
      </c>
      <c r="AN538">
        <v>57</v>
      </c>
      <c r="AO538" t="s">
        <v>46</v>
      </c>
    </row>
    <row r="539" spans="1:41">
      <c r="A539" t="s">
        <v>691</v>
      </c>
      <c r="B539">
        <v>2023</v>
      </c>
      <c r="C539" s="1">
        <v>45262</v>
      </c>
      <c r="D539" t="s">
        <v>58</v>
      </c>
      <c r="E539" t="s">
        <v>134</v>
      </c>
      <c r="F539">
        <v>58</v>
      </c>
      <c r="G539" t="s">
        <v>44</v>
      </c>
      <c r="H539" t="s">
        <v>70</v>
      </c>
      <c r="I539">
        <v>0</v>
      </c>
      <c r="J539">
        <v>0</v>
      </c>
      <c r="K539" t="s">
        <v>47</v>
      </c>
      <c r="L539" t="s">
        <v>46</v>
      </c>
      <c r="M539" t="s">
        <v>47</v>
      </c>
      <c r="N539" t="s">
        <v>50</v>
      </c>
      <c r="O539" t="s">
        <v>48</v>
      </c>
      <c r="P539">
        <v>36.4</v>
      </c>
      <c r="Q539" t="s">
        <v>48</v>
      </c>
      <c r="R539" t="s">
        <v>47</v>
      </c>
      <c r="S539" t="s">
        <v>47</v>
      </c>
      <c r="T539" t="s">
        <v>47</v>
      </c>
      <c r="U539" t="s">
        <v>47</v>
      </c>
      <c r="V539" t="s">
        <v>117</v>
      </c>
      <c r="W539" t="s">
        <v>47</v>
      </c>
      <c r="X539" t="s">
        <v>47</v>
      </c>
      <c r="Y539" t="s">
        <v>47</v>
      </c>
      <c r="Z539" t="s">
        <v>46</v>
      </c>
      <c r="AA539" t="s">
        <v>46</v>
      </c>
      <c r="AB539" t="s">
        <v>47</v>
      </c>
      <c r="AC539" t="s">
        <v>47</v>
      </c>
      <c r="AD539" t="s">
        <v>46</v>
      </c>
      <c r="AE539" t="s">
        <v>47</v>
      </c>
      <c r="AF539" t="s">
        <v>46</v>
      </c>
      <c r="AG539" t="s">
        <v>52</v>
      </c>
      <c r="AH539" t="s">
        <v>53</v>
      </c>
      <c r="AI539" t="s">
        <v>87</v>
      </c>
      <c r="AJ539">
        <v>4.3</v>
      </c>
      <c r="AK539" t="s">
        <v>47</v>
      </c>
      <c r="AL539" t="s">
        <v>76</v>
      </c>
      <c r="AM539" t="s">
        <v>82</v>
      </c>
      <c r="AN539">
        <v>10</v>
      </c>
      <c r="AO539" t="s">
        <v>46</v>
      </c>
    </row>
    <row r="540" spans="1:41">
      <c r="A540" t="s">
        <v>692</v>
      </c>
      <c r="B540">
        <v>2022</v>
      </c>
      <c r="C540" s="1">
        <v>44844</v>
      </c>
      <c r="D540" t="s">
        <v>42</v>
      </c>
      <c r="E540" t="s">
        <v>136</v>
      </c>
      <c r="F540">
        <v>70</v>
      </c>
      <c r="G540" t="s">
        <v>44</v>
      </c>
      <c r="H540" t="s">
        <v>70</v>
      </c>
      <c r="I540">
        <v>0</v>
      </c>
      <c r="J540">
        <v>0</v>
      </c>
      <c r="K540" t="s">
        <v>46</v>
      </c>
      <c r="L540" t="s">
        <v>47</v>
      </c>
      <c r="M540" t="s">
        <v>47</v>
      </c>
      <c r="N540" t="s">
        <v>48</v>
      </c>
      <c r="O540" t="s">
        <v>63</v>
      </c>
      <c r="P540">
        <v>25.9</v>
      </c>
      <c r="Q540" t="s">
        <v>50</v>
      </c>
      <c r="R540" t="s">
        <v>47</v>
      </c>
      <c r="S540" t="s">
        <v>47</v>
      </c>
      <c r="T540" t="s">
        <v>47</v>
      </c>
      <c r="U540" t="s">
        <v>46</v>
      </c>
      <c r="V540" t="s">
        <v>92</v>
      </c>
      <c r="W540" t="s">
        <v>46</v>
      </c>
      <c r="X540" t="s">
        <v>47</v>
      </c>
      <c r="Y540" t="s">
        <v>47</v>
      </c>
      <c r="Z540" t="s">
        <v>47</v>
      </c>
      <c r="AA540" t="s">
        <v>46</v>
      </c>
      <c r="AB540" t="s">
        <v>47</v>
      </c>
      <c r="AC540" t="s">
        <v>47</v>
      </c>
      <c r="AD540" t="s">
        <v>47</v>
      </c>
      <c r="AE540" t="s">
        <v>47</v>
      </c>
      <c r="AF540" t="s">
        <v>47</v>
      </c>
      <c r="AG540" t="s">
        <v>52</v>
      </c>
      <c r="AH540" t="s">
        <v>53</v>
      </c>
      <c r="AI540" t="s">
        <v>65</v>
      </c>
      <c r="AJ540">
        <v>2</v>
      </c>
      <c r="AK540" t="s">
        <v>47</v>
      </c>
      <c r="AL540" t="s">
        <v>76</v>
      </c>
      <c r="AM540" t="s">
        <v>103</v>
      </c>
      <c r="AN540">
        <v>61</v>
      </c>
      <c r="AO540" t="s">
        <v>46</v>
      </c>
    </row>
    <row r="541" spans="1:41">
      <c r="A541" t="s">
        <v>693</v>
      </c>
      <c r="B541">
        <v>2015</v>
      </c>
      <c r="C541" s="1">
        <v>42054</v>
      </c>
      <c r="D541" t="s">
        <v>110</v>
      </c>
      <c r="E541" t="s">
        <v>116</v>
      </c>
      <c r="F541">
        <v>69</v>
      </c>
      <c r="G541" t="s">
        <v>60</v>
      </c>
      <c r="H541" t="s">
        <v>45</v>
      </c>
      <c r="I541">
        <v>20</v>
      </c>
      <c r="J541">
        <v>23</v>
      </c>
      <c r="K541" t="s">
        <v>47</v>
      </c>
      <c r="L541" t="s">
        <v>47</v>
      </c>
      <c r="M541" t="s">
        <v>47</v>
      </c>
      <c r="N541" t="s">
        <v>62</v>
      </c>
      <c r="O541" t="s">
        <v>49</v>
      </c>
      <c r="P541">
        <v>25.8</v>
      </c>
      <c r="Q541" t="s">
        <v>62</v>
      </c>
      <c r="R541" t="s">
        <v>47</v>
      </c>
      <c r="S541" t="s">
        <v>47</v>
      </c>
      <c r="T541" t="s">
        <v>47</v>
      </c>
      <c r="U541" t="s">
        <v>47</v>
      </c>
      <c r="V541" t="s">
        <v>193</v>
      </c>
      <c r="W541" t="s">
        <v>46</v>
      </c>
      <c r="X541" t="s">
        <v>46</v>
      </c>
      <c r="Y541" t="s">
        <v>46</v>
      </c>
      <c r="Z541" t="s">
        <v>47</v>
      </c>
      <c r="AA541" t="s">
        <v>46</v>
      </c>
      <c r="AB541" t="s">
        <v>46</v>
      </c>
      <c r="AC541" t="s">
        <v>47</v>
      </c>
      <c r="AD541" t="s">
        <v>46</v>
      </c>
      <c r="AE541" t="s">
        <v>47</v>
      </c>
      <c r="AF541" t="s">
        <v>47</v>
      </c>
      <c r="AG541" t="s">
        <v>121</v>
      </c>
      <c r="AH541" t="s">
        <v>122</v>
      </c>
      <c r="AI541" t="s">
        <v>80</v>
      </c>
      <c r="AJ541">
        <v>8.8000000000000007</v>
      </c>
      <c r="AK541" t="s">
        <v>47</v>
      </c>
      <c r="AL541" t="s">
        <v>100</v>
      </c>
      <c r="AM541" t="s">
        <v>118</v>
      </c>
      <c r="AN541">
        <v>26</v>
      </c>
      <c r="AO541" t="s">
        <v>47</v>
      </c>
    </row>
    <row r="542" spans="1:41">
      <c r="A542" t="s">
        <v>694</v>
      </c>
      <c r="B542">
        <v>2021</v>
      </c>
      <c r="C542" s="1">
        <v>44291</v>
      </c>
      <c r="D542" t="s">
        <v>98</v>
      </c>
      <c r="E542" t="s">
        <v>202</v>
      </c>
      <c r="F542">
        <v>54</v>
      </c>
      <c r="G542" t="s">
        <v>60</v>
      </c>
      <c r="H542" t="s">
        <v>70</v>
      </c>
      <c r="I542">
        <v>0</v>
      </c>
      <c r="J542">
        <v>0</v>
      </c>
      <c r="K542" t="s">
        <v>47</v>
      </c>
      <c r="L542" t="s">
        <v>47</v>
      </c>
      <c r="M542" t="s">
        <v>47</v>
      </c>
      <c r="N542" t="s">
        <v>62</v>
      </c>
      <c r="O542" t="s">
        <v>49</v>
      </c>
      <c r="P542">
        <v>16.8</v>
      </c>
      <c r="Q542" t="s">
        <v>50</v>
      </c>
      <c r="R542" t="s">
        <v>47</v>
      </c>
      <c r="S542" t="s">
        <v>47</v>
      </c>
      <c r="T542" t="s">
        <v>47</v>
      </c>
      <c r="U542" t="s">
        <v>47</v>
      </c>
      <c r="V542" t="s">
        <v>86</v>
      </c>
      <c r="W542" t="s">
        <v>47</v>
      </c>
      <c r="X542" t="s">
        <v>46</v>
      </c>
      <c r="Y542" t="s">
        <v>46</v>
      </c>
      <c r="Z542" t="s">
        <v>47</v>
      </c>
      <c r="AA542" t="s">
        <v>47</v>
      </c>
      <c r="AB542" t="s">
        <v>47</v>
      </c>
      <c r="AC542" t="s">
        <v>47</v>
      </c>
      <c r="AD542" t="s">
        <v>47</v>
      </c>
      <c r="AE542" t="s">
        <v>47</v>
      </c>
      <c r="AF542" t="s">
        <v>47</v>
      </c>
      <c r="AG542" t="s">
        <v>52</v>
      </c>
      <c r="AH542" t="s">
        <v>53</v>
      </c>
      <c r="AI542" t="s">
        <v>87</v>
      </c>
      <c r="AJ542">
        <v>4.0999999999999996</v>
      </c>
      <c r="AK542" t="s">
        <v>47</v>
      </c>
      <c r="AL542" t="s">
        <v>100</v>
      </c>
      <c r="AM542" t="s">
        <v>73</v>
      </c>
      <c r="AN542">
        <v>20</v>
      </c>
      <c r="AO542" t="s">
        <v>46</v>
      </c>
    </row>
    <row r="543" spans="1:41">
      <c r="A543" t="s">
        <v>695</v>
      </c>
      <c r="B543">
        <v>2025</v>
      </c>
      <c r="C543" s="1">
        <v>45775</v>
      </c>
      <c r="D543" t="s">
        <v>58</v>
      </c>
      <c r="E543" t="s">
        <v>169</v>
      </c>
      <c r="F543">
        <v>62</v>
      </c>
      <c r="G543" t="s">
        <v>60</v>
      </c>
      <c r="H543" t="s">
        <v>45</v>
      </c>
      <c r="I543">
        <v>34</v>
      </c>
      <c r="J543">
        <v>20</v>
      </c>
      <c r="K543" t="s">
        <v>46</v>
      </c>
      <c r="L543" t="s">
        <v>46</v>
      </c>
      <c r="M543" t="s">
        <v>47</v>
      </c>
      <c r="N543" t="s">
        <v>62</v>
      </c>
      <c r="O543" t="s">
        <v>48</v>
      </c>
      <c r="P543">
        <v>25.4</v>
      </c>
      <c r="Q543" t="s">
        <v>48</v>
      </c>
      <c r="R543" t="s">
        <v>46</v>
      </c>
      <c r="S543" t="s">
        <v>47</v>
      </c>
      <c r="T543" t="s">
        <v>47</v>
      </c>
      <c r="U543" t="s">
        <v>47</v>
      </c>
      <c r="V543" t="s">
        <v>51</v>
      </c>
      <c r="W543" t="s">
        <v>46</v>
      </c>
      <c r="X543" t="s">
        <v>47</v>
      </c>
      <c r="Y543" t="s">
        <v>46</v>
      </c>
      <c r="Z543" t="s">
        <v>46</v>
      </c>
      <c r="AA543" t="s">
        <v>47</v>
      </c>
      <c r="AB543" t="s">
        <v>47</v>
      </c>
      <c r="AC543" t="s">
        <v>46</v>
      </c>
      <c r="AD543" t="s">
        <v>47</v>
      </c>
      <c r="AE543" t="s">
        <v>46</v>
      </c>
      <c r="AF543" t="s">
        <v>46</v>
      </c>
      <c r="AG543" t="s">
        <v>52</v>
      </c>
      <c r="AH543" t="s">
        <v>71</v>
      </c>
      <c r="AI543" t="s">
        <v>54</v>
      </c>
      <c r="AJ543">
        <v>8.5</v>
      </c>
      <c r="AK543" t="s">
        <v>46</v>
      </c>
      <c r="AL543" t="s">
        <v>100</v>
      </c>
      <c r="AM543" t="s">
        <v>77</v>
      </c>
      <c r="AN543">
        <v>1</v>
      </c>
      <c r="AO543" t="s">
        <v>47</v>
      </c>
    </row>
    <row r="544" spans="1:41">
      <c r="A544" t="s">
        <v>696</v>
      </c>
      <c r="B544">
        <v>2021</v>
      </c>
      <c r="C544" s="1">
        <v>44375</v>
      </c>
      <c r="D544" t="s">
        <v>58</v>
      </c>
      <c r="E544" t="s">
        <v>220</v>
      </c>
      <c r="F544">
        <v>79</v>
      </c>
      <c r="G544" t="s">
        <v>60</v>
      </c>
      <c r="H544" t="s">
        <v>70</v>
      </c>
      <c r="I544">
        <v>0</v>
      </c>
      <c r="J544">
        <v>0</v>
      </c>
      <c r="K544" t="s">
        <v>46</v>
      </c>
      <c r="L544" t="s">
        <v>46</v>
      </c>
      <c r="M544" t="s">
        <v>47</v>
      </c>
      <c r="N544" t="s">
        <v>50</v>
      </c>
      <c r="O544" t="s">
        <v>48</v>
      </c>
      <c r="P544">
        <v>24.2</v>
      </c>
      <c r="Q544" t="s">
        <v>62</v>
      </c>
      <c r="R544" t="s">
        <v>47</v>
      </c>
      <c r="S544" t="s">
        <v>47</v>
      </c>
      <c r="T544" t="s">
        <v>47</v>
      </c>
      <c r="U544" t="s">
        <v>47</v>
      </c>
      <c r="V544" t="s">
        <v>51</v>
      </c>
      <c r="W544" t="s">
        <v>47</v>
      </c>
      <c r="X544" t="s">
        <v>47</v>
      </c>
      <c r="Y544" t="s">
        <v>47</v>
      </c>
      <c r="Z544" t="s">
        <v>47</v>
      </c>
      <c r="AA544" t="s">
        <v>46</v>
      </c>
      <c r="AB544" t="s">
        <v>47</v>
      </c>
      <c r="AC544" t="s">
        <v>47</v>
      </c>
      <c r="AD544" t="s">
        <v>46</v>
      </c>
      <c r="AE544" t="s">
        <v>47</v>
      </c>
      <c r="AF544" t="s">
        <v>47</v>
      </c>
      <c r="AG544" t="s">
        <v>121</v>
      </c>
      <c r="AH544" t="s">
        <v>122</v>
      </c>
      <c r="AI544" t="s">
        <v>87</v>
      </c>
      <c r="AJ544">
        <v>3.6</v>
      </c>
      <c r="AK544" t="s">
        <v>47</v>
      </c>
      <c r="AL544" t="s">
        <v>76</v>
      </c>
      <c r="AM544" t="s">
        <v>77</v>
      </c>
      <c r="AN544">
        <v>16</v>
      </c>
      <c r="AO544" t="s">
        <v>46</v>
      </c>
    </row>
    <row r="545" spans="1:41">
      <c r="A545" t="s">
        <v>697</v>
      </c>
      <c r="B545">
        <v>2016</v>
      </c>
      <c r="C545" s="1">
        <v>42525</v>
      </c>
      <c r="D545" t="s">
        <v>110</v>
      </c>
      <c r="E545" t="s">
        <v>410</v>
      </c>
      <c r="F545">
        <v>70</v>
      </c>
      <c r="G545" t="s">
        <v>60</v>
      </c>
      <c r="H545" t="s">
        <v>45</v>
      </c>
      <c r="I545">
        <v>38</v>
      </c>
      <c r="J545">
        <v>42</v>
      </c>
      <c r="K545" t="s">
        <v>47</v>
      </c>
      <c r="L545" t="s">
        <v>46</v>
      </c>
      <c r="M545" t="s">
        <v>47</v>
      </c>
      <c r="N545" t="s">
        <v>62</v>
      </c>
      <c r="O545" t="s">
        <v>48</v>
      </c>
      <c r="P545">
        <v>28.3</v>
      </c>
      <c r="Q545" t="s">
        <v>48</v>
      </c>
      <c r="R545" t="s">
        <v>46</v>
      </c>
      <c r="S545" t="s">
        <v>47</v>
      </c>
      <c r="T545" t="s">
        <v>47</v>
      </c>
      <c r="U545" t="s">
        <v>47</v>
      </c>
      <c r="V545" t="s">
        <v>151</v>
      </c>
      <c r="W545" t="s">
        <v>46</v>
      </c>
      <c r="X545" t="s">
        <v>46</v>
      </c>
      <c r="Y545" t="s">
        <v>46</v>
      </c>
      <c r="Z545" t="s">
        <v>46</v>
      </c>
      <c r="AA545" t="s">
        <v>46</v>
      </c>
      <c r="AB545" t="s">
        <v>46</v>
      </c>
      <c r="AC545" t="s">
        <v>47</v>
      </c>
      <c r="AD545" t="s">
        <v>47</v>
      </c>
      <c r="AE545" t="s">
        <v>47</v>
      </c>
      <c r="AF545" t="s">
        <v>47</v>
      </c>
      <c r="AG545" t="s">
        <v>52</v>
      </c>
      <c r="AH545" t="s">
        <v>53</v>
      </c>
      <c r="AI545" t="s">
        <v>80</v>
      </c>
      <c r="AJ545">
        <v>5.2</v>
      </c>
      <c r="AK545" t="s">
        <v>47</v>
      </c>
      <c r="AL545" t="s">
        <v>81</v>
      </c>
      <c r="AM545" t="s">
        <v>77</v>
      </c>
      <c r="AN545">
        <v>18</v>
      </c>
      <c r="AO545" t="s">
        <v>47</v>
      </c>
    </row>
    <row r="546" spans="1:41">
      <c r="A546" t="s">
        <v>698</v>
      </c>
      <c r="B546">
        <v>2024</v>
      </c>
      <c r="C546" s="1">
        <v>45573</v>
      </c>
      <c r="D546" t="s">
        <v>84</v>
      </c>
      <c r="E546" t="s">
        <v>102</v>
      </c>
      <c r="F546">
        <v>71</v>
      </c>
      <c r="G546" t="s">
        <v>60</v>
      </c>
      <c r="H546" t="s">
        <v>45</v>
      </c>
      <c r="I546">
        <v>30</v>
      </c>
      <c r="J546">
        <v>22</v>
      </c>
      <c r="K546" t="s">
        <v>47</v>
      </c>
      <c r="L546" t="s">
        <v>47</v>
      </c>
      <c r="M546" t="s">
        <v>47</v>
      </c>
      <c r="N546" t="s">
        <v>48</v>
      </c>
      <c r="O546" t="s">
        <v>63</v>
      </c>
      <c r="P546">
        <v>23.8</v>
      </c>
      <c r="Q546" t="s">
        <v>48</v>
      </c>
      <c r="R546" t="s">
        <v>47</v>
      </c>
      <c r="S546" t="s">
        <v>47</v>
      </c>
      <c r="T546" t="s">
        <v>47</v>
      </c>
      <c r="U546" t="s">
        <v>47</v>
      </c>
      <c r="V546" t="s">
        <v>86</v>
      </c>
      <c r="W546" t="s">
        <v>46</v>
      </c>
      <c r="X546" t="s">
        <v>46</v>
      </c>
      <c r="Y546" t="s">
        <v>46</v>
      </c>
      <c r="Z546" t="s">
        <v>47</v>
      </c>
      <c r="AA546" t="s">
        <v>47</v>
      </c>
      <c r="AB546" t="s">
        <v>47</v>
      </c>
      <c r="AC546" t="s">
        <v>46</v>
      </c>
      <c r="AD546" t="s">
        <v>47</v>
      </c>
      <c r="AE546" t="s">
        <v>47</v>
      </c>
      <c r="AF546" t="s">
        <v>47</v>
      </c>
      <c r="AG546" t="s">
        <v>52</v>
      </c>
      <c r="AH546" t="s">
        <v>53</v>
      </c>
      <c r="AI546" t="s">
        <v>87</v>
      </c>
      <c r="AJ546">
        <v>2</v>
      </c>
      <c r="AK546" t="s">
        <v>47</v>
      </c>
      <c r="AL546" t="s">
        <v>81</v>
      </c>
      <c r="AM546" t="s">
        <v>77</v>
      </c>
      <c r="AN546">
        <v>36</v>
      </c>
      <c r="AO546" t="s">
        <v>47</v>
      </c>
    </row>
    <row r="547" spans="1:41">
      <c r="A547" t="s">
        <v>699</v>
      </c>
      <c r="B547">
        <v>2020</v>
      </c>
      <c r="C547" s="1">
        <v>44099</v>
      </c>
      <c r="D547" t="s">
        <v>58</v>
      </c>
      <c r="E547" t="s">
        <v>163</v>
      </c>
      <c r="F547">
        <v>62</v>
      </c>
      <c r="G547" t="s">
        <v>60</v>
      </c>
      <c r="H547" t="s">
        <v>70</v>
      </c>
      <c r="I547">
        <v>0</v>
      </c>
      <c r="J547">
        <v>0</v>
      </c>
      <c r="K547" t="s">
        <v>46</v>
      </c>
      <c r="L547" t="s">
        <v>47</v>
      </c>
      <c r="M547" t="s">
        <v>47</v>
      </c>
      <c r="N547" t="s">
        <v>48</v>
      </c>
      <c r="O547" t="s">
        <v>49</v>
      </c>
      <c r="P547">
        <v>28</v>
      </c>
      <c r="Q547" t="s">
        <v>50</v>
      </c>
      <c r="R547" t="s">
        <v>47</v>
      </c>
      <c r="S547" t="s">
        <v>47</v>
      </c>
      <c r="T547" t="s">
        <v>47</v>
      </c>
      <c r="U547" t="s">
        <v>47</v>
      </c>
      <c r="V547" t="s">
        <v>51</v>
      </c>
      <c r="W547" t="s">
        <v>47</v>
      </c>
      <c r="X547" t="s">
        <v>47</v>
      </c>
      <c r="Y547" t="s">
        <v>47</v>
      </c>
      <c r="Z547" t="s">
        <v>46</v>
      </c>
      <c r="AA547" t="s">
        <v>46</v>
      </c>
      <c r="AB547" t="s">
        <v>47</v>
      </c>
      <c r="AC547" t="s">
        <v>47</v>
      </c>
      <c r="AD547" t="s">
        <v>47</v>
      </c>
      <c r="AE547" t="s">
        <v>46</v>
      </c>
      <c r="AF547" t="s">
        <v>47</v>
      </c>
      <c r="AG547" t="s">
        <v>52</v>
      </c>
      <c r="AH547" t="s">
        <v>53</v>
      </c>
      <c r="AI547" t="s">
        <v>65</v>
      </c>
      <c r="AJ547">
        <v>1.7</v>
      </c>
      <c r="AK547" t="s">
        <v>47</v>
      </c>
      <c r="AL547" t="s">
        <v>72</v>
      </c>
      <c r="AM547" t="s">
        <v>67</v>
      </c>
      <c r="AN547">
        <v>57</v>
      </c>
      <c r="AO547" t="s">
        <v>46</v>
      </c>
    </row>
    <row r="548" spans="1:41">
      <c r="A548" t="s">
        <v>700</v>
      </c>
      <c r="B548">
        <v>2022</v>
      </c>
      <c r="C548" s="1">
        <v>44856</v>
      </c>
      <c r="D548" t="s">
        <v>84</v>
      </c>
      <c r="E548" t="s">
        <v>89</v>
      </c>
      <c r="F548">
        <v>69</v>
      </c>
      <c r="G548" t="s">
        <v>60</v>
      </c>
      <c r="H548" t="s">
        <v>70</v>
      </c>
      <c r="I548">
        <v>0</v>
      </c>
      <c r="J548">
        <v>0</v>
      </c>
      <c r="K548" t="s">
        <v>46</v>
      </c>
      <c r="L548" t="s">
        <v>47</v>
      </c>
      <c r="M548" t="s">
        <v>47</v>
      </c>
      <c r="N548" t="s">
        <v>48</v>
      </c>
      <c r="O548" t="s">
        <v>48</v>
      </c>
      <c r="P548">
        <v>22.9</v>
      </c>
      <c r="Q548" t="s">
        <v>48</v>
      </c>
      <c r="R548" t="s">
        <v>47</v>
      </c>
      <c r="S548" t="s">
        <v>47</v>
      </c>
      <c r="T548" t="s">
        <v>47</v>
      </c>
      <c r="U548" t="s">
        <v>47</v>
      </c>
      <c r="V548" t="s">
        <v>51</v>
      </c>
      <c r="W548" t="s">
        <v>47</v>
      </c>
      <c r="X548" t="s">
        <v>47</v>
      </c>
      <c r="Y548" t="s">
        <v>47</v>
      </c>
      <c r="Z548" t="s">
        <v>46</v>
      </c>
      <c r="AA548" t="s">
        <v>46</v>
      </c>
      <c r="AB548" t="s">
        <v>47</v>
      </c>
      <c r="AC548" t="s">
        <v>47</v>
      </c>
      <c r="AD548" t="s">
        <v>47</v>
      </c>
      <c r="AE548" t="s">
        <v>47</v>
      </c>
      <c r="AF548" t="s">
        <v>47</v>
      </c>
      <c r="AG548" t="s">
        <v>52</v>
      </c>
      <c r="AH548" t="s">
        <v>53</v>
      </c>
      <c r="AI548" t="s">
        <v>65</v>
      </c>
      <c r="AJ548">
        <v>0.9</v>
      </c>
      <c r="AK548" t="s">
        <v>47</v>
      </c>
      <c r="AL548" t="s">
        <v>72</v>
      </c>
      <c r="AM548" t="s">
        <v>73</v>
      </c>
      <c r="AN548">
        <v>109</v>
      </c>
      <c r="AO548" t="s">
        <v>46</v>
      </c>
    </row>
    <row r="549" spans="1:41">
      <c r="A549" t="s">
        <v>701</v>
      </c>
      <c r="B549">
        <v>2021</v>
      </c>
      <c r="C549" s="1">
        <v>44216</v>
      </c>
      <c r="D549" t="s">
        <v>110</v>
      </c>
      <c r="E549" t="s">
        <v>410</v>
      </c>
      <c r="F549">
        <v>38</v>
      </c>
      <c r="G549" t="s">
        <v>44</v>
      </c>
      <c r="H549" t="s">
        <v>70</v>
      </c>
      <c r="I549">
        <v>0</v>
      </c>
      <c r="J549">
        <v>0</v>
      </c>
      <c r="K549" t="s">
        <v>47</v>
      </c>
      <c r="L549" t="s">
        <v>47</v>
      </c>
      <c r="M549" t="s">
        <v>47</v>
      </c>
      <c r="N549" t="s">
        <v>48</v>
      </c>
      <c r="O549" t="s">
        <v>49</v>
      </c>
      <c r="P549">
        <v>28.7</v>
      </c>
      <c r="Q549" t="s">
        <v>48</v>
      </c>
      <c r="R549" t="s">
        <v>47</v>
      </c>
      <c r="S549" t="s">
        <v>47</v>
      </c>
      <c r="T549" t="s">
        <v>47</v>
      </c>
      <c r="U549" t="s">
        <v>47</v>
      </c>
      <c r="V549" t="s">
        <v>92</v>
      </c>
      <c r="W549" t="s">
        <v>47</v>
      </c>
      <c r="X549" t="s">
        <v>47</v>
      </c>
      <c r="Y549" t="s">
        <v>47</v>
      </c>
      <c r="Z549" t="s">
        <v>47</v>
      </c>
      <c r="AA549" t="s">
        <v>46</v>
      </c>
      <c r="AB549" t="s">
        <v>47</v>
      </c>
      <c r="AC549" t="s">
        <v>47</v>
      </c>
      <c r="AD549" t="s">
        <v>47</v>
      </c>
      <c r="AE549" t="s">
        <v>47</v>
      </c>
      <c r="AF549" t="s">
        <v>47</v>
      </c>
      <c r="AG549" t="s">
        <v>52</v>
      </c>
      <c r="AH549" t="s">
        <v>53</v>
      </c>
      <c r="AI549" t="s">
        <v>80</v>
      </c>
      <c r="AJ549">
        <v>7.6</v>
      </c>
      <c r="AK549" t="s">
        <v>47</v>
      </c>
      <c r="AL549" t="s">
        <v>76</v>
      </c>
      <c r="AM549" t="s">
        <v>56</v>
      </c>
      <c r="AN549">
        <v>16</v>
      </c>
      <c r="AO549" t="s">
        <v>47</v>
      </c>
    </row>
    <row r="550" spans="1:41">
      <c r="A550" t="s">
        <v>702</v>
      </c>
      <c r="B550">
        <v>2025</v>
      </c>
      <c r="C550" s="1">
        <v>45663</v>
      </c>
      <c r="D550" t="s">
        <v>58</v>
      </c>
      <c r="E550" t="s">
        <v>134</v>
      </c>
      <c r="F550">
        <v>66</v>
      </c>
      <c r="G550" t="s">
        <v>60</v>
      </c>
      <c r="H550" t="s">
        <v>45</v>
      </c>
      <c r="I550">
        <v>30</v>
      </c>
      <c r="J550">
        <v>29</v>
      </c>
      <c r="K550" t="s">
        <v>47</v>
      </c>
      <c r="L550" t="s">
        <v>47</v>
      </c>
      <c r="M550" t="s">
        <v>47</v>
      </c>
      <c r="N550" t="s">
        <v>48</v>
      </c>
      <c r="O550" t="s">
        <v>49</v>
      </c>
      <c r="P550">
        <v>27.9</v>
      </c>
      <c r="Q550" t="s">
        <v>48</v>
      </c>
      <c r="R550" t="s">
        <v>47</v>
      </c>
      <c r="S550" t="s">
        <v>47</v>
      </c>
      <c r="T550" t="s">
        <v>47</v>
      </c>
      <c r="U550" t="s">
        <v>47</v>
      </c>
      <c r="V550" t="s">
        <v>51</v>
      </c>
      <c r="W550" t="s">
        <v>46</v>
      </c>
      <c r="X550" t="s">
        <v>47</v>
      </c>
      <c r="Y550" t="s">
        <v>47</v>
      </c>
      <c r="Z550" t="s">
        <v>47</v>
      </c>
      <c r="AA550" t="s">
        <v>47</v>
      </c>
      <c r="AB550" t="s">
        <v>46</v>
      </c>
      <c r="AC550" t="s">
        <v>46</v>
      </c>
      <c r="AD550" t="s">
        <v>47</v>
      </c>
      <c r="AE550" t="s">
        <v>47</v>
      </c>
      <c r="AF550" t="s">
        <v>47</v>
      </c>
      <c r="AG550" t="s">
        <v>52</v>
      </c>
      <c r="AH550" t="s">
        <v>53</v>
      </c>
      <c r="AI550" t="s">
        <v>54</v>
      </c>
      <c r="AJ550">
        <v>7.3</v>
      </c>
      <c r="AK550" t="s">
        <v>46</v>
      </c>
      <c r="AL550" t="s">
        <v>66</v>
      </c>
      <c r="AM550" t="s">
        <v>77</v>
      </c>
      <c r="AN550">
        <v>12</v>
      </c>
      <c r="AO550" t="s">
        <v>47</v>
      </c>
    </row>
    <row r="551" spans="1:41">
      <c r="A551" t="s">
        <v>703</v>
      </c>
      <c r="B551">
        <v>2022</v>
      </c>
      <c r="C551" s="1">
        <v>44920</v>
      </c>
      <c r="D551" t="s">
        <v>95</v>
      </c>
      <c r="E551" t="s">
        <v>130</v>
      </c>
      <c r="F551">
        <v>79</v>
      </c>
      <c r="G551" t="s">
        <v>60</v>
      </c>
      <c r="H551" t="s">
        <v>45</v>
      </c>
      <c r="I551">
        <v>23</v>
      </c>
      <c r="J551">
        <v>39</v>
      </c>
      <c r="K551" t="s">
        <v>46</v>
      </c>
      <c r="L551" t="s">
        <v>46</v>
      </c>
      <c r="M551" t="s">
        <v>46</v>
      </c>
      <c r="N551" t="s">
        <v>48</v>
      </c>
      <c r="O551" t="s">
        <v>49</v>
      </c>
      <c r="P551">
        <v>30.9</v>
      </c>
      <c r="Q551" t="s">
        <v>62</v>
      </c>
      <c r="R551" t="s">
        <v>47</v>
      </c>
      <c r="S551" t="s">
        <v>47</v>
      </c>
      <c r="T551" t="s">
        <v>47</v>
      </c>
      <c r="U551" t="s">
        <v>47</v>
      </c>
      <c r="V551" t="s">
        <v>51</v>
      </c>
      <c r="W551" t="s">
        <v>47</v>
      </c>
      <c r="X551" t="s">
        <v>46</v>
      </c>
      <c r="Y551" t="s">
        <v>46</v>
      </c>
      <c r="Z551" t="s">
        <v>47</v>
      </c>
      <c r="AA551" t="s">
        <v>47</v>
      </c>
      <c r="AB551" t="s">
        <v>46</v>
      </c>
      <c r="AC551" t="s">
        <v>47</v>
      </c>
      <c r="AD551" t="s">
        <v>47</v>
      </c>
      <c r="AE551" t="s">
        <v>47</v>
      </c>
      <c r="AF551" t="s">
        <v>47</v>
      </c>
      <c r="AG551" t="s">
        <v>52</v>
      </c>
      <c r="AH551" t="s">
        <v>71</v>
      </c>
      <c r="AI551" t="s">
        <v>80</v>
      </c>
      <c r="AJ551">
        <v>4</v>
      </c>
      <c r="AK551" t="s">
        <v>47</v>
      </c>
      <c r="AL551" t="s">
        <v>100</v>
      </c>
      <c r="AM551" t="s">
        <v>82</v>
      </c>
      <c r="AN551">
        <v>29</v>
      </c>
      <c r="AO551" t="s">
        <v>47</v>
      </c>
    </row>
    <row r="552" spans="1:41">
      <c r="A552" t="s">
        <v>704</v>
      </c>
      <c r="B552">
        <v>2025</v>
      </c>
      <c r="C552" s="1">
        <v>45820</v>
      </c>
      <c r="D552" t="s">
        <v>98</v>
      </c>
      <c r="E552" t="s">
        <v>99</v>
      </c>
      <c r="F552">
        <v>49</v>
      </c>
      <c r="G552" t="s">
        <v>60</v>
      </c>
      <c r="H552" t="s">
        <v>70</v>
      </c>
      <c r="I552">
        <v>0</v>
      </c>
      <c r="J552">
        <v>0</v>
      </c>
      <c r="K552" t="s">
        <v>47</v>
      </c>
      <c r="L552" t="s">
        <v>47</v>
      </c>
      <c r="M552" t="s">
        <v>47</v>
      </c>
      <c r="N552" t="s">
        <v>48</v>
      </c>
      <c r="O552" t="s">
        <v>48</v>
      </c>
      <c r="P552">
        <v>27.1</v>
      </c>
      <c r="Q552" t="s">
        <v>50</v>
      </c>
      <c r="R552" t="s">
        <v>47</v>
      </c>
      <c r="S552" t="s">
        <v>47</v>
      </c>
      <c r="T552" t="s">
        <v>47</v>
      </c>
      <c r="U552" t="s">
        <v>47</v>
      </c>
      <c r="V552" t="s">
        <v>117</v>
      </c>
      <c r="W552" t="s">
        <v>47</v>
      </c>
      <c r="X552" t="s">
        <v>46</v>
      </c>
      <c r="Y552" t="s">
        <v>47</v>
      </c>
      <c r="Z552" t="s">
        <v>46</v>
      </c>
      <c r="AA552" t="s">
        <v>47</v>
      </c>
      <c r="AB552" t="s">
        <v>47</v>
      </c>
      <c r="AC552" t="s">
        <v>47</v>
      </c>
      <c r="AD552" t="s">
        <v>47</v>
      </c>
      <c r="AE552" t="s">
        <v>47</v>
      </c>
      <c r="AF552" t="s">
        <v>47</v>
      </c>
      <c r="AG552" t="s">
        <v>52</v>
      </c>
      <c r="AH552" t="s">
        <v>90</v>
      </c>
      <c r="AI552" t="s">
        <v>54</v>
      </c>
      <c r="AJ552">
        <v>8.3000000000000007</v>
      </c>
      <c r="AK552" t="s">
        <v>46</v>
      </c>
      <c r="AL552" t="s">
        <v>66</v>
      </c>
      <c r="AM552" t="s">
        <v>103</v>
      </c>
      <c r="AN552">
        <v>3</v>
      </c>
      <c r="AO552" t="s">
        <v>47</v>
      </c>
    </row>
    <row r="553" spans="1:41">
      <c r="A553" t="s">
        <v>705</v>
      </c>
      <c r="B553">
        <v>2019</v>
      </c>
      <c r="C553" s="1">
        <v>43552</v>
      </c>
      <c r="D553" t="s">
        <v>110</v>
      </c>
      <c r="E553" t="s">
        <v>294</v>
      </c>
      <c r="F553">
        <v>53</v>
      </c>
      <c r="G553" t="s">
        <v>44</v>
      </c>
      <c r="H553" t="s">
        <v>70</v>
      </c>
      <c r="I553">
        <v>0</v>
      </c>
      <c r="J553">
        <v>0</v>
      </c>
      <c r="K553" t="s">
        <v>46</v>
      </c>
      <c r="L553" t="s">
        <v>47</v>
      </c>
      <c r="M553" t="s">
        <v>47</v>
      </c>
      <c r="N553" t="s">
        <v>62</v>
      </c>
      <c r="O553" t="s">
        <v>63</v>
      </c>
      <c r="P553">
        <v>26.9</v>
      </c>
      <c r="Q553" t="s">
        <v>50</v>
      </c>
      <c r="R553" t="s">
        <v>47</v>
      </c>
      <c r="S553" t="s">
        <v>47</v>
      </c>
      <c r="T553" t="s">
        <v>47</v>
      </c>
      <c r="U553" t="s">
        <v>47</v>
      </c>
      <c r="V553" t="s">
        <v>86</v>
      </c>
      <c r="W553" t="s">
        <v>47</v>
      </c>
      <c r="X553" t="s">
        <v>47</v>
      </c>
      <c r="Y553" t="s">
        <v>47</v>
      </c>
      <c r="Z553" t="s">
        <v>47</v>
      </c>
      <c r="AA553" t="s">
        <v>46</v>
      </c>
      <c r="AB553" t="s">
        <v>47</v>
      </c>
      <c r="AC553" t="s">
        <v>47</v>
      </c>
      <c r="AD553" t="s">
        <v>46</v>
      </c>
      <c r="AE553" t="s">
        <v>47</v>
      </c>
      <c r="AF553" t="s">
        <v>47</v>
      </c>
      <c r="AG553" t="s">
        <v>121</v>
      </c>
      <c r="AH553" t="s">
        <v>122</v>
      </c>
      <c r="AI553" t="s">
        <v>65</v>
      </c>
      <c r="AJ553">
        <v>2.1</v>
      </c>
      <c r="AK553" t="s">
        <v>47</v>
      </c>
      <c r="AL553" t="s">
        <v>72</v>
      </c>
      <c r="AM553" t="s">
        <v>118</v>
      </c>
      <c r="AN553">
        <v>98</v>
      </c>
      <c r="AO553" t="s">
        <v>46</v>
      </c>
    </row>
    <row r="554" spans="1:41">
      <c r="A554" t="s">
        <v>706</v>
      </c>
      <c r="B554">
        <v>2022</v>
      </c>
      <c r="C554" s="1">
        <v>44856</v>
      </c>
      <c r="D554" t="s">
        <v>98</v>
      </c>
      <c r="E554" t="s">
        <v>249</v>
      </c>
      <c r="F554">
        <v>61</v>
      </c>
      <c r="G554" t="s">
        <v>60</v>
      </c>
      <c r="H554" t="s">
        <v>70</v>
      </c>
      <c r="I554">
        <v>0</v>
      </c>
      <c r="J554">
        <v>0</v>
      </c>
      <c r="K554" t="s">
        <v>46</v>
      </c>
      <c r="L554" t="s">
        <v>47</v>
      </c>
      <c r="M554" t="s">
        <v>47</v>
      </c>
      <c r="N554" t="s">
        <v>62</v>
      </c>
      <c r="O554" t="s">
        <v>48</v>
      </c>
      <c r="P554">
        <v>28.2</v>
      </c>
      <c r="Q554" t="s">
        <v>62</v>
      </c>
      <c r="R554" t="s">
        <v>46</v>
      </c>
      <c r="S554" t="s">
        <v>47</v>
      </c>
      <c r="T554" t="s">
        <v>47</v>
      </c>
      <c r="U554" t="s">
        <v>47</v>
      </c>
      <c r="V554" t="s">
        <v>92</v>
      </c>
      <c r="W554" t="s">
        <v>47</v>
      </c>
      <c r="X554" t="s">
        <v>47</v>
      </c>
      <c r="Y554" t="s">
        <v>46</v>
      </c>
      <c r="Z554" t="s">
        <v>47</v>
      </c>
      <c r="AA554" t="s">
        <v>46</v>
      </c>
      <c r="AB554" t="s">
        <v>46</v>
      </c>
      <c r="AC554" t="s">
        <v>47</v>
      </c>
      <c r="AD554" t="s">
        <v>46</v>
      </c>
      <c r="AE554" t="s">
        <v>47</v>
      </c>
      <c r="AF554" t="s">
        <v>47</v>
      </c>
      <c r="AG554" t="s">
        <v>52</v>
      </c>
      <c r="AH554" t="s">
        <v>53</v>
      </c>
      <c r="AI554" t="s">
        <v>87</v>
      </c>
      <c r="AJ554">
        <v>6.3</v>
      </c>
      <c r="AK554" t="s">
        <v>47</v>
      </c>
      <c r="AL554" t="s">
        <v>81</v>
      </c>
      <c r="AM554" t="s">
        <v>118</v>
      </c>
      <c r="AN554">
        <v>24</v>
      </c>
      <c r="AO554" t="s">
        <v>46</v>
      </c>
    </row>
    <row r="555" spans="1:41">
      <c r="A555" t="s">
        <v>707</v>
      </c>
      <c r="B555">
        <v>2025</v>
      </c>
      <c r="C555" s="1">
        <v>45693</v>
      </c>
      <c r="D555" t="s">
        <v>42</v>
      </c>
      <c r="E555" t="s">
        <v>43</v>
      </c>
      <c r="F555">
        <v>87</v>
      </c>
      <c r="G555" t="s">
        <v>60</v>
      </c>
      <c r="H555" t="s">
        <v>70</v>
      </c>
      <c r="I555">
        <v>0</v>
      </c>
      <c r="J555">
        <v>0</v>
      </c>
      <c r="K555" t="s">
        <v>47</v>
      </c>
      <c r="L555" t="s">
        <v>47</v>
      </c>
      <c r="M555" t="s">
        <v>47</v>
      </c>
      <c r="N555" t="s">
        <v>62</v>
      </c>
      <c r="O555" t="s">
        <v>48</v>
      </c>
      <c r="P555">
        <v>26.2</v>
      </c>
      <c r="Q555" t="s">
        <v>50</v>
      </c>
      <c r="R555" t="s">
        <v>47</v>
      </c>
      <c r="S555" t="s">
        <v>47</v>
      </c>
      <c r="T555" t="s">
        <v>47</v>
      </c>
      <c r="U555" t="s">
        <v>47</v>
      </c>
      <c r="V555" t="s">
        <v>86</v>
      </c>
      <c r="W555" t="s">
        <v>46</v>
      </c>
      <c r="X555" t="s">
        <v>46</v>
      </c>
      <c r="Y555" t="s">
        <v>47</v>
      </c>
      <c r="Z555" t="s">
        <v>47</v>
      </c>
      <c r="AA555" t="s">
        <v>46</v>
      </c>
      <c r="AB555" t="s">
        <v>47</v>
      </c>
      <c r="AC555" t="s">
        <v>46</v>
      </c>
      <c r="AD555" t="s">
        <v>46</v>
      </c>
      <c r="AE555" t="s">
        <v>47</v>
      </c>
      <c r="AF555" t="s">
        <v>47</v>
      </c>
      <c r="AG555" t="s">
        <v>52</v>
      </c>
      <c r="AH555" t="s">
        <v>53</v>
      </c>
      <c r="AI555" t="s">
        <v>80</v>
      </c>
      <c r="AJ555">
        <v>6.8</v>
      </c>
      <c r="AK555" t="s">
        <v>47</v>
      </c>
      <c r="AL555" t="s">
        <v>81</v>
      </c>
      <c r="AM555" t="s">
        <v>118</v>
      </c>
      <c r="AN555">
        <v>27</v>
      </c>
      <c r="AO555" t="s">
        <v>47</v>
      </c>
    </row>
    <row r="556" spans="1:41">
      <c r="A556" t="s">
        <v>708</v>
      </c>
      <c r="B556">
        <v>2017</v>
      </c>
      <c r="C556" s="1">
        <v>42790</v>
      </c>
      <c r="D556" t="s">
        <v>58</v>
      </c>
      <c r="E556" t="s">
        <v>220</v>
      </c>
      <c r="F556">
        <v>68</v>
      </c>
      <c r="G556" t="s">
        <v>60</v>
      </c>
      <c r="H556" t="s">
        <v>70</v>
      </c>
      <c r="I556">
        <v>0</v>
      </c>
      <c r="J556">
        <v>0</v>
      </c>
      <c r="K556" t="s">
        <v>47</v>
      </c>
      <c r="L556" t="s">
        <v>47</v>
      </c>
      <c r="M556" t="s">
        <v>47</v>
      </c>
      <c r="N556" t="s">
        <v>50</v>
      </c>
      <c r="O556" t="s">
        <v>49</v>
      </c>
      <c r="P556">
        <v>31.4</v>
      </c>
      <c r="Q556" t="s">
        <v>62</v>
      </c>
      <c r="R556" t="s">
        <v>47</v>
      </c>
      <c r="S556" t="s">
        <v>47</v>
      </c>
      <c r="T556" t="s">
        <v>47</v>
      </c>
      <c r="U556" t="s">
        <v>47</v>
      </c>
      <c r="V556" t="s">
        <v>117</v>
      </c>
      <c r="W556" t="s">
        <v>47</v>
      </c>
      <c r="X556" t="s">
        <v>47</v>
      </c>
      <c r="Y556" t="s">
        <v>47</v>
      </c>
      <c r="Z556" t="s">
        <v>47</v>
      </c>
      <c r="AA556" t="s">
        <v>47</v>
      </c>
      <c r="AB556" t="s">
        <v>47</v>
      </c>
      <c r="AC556" t="s">
        <v>47</v>
      </c>
      <c r="AD556" t="s">
        <v>47</v>
      </c>
      <c r="AE556" t="s">
        <v>47</v>
      </c>
      <c r="AF556" t="s">
        <v>47</v>
      </c>
      <c r="AG556" t="s">
        <v>52</v>
      </c>
      <c r="AH556" t="s">
        <v>90</v>
      </c>
      <c r="AI556" t="s">
        <v>65</v>
      </c>
      <c r="AJ556">
        <v>2.2999999999999998</v>
      </c>
      <c r="AK556" t="s">
        <v>47</v>
      </c>
      <c r="AL556" t="s">
        <v>72</v>
      </c>
      <c r="AM556" t="s">
        <v>118</v>
      </c>
      <c r="AN556">
        <v>53</v>
      </c>
      <c r="AO556" t="s">
        <v>47</v>
      </c>
    </row>
    <row r="557" spans="1:41">
      <c r="A557" t="s">
        <v>709</v>
      </c>
      <c r="B557">
        <v>2016</v>
      </c>
      <c r="C557" s="1">
        <v>42473</v>
      </c>
      <c r="D557" t="s">
        <v>42</v>
      </c>
      <c r="E557" t="s">
        <v>79</v>
      </c>
      <c r="F557">
        <v>62</v>
      </c>
      <c r="G557" t="s">
        <v>60</v>
      </c>
      <c r="H557" t="s">
        <v>70</v>
      </c>
      <c r="I557">
        <v>0</v>
      </c>
      <c r="J557">
        <v>0</v>
      </c>
      <c r="K557" t="s">
        <v>46</v>
      </c>
      <c r="L557" t="s">
        <v>47</v>
      </c>
      <c r="M557" t="s">
        <v>46</v>
      </c>
      <c r="N557" t="s">
        <v>48</v>
      </c>
      <c r="O557" t="s">
        <v>49</v>
      </c>
      <c r="P557">
        <v>34.799999999999997</v>
      </c>
      <c r="Q557" t="s">
        <v>62</v>
      </c>
      <c r="R557" t="s">
        <v>47</v>
      </c>
      <c r="S557" t="s">
        <v>47</v>
      </c>
      <c r="T557" t="s">
        <v>47</v>
      </c>
      <c r="U557" t="s">
        <v>47</v>
      </c>
      <c r="V557" t="s">
        <v>64</v>
      </c>
      <c r="W557" t="s">
        <v>47</v>
      </c>
      <c r="X557" t="s">
        <v>46</v>
      </c>
      <c r="Y557" t="s">
        <v>46</v>
      </c>
      <c r="Z557" t="s">
        <v>47</v>
      </c>
      <c r="AA557" t="s">
        <v>47</v>
      </c>
      <c r="AB557" t="s">
        <v>46</v>
      </c>
      <c r="AC557" t="s">
        <v>46</v>
      </c>
      <c r="AD557" t="s">
        <v>46</v>
      </c>
      <c r="AE557" t="s">
        <v>47</v>
      </c>
      <c r="AF557" t="s">
        <v>47</v>
      </c>
      <c r="AG557" t="s">
        <v>52</v>
      </c>
      <c r="AH557" t="s">
        <v>53</v>
      </c>
      <c r="AI557" t="s">
        <v>65</v>
      </c>
      <c r="AJ557">
        <v>2.2999999999999998</v>
      </c>
      <c r="AK557" t="s">
        <v>47</v>
      </c>
      <c r="AL557" t="s">
        <v>76</v>
      </c>
      <c r="AM557" t="s">
        <v>103</v>
      </c>
      <c r="AN557">
        <v>46</v>
      </c>
      <c r="AO557" t="s">
        <v>47</v>
      </c>
    </row>
    <row r="558" spans="1:41">
      <c r="A558" t="s">
        <v>710</v>
      </c>
      <c r="B558">
        <v>2023</v>
      </c>
      <c r="C558" s="1">
        <v>45149</v>
      </c>
      <c r="D558" t="s">
        <v>95</v>
      </c>
      <c r="E558" t="s">
        <v>105</v>
      </c>
      <c r="F558">
        <v>66</v>
      </c>
      <c r="G558" t="s">
        <v>60</v>
      </c>
      <c r="H558" t="s">
        <v>61</v>
      </c>
      <c r="I558">
        <v>17</v>
      </c>
      <c r="J558">
        <v>7</v>
      </c>
      <c r="K558" t="s">
        <v>47</v>
      </c>
      <c r="L558" t="s">
        <v>47</v>
      </c>
      <c r="M558" t="s">
        <v>47</v>
      </c>
      <c r="N558" t="s">
        <v>50</v>
      </c>
      <c r="O558" t="s">
        <v>49</v>
      </c>
      <c r="P558">
        <v>28.7</v>
      </c>
      <c r="Q558" t="s">
        <v>50</v>
      </c>
      <c r="R558" t="s">
        <v>46</v>
      </c>
      <c r="S558" t="s">
        <v>47</v>
      </c>
      <c r="T558" t="s">
        <v>47</v>
      </c>
      <c r="U558" t="s">
        <v>47</v>
      </c>
      <c r="V558" t="s">
        <v>64</v>
      </c>
      <c r="W558" t="s">
        <v>47</v>
      </c>
      <c r="X558" t="s">
        <v>47</v>
      </c>
      <c r="Y558" t="s">
        <v>47</v>
      </c>
      <c r="Z558" t="s">
        <v>47</v>
      </c>
      <c r="AA558" t="s">
        <v>47</v>
      </c>
      <c r="AB558" t="s">
        <v>47</v>
      </c>
      <c r="AC558" t="s">
        <v>47</v>
      </c>
      <c r="AD558" t="s">
        <v>47</v>
      </c>
      <c r="AE558" t="s">
        <v>47</v>
      </c>
      <c r="AF558" t="s">
        <v>46</v>
      </c>
      <c r="AG558" t="s">
        <v>52</v>
      </c>
      <c r="AH558" t="s">
        <v>53</v>
      </c>
      <c r="AI558" t="s">
        <v>80</v>
      </c>
      <c r="AJ558">
        <v>5.6</v>
      </c>
      <c r="AK558" t="s">
        <v>47</v>
      </c>
      <c r="AL558" t="s">
        <v>100</v>
      </c>
      <c r="AM558" t="s">
        <v>82</v>
      </c>
      <c r="AN558">
        <v>22</v>
      </c>
      <c r="AO558" t="s">
        <v>47</v>
      </c>
    </row>
    <row r="559" spans="1:41">
      <c r="A559" t="s">
        <v>711</v>
      </c>
      <c r="B559">
        <v>2019</v>
      </c>
      <c r="C559" s="1">
        <v>43626</v>
      </c>
      <c r="D559" t="s">
        <v>95</v>
      </c>
      <c r="E559" t="s">
        <v>107</v>
      </c>
      <c r="F559">
        <v>55</v>
      </c>
      <c r="G559" t="s">
        <v>60</v>
      </c>
      <c r="H559" t="s">
        <v>70</v>
      </c>
      <c r="I559">
        <v>0</v>
      </c>
      <c r="J559">
        <v>0</v>
      </c>
      <c r="K559" t="s">
        <v>47</v>
      </c>
      <c r="L559" t="s">
        <v>47</v>
      </c>
      <c r="M559" t="s">
        <v>47</v>
      </c>
      <c r="N559" t="s">
        <v>50</v>
      </c>
      <c r="O559" t="s">
        <v>48</v>
      </c>
      <c r="P559">
        <v>20.7</v>
      </c>
      <c r="Q559" t="s">
        <v>50</v>
      </c>
      <c r="R559" t="s">
        <v>47</v>
      </c>
      <c r="S559" t="s">
        <v>47</v>
      </c>
      <c r="T559" t="s">
        <v>46</v>
      </c>
      <c r="U559" t="s">
        <v>47</v>
      </c>
      <c r="V559" t="s">
        <v>86</v>
      </c>
      <c r="W559" t="s">
        <v>46</v>
      </c>
      <c r="X559" t="s">
        <v>47</v>
      </c>
      <c r="Y559" t="s">
        <v>46</v>
      </c>
      <c r="Z559" t="s">
        <v>47</v>
      </c>
      <c r="AA559" t="s">
        <v>47</v>
      </c>
      <c r="AB559" t="s">
        <v>47</v>
      </c>
      <c r="AC559" t="s">
        <v>47</v>
      </c>
      <c r="AD559" t="s">
        <v>47</v>
      </c>
      <c r="AE559" t="s">
        <v>47</v>
      </c>
      <c r="AF559" t="s">
        <v>46</v>
      </c>
      <c r="AG559" t="s">
        <v>121</v>
      </c>
      <c r="AH559" t="s">
        <v>122</v>
      </c>
      <c r="AI559" t="s">
        <v>54</v>
      </c>
      <c r="AJ559">
        <v>8.1999999999999993</v>
      </c>
      <c r="AK559" t="s">
        <v>46</v>
      </c>
      <c r="AL559" t="s">
        <v>100</v>
      </c>
      <c r="AM559" t="s">
        <v>118</v>
      </c>
      <c r="AN559">
        <v>2</v>
      </c>
      <c r="AO559" t="s">
        <v>47</v>
      </c>
    </row>
    <row r="560" spans="1:41">
      <c r="A560" t="s">
        <v>712</v>
      </c>
      <c r="B560">
        <v>2021</v>
      </c>
      <c r="C560" s="1">
        <v>44489</v>
      </c>
      <c r="D560" t="s">
        <v>42</v>
      </c>
      <c r="E560" t="s">
        <v>69</v>
      </c>
      <c r="F560">
        <v>85</v>
      </c>
      <c r="G560" t="s">
        <v>60</v>
      </c>
      <c r="H560" t="s">
        <v>70</v>
      </c>
      <c r="I560">
        <v>0</v>
      </c>
      <c r="J560">
        <v>0</v>
      </c>
      <c r="K560" t="s">
        <v>46</v>
      </c>
      <c r="L560" t="s">
        <v>47</v>
      </c>
      <c r="M560" t="s">
        <v>47</v>
      </c>
      <c r="N560" t="s">
        <v>50</v>
      </c>
      <c r="O560" t="s">
        <v>49</v>
      </c>
      <c r="P560">
        <v>25.1</v>
      </c>
      <c r="Q560" t="s">
        <v>48</v>
      </c>
      <c r="R560" t="s">
        <v>47</v>
      </c>
      <c r="S560" t="s">
        <v>47</v>
      </c>
      <c r="T560" t="s">
        <v>47</v>
      </c>
      <c r="U560" t="s">
        <v>47</v>
      </c>
      <c r="V560" t="s">
        <v>86</v>
      </c>
      <c r="W560" t="s">
        <v>47</v>
      </c>
      <c r="X560" t="s">
        <v>46</v>
      </c>
      <c r="Y560" t="s">
        <v>46</v>
      </c>
      <c r="Z560" t="s">
        <v>47</v>
      </c>
      <c r="AA560" t="s">
        <v>46</v>
      </c>
      <c r="AB560" t="s">
        <v>47</v>
      </c>
      <c r="AC560" t="s">
        <v>47</v>
      </c>
      <c r="AD560" t="s">
        <v>47</v>
      </c>
      <c r="AE560" t="s">
        <v>47</v>
      </c>
      <c r="AF560" t="s">
        <v>47</v>
      </c>
      <c r="AG560" t="s">
        <v>52</v>
      </c>
      <c r="AH560" t="s">
        <v>71</v>
      </c>
      <c r="AI560" t="s">
        <v>54</v>
      </c>
      <c r="AJ560">
        <v>8.3000000000000007</v>
      </c>
      <c r="AK560" t="s">
        <v>46</v>
      </c>
      <c r="AL560" t="s">
        <v>81</v>
      </c>
      <c r="AM560" t="s">
        <v>82</v>
      </c>
      <c r="AN560">
        <v>4</v>
      </c>
      <c r="AO560" t="s">
        <v>47</v>
      </c>
    </row>
    <row r="561" spans="1:41">
      <c r="A561" t="s">
        <v>713</v>
      </c>
      <c r="B561">
        <v>2025</v>
      </c>
      <c r="C561" s="1">
        <v>45662</v>
      </c>
      <c r="D561" t="s">
        <v>98</v>
      </c>
      <c r="E561" t="s">
        <v>465</v>
      </c>
      <c r="F561">
        <v>76</v>
      </c>
      <c r="G561" t="s">
        <v>60</v>
      </c>
      <c r="H561" t="s">
        <v>45</v>
      </c>
      <c r="I561">
        <v>34</v>
      </c>
      <c r="J561">
        <v>34</v>
      </c>
      <c r="K561" t="s">
        <v>46</v>
      </c>
      <c r="L561" t="s">
        <v>46</v>
      </c>
      <c r="M561" t="s">
        <v>47</v>
      </c>
      <c r="N561" t="s">
        <v>50</v>
      </c>
      <c r="O561" t="s">
        <v>49</v>
      </c>
      <c r="P561">
        <v>27.8</v>
      </c>
      <c r="Q561" t="s">
        <v>48</v>
      </c>
      <c r="R561" t="s">
        <v>47</v>
      </c>
      <c r="S561" t="s">
        <v>47</v>
      </c>
      <c r="T561" t="s">
        <v>47</v>
      </c>
      <c r="U561" t="s">
        <v>47</v>
      </c>
      <c r="V561" t="s">
        <v>51</v>
      </c>
      <c r="W561" t="s">
        <v>46</v>
      </c>
      <c r="X561" t="s">
        <v>47</v>
      </c>
      <c r="Y561" t="s">
        <v>47</v>
      </c>
      <c r="Z561" t="s">
        <v>47</v>
      </c>
      <c r="AA561" t="s">
        <v>47</v>
      </c>
      <c r="AB561" t="s">
        <v>46</v>
      </c>
      <c r="AC561" t="s">
        <v>47</v>
      </c>
      <c r="AD561" t="s">
        <v>47</v>
      </c>
      <c r="AE561" t="s">
        <v>47</v>
      </c>
      <c r="AF561" t="s">
        <v>47</v>
      </c>
      <c r="AG561" t="s">
        <v>52</v>
      </c>
      <c r="AH561" t="s">
        <v>53</v>
      </c>
      <c r="AI561" t="s">
        <v>65</v>
      </c>
      <c r="AJ561">
        <v>2.8</v>
      </c>
      <c r="AK561" t="s">
        <v>47</v>
      </c>
      <c r="AL561" t="s">
        <v>156</v>
      </c>
      <c r="AM561" t="s">
        <v>73</v>
      </c>
      <c r="AN561">
        <v>32</v>
      </c>
      <c r="AO561" t="s">
        <v>46</v>
      </c>
    </row>
    <row r="562" spans="1:41">
      <c r="A562" t="s">
        <v>714</v>
      </c>
      <c r="B562">
        <v>2025</v>
      </c>
      <c r="C562" s="1">
        <v>45932</v>
      </c>
      <c r="D562" t="s">
        <v>95</v>
      </c>
      <c r="E562" t="s">
        <v>120</v>
      </c>
      <c r="F562">
        <v>47</v>
      </c>
      <c r="G562" t="s">
        <v>44</v>
      </c>
      <c r="H562" t="s">
        <v>45</v>
      </c>
      <c r="I562">
        <v>27</v>
      </c>
      <c r="J562">
        <v>21</v>
      </c>
      <c r="K562" t="s">
        <v>47</v>
      </c>
      <c r="L562" t="s">
        <v>47</v>
      </c>
      <c r="M562" t="s">
        <v>46</v>
      </c>
      <c r="N562" t="s">
        <v>62</v>
      </c>
      <c r="O562" t="s">
        <v>49</v>
      </c>
      <c r="P562">
        <v>25.7</v>
      </c>
      <c r="Q562" t="s">
        <v>50</v>
      </c>
      <c r="R562" t="s">
        <v>46</v>
      </c>
      <c r="S562" t="s">
        <v>47</v>
      </c>
      <c r="T562" t="s">
        <v>47</v>
      </c>
      <c r="U562" t="s">
        <v>46</v>
      </c>
      <c r="V562" t="s">
        <v>64</v>
      </c>
      <c r="W562" t="s">
        <v>47</v>
      </c>
      <c r="X562" t="s">
        <v>46</v>
      </c>
      <c r="Y562" t="s">
        <v>46</v>
      </c>
      <c r="Z562" t="s">
        <v>47</v>
      </c>
      <c r="AA562" t="s">
        <v>46</v>
      </c>
      <c r="AB562" t="s">
        <v>47</v>
      </c>
      <c r="AC562" t="s">
        <v>46</v>
      </c>
      <c r="AD562" t="s">
        <v>47</v>
      </c>
      <c r="AE562" t="s">
        <v>47</v>
      </c>
      <c r="AF562" t="s">
        <v>47</v>
      </c>
      <c r="AG562" t="s">
        <v>52</v>
      </c>
      <c r="AH562" t="s">
        <v>53</v>
      </c>
      <c r="AI562" t="s">
        <v>80</v>
      </c>
      <c r="AJ562">
        <v>5.5</v>
      </c>
      <c r="AK562" t="s">
        <v>47</v>
      </c>
      <c r="AL562" t="s">
        <v>156</v>
      </c>
      <c r="AM562" t="s">
        <v>82</v>
      </c>
      <c r="AN562">
        <v>17</v>
      </c>
      <c r="AO562" t="s">
        <v>47</v>
      </c>
    </row>
    <row r="563" spans="1:41">
      <c r="A563" t="s">
        <v>715</v>
      </c>
      <c r="B563">
        <v>2017</v>
      </c>
      <c r="C563" s="1">
        <v>42870</v>
      </c>
      <c r="D563" t="s">
        <v>98</v>
      </c>
      <c r="E563" t="s">
        <v>249</v>
      </c>
      <c r="F563">
        <v>79</v>
      </c>
      <c r="G563" t="s">
        <v>60</v>
      </c>
      <c r="H563" t="s">
        <v>70</v>
      </c>
      <c r="I563">
        <v>0</v>
      </c>
      <c r="J563">
        <v>0</v>
      </c>
      <c r="K563" t="s">
        <v>47</v>
      </c>
      <c r="L563" t="s">
        <v>46</v>
      </c>
      <c r="M563" t="s">
        <v>47</v>
      </c>
      <c r="N563" t="s">
        <v>62</v>
      </c>
      <c r="O563" t="s">
        <v>63</v>
      </c>
      <c r="P563">
        <v>29.2</v>
      </c>
      <c r="Q563" t="s">
        <v>62</v>
      </c>
      <c r="R563" t="s">
        <v>47</v>
      </c>
      <c r="S563" t="s">
        <v>47</v>
      </c>
      <c r="T563" t="s">
        <v>47</v>
      </c>
      <c r="U563" t="s">
        <v>47</v>
      </c>
      <c r="V563" t="s">
        <v>117</v>
      </c>
      <c r="W563" t="s">
        <v>47</v>
      </c>
      <c r="X563" t="s">
        <v>47</v>
      </c>
      <c r="Y563" t="s">
        <v>46</v>
      </c>
      <c r="Z563" t="s">
        <v>46</v>
      </c>
      <c r="AA563" t="s">
        <v>46</v>
      </c>
      <c r="AB563" t="s">
        <v>47</v>
      </c>
      <c r="AC563" t="s">
        <v>46</v>
      </c>
      <c r="AD563" t="s">
        <v>47</v>
      </c>
      <c r="AE563" t="s">
        <v>47</v>
      </c>
      <c r="AF563" t="s">
        <v>47</v>
      </c>
      <c r="AG563" t="s">
        <v>52</v>
      </c>
      <c r="AH563" t="s">
        <v>53</v>
      </c>
      <c r="AI563" t="s">
        <v>65</v>
      </c>
      <c r="AJ563">
        <v>2.9</v>
      </c>
      <c r="AK563" t="s">
        <v>47</v>
      </c>
      <c r="AL563" t="s">
        <v>76</v>
      </c>
      <c r="AM563" t="s">
        <v>73</v>
      </c>
      <c r="AN563">
        <v>53</v>
      </c>
      <c r="AO563" t="s">
        <v>46</v>
      </c>
    </row>
    <row r="564" spans="1:41">
      <c r="A564" t="s">
        <v>716</v>
      </c>
      <c r="B564">
        <v>2021</v>
      </c>
      <c r="C564" s="1">
        <v>44428</v>
      </c>
      <c r="D564" t="s">
        <v>42</v>
      </c>
      <c r="E564" t="s">
        <v>210</v>
      </c>
      <c r="F564">
        <v>53</v>
      </c>
      <c r="G564" t="s">
        <v>44</v>
      </c>
      <c r="H564" t="s">
        <v>45</v>
      </c>
      <c r="I564">
        <v>20</v>
      </c>
      <c r="J564">
        <v>24</v>
      </c>
      <c r="K564" t="s">
        <v>46</v>
      </c>
      <c r="L564" t="s">
        <v>46</v>
      </c>
      <c r="M564" t="s">
        <v>47</v>
      </c>
      <c r="N564" t="s">
        <v>48</v>
      </c>
      <c r="O564" t="s">
        <v>48</v>
      </c>
      <c r="P564">
        <v>22.2</v>
      </c>
      <c r="Q564" t="s">
        <v>62</v>
      </c>
      <c r="R564" t="s">
        <v>46</v>
      </c>
      <c r="S564" t="s">
        <v>47</v>
      </c>
      <c r="T564" t="s">
        <v>47</v>
      </c>
      <c r="U564" t="s">
        <v>47</v>
      </c>
      <c r="V564" t="s">
        <v>151</v>
      </c>
      <c r="W564" t="s">
        <v>46</v>
      </c>
      <c r="X564" t="s">
        <v>46</v>
      </c>
      <c r="Y564" t="s">
        <v>47</v>
      </c>
      <c r="Z564" t="s">
        <v>47</v>
      </c>
      <c r="AA564" t="s">
        <v>46</v>
      </c>
      <c r="AB564" t="s">
        <v>46</v>
      </c>
      <c r="AC564" t="s">
        <v>46</v>
      </c>
      <c r="AD564" t="s">
        <v>47</v>
      </c>
      <c r="AE564" t="s">
        <v>47</v>
      </c>
      <c r="AF564" t="s">
        <v>47</v>
      </c>
      <c r="AG564" t="s">
        <v>52</v>
      </c>
      <c r="AH564" t="s">
        <v>71</v>
      </c>
      <c r="AI564" t="s">
        <v>80</v>
      </c>
      <c r="AJ564">
        <v>4</v>
      </c>
      <c r="AK564" t="s">
        <v>47</v>
      </c>
      <c r="AL564" t="s">
        <v>76</v>
      </c>
      <c r="AM564" t="s">
        <v>77</v>
      </c>
      <c r="AN564">
        <v>25</v>
      </c>
      <c r="AO564" t="s">
        <v>47</v>
      </c>
    </row>
    <row r="565" spans="1:41">
      <c r="A565" t="s">
        <v>717</v>
      </c>
      <c r="B565">
        <v>2019</v>
      </c>
      <c r="C565" s="1">
        <v>43655</v>
      </c>
      <c r="D565" t="s">
        <v>42</v>
      </c>
      <c r="E565" t="s">
        <v>160</v>
      </c>
      <c r="F565">
        <v>49</v>
      </c>
      <c r="G565" t="s">
        <v>44</v>
      </c>
      <c r="H565" t="s">
        <v>70</v>
      </c>
      <c r="I565">
        <v>0</v>
      </c>
      <c r="J565">
        <v>0</v>
      </c>
      <c r="K565" t="s">
        <v>47</v>
      </c>
      <c r="L565" t="s">
        <v>47</v>
      </c>
      <c r="M565" t="s">
        <v>47</v>
      </c>
      <c r="N565" t="s">
        <v>48</v>
      </c>
      <c r="O565" t="s">
        <v>63</v>
      </c>
      <c r="P565">
        <v>25.7</v>
      </c>
      <c r="Q565" t="s">
        <v>50</v>
      </c>
      <c r="R565" t="s">
        <v>47</v>
      </c>
      <c r="S565" t="s">
        <v>47</v>
      </c>
      <c r="T565" t="s">
        <v>47</v>
      </c>
      <c r="U565" t="s">
        <v>47</v>
      </c>
      <c r="V565" t="s">
        <v>64</v>
      </c>
      <c r="W565" t="s">
        <v>47</v>
      </c>
      <c r="X565" t="s">
        <v>47</v>
      </c>
      <c r="Y565" t="s">
        <v>47</v>
      </c>
      <c r="Z565" t="s">
        <v>46</v>
      </c>
      <c r="AA565" t="s">
        <v>47</v>
      </c>
      <c r="AB565" t="s">
        <v>46</v>
      </c>
      <c r="AC565" t="s">
        <v>46</v>
      </c>
      <c r="AD565" t="s">
        <v>47</v>
      </c>
      <c r="AE565" t="s">
        <v>47</v>
      </c>
      <c r="AF565" t="s">
        <v>47</v>
      </c>
      <c r="AG565" t="s">
        <v>52</v>
      </c>
      <c r="AH565" t="s">
        <v>90</v>
      </c>
      <c r="AI565" t="s">
        <v>80</v>
      </c>
      <c r="AJ565">
        <v>4.8</v>
      </c>
      <c r="AK565" t="s">
        <v>47</v>
      </c>
      <c r="AL565" t="s">
        <v>66</v>
      </c>
      <c r="AM565" t="s">
        <v>118</v>
      </c>
      <c r="AN565">
        <v>13</v>
      </c>
      <c r="AO565" t="s">
        <v>47</v>
      </c>
    </row>
    <row r="566" spans="1:41">
      <c r="A566" t="s">
        <v>718</v>
      </c>
      <c r="B566">
        <v>2017</v>
      </c>
      <c r="C566" s="1">
        <v>42982</v>
      </c>
      <c r="D566" t="s">
        <v>110</v>
      </c>
      <c r="E566" t="s">
        <v>111</v>
      </c>
      <c r="F566">
        <v>67</v>
      </c>
      <c r="G566" t="s">
        <v>60</v>
      </c>
      <c r="H566" t="s">
        <v>70</v>
      </c>
      <c r="I566">
        <v>0</v>
      </c>
      <c r="J566">
        <v>0</v>
      </c>
      <c r="K566" t="s">
        <v>46</v>
      </c>
      <c r="L566" t="s">
        <v>47</v>
      </c>
      <c r="M566" t="s">
        <v>47</v>
      </c>
      <c r="N566" t="s">
        <v>48</v>
      </c>
      <c r="O566" t="s">
        <v>49</v>
      </c>
      <c r="P566">
        <v>26.6</v>
      </c>
      <c r="Q566" t="s">
        <v>48</v>
      </c>
      <c r="R566" t="s">
        <v>47</v>
      </c>
      <c r="S566" t="s">
        <v>47</v>
      </c>
      <c r="T566" t="s">
        <v>47</v>
      </c>
      <c r="U566" t="s">
        <v>46</v>
      </c>
      <c r="V566" t="s">
        <v>86</v>
      </c>
      <c r="W566" t="s">
        <v>47</v>
      </c>
      <c r="X566" t="s">
        <v>46</v>
      </c>
      <c r="Y566" t="s">
        <v>47</v>
      </c>
      <c r="Z566" t="s">
        <v>47</v>
      </c>
      <c r="AA566" t="s">
        <v>46</v>
      </c>
      <c r="AB566" t="s">
        <v>47</v>
      </c>
      <c r="AC566" t="s">
        <v>47</v>
      </c>
      <c r="AD566" t="s">
        <v>47</v>
      </c>
      <c r="AE566" t="s">
        <v>47</v>
      </c>
      <c r="AF566" t="s">
        <v>47</v>
      </c>
      <c r="AG566" t="s">
        <v>52</v>
      </c>
      <c r="AH566" t="s">
        <v>53</v>
      </c>
      <c r="AI566" t="s">
        <v>80</v>
      </c>
      <c r="AJ566">
        <v>4.8</v>
      </c>
      <c r="AK566" t="s">
        <v>47</v>
      </c>
      <c r="AL566" t="s">
        <v>72</v>
      </c>
      <c r="AM566" t="s">
        <v>77</v>
      </c>
      <c r="AN566">
        <v>12</v>
      </c>
      <c r="AO566" t="s">
        <v>47</v>
      </c>
    </row>
    <row r="567" spans="1:41">
      <c r="A567" t="s">
        <v>719</v>
      </c>
      <c r="B567">
        <v>2016</v>
      </c>
      <c r="C567" s="1">
        <v>42555</v>
      </c>
      <c r="D567" t="s">
        <v>42</v>
      </c>
      <c r="E567" t="s">
        <v>247</v>
      </c>
      <c r="F567">
        <v>51</v>
      </c>
      <c r="G567" t="s">
        <v>60</v>
      </c>
      <c r="H567" t="s">
        <v>45</v>
      </c>
      <c r="I567">
        <v>12</v>
      </c>
      <c r="J567">
        <v>6</v>
      </c>
      <c r="K567" t="s">
        <v>47</v>
      </c>
      <c r="L567" t="s">
        <v>47</v>
      </c>
      <c r="M567" t="s">
        <v>47</v>
      </c>
      <c r="N567" t="s">
        <v>48</v>
      </c>
      <c r="O567" t="s">
        <v>48</v>
      </c>
      <c r="P567">
        <v>24.3</v>
      </c>
      <c r="Q567" t="s">
        <v>62</v>
      </c>
      <c r="R567" t="s">
        <v>46</v>
      </c>
      <c r="S567" t="s">
        <v>47</v>
      </c>
      <c r="T567" t="s">
        <v>47</v>
      </c>
      <c r="U567" t="s">
        <v>47</v>
      </c>
      <c r="V567" t="s">
        <v>64</v>
      </c>
      <c r="W567" t="s">
        <v>46</v>
      </c>
      <c r="X567" t="s">
        <v>46</v>
      </c>
      <c r="Y567" t="s">
        <v>47</v>
      </c>
      <c r="Z567" t="s">
        <v>46</v>
      </c>
      <c r="AA567" t="s">
        <v>47</v>
      </c>
      <c r="AB567" t="s">
        <v>46</v>
      </c>
      <c r="AC567" t="s">
        <v>47</v>
      </c>
      <c r="AD567" t="s">
        <v>47</v>
      </c>
      <c r="AE567" t="s">
        <v>47</v>
      </c>
      <c r="AF567" t="s">
        <v>47</v>
      </c>
      <c r="AG567" t="s">
        <v>52</v>
      </c>
      <c r="AH567" t="s">
        <v>71</v>
      </c>
      <c r="AI567" t="s">
        <v>87</v>
      </c>
      <c r="AJ567">
        <v>4.4000000000000004</v>
      </c>
      <c r="AK567" t="s">
        <v>47</v>
      </c>
      <c r="AL567" t="s">
        <v>81</v>
      </c>
      <c r="AM567" t="s">
        <v>67</v>
      </c>
      <c r="AN567">
        <v>40</v>
      </c>
      <c r="AO567" t="s">
        <v>47</v>
      </c>
    </row>
    <row r="568" spans="1:41">
      <c r="A568" t="s">
        <v>720</v>
      </c>
      <c r="B568">
        <v>2022</v>
      </c>
      <c r="C568" s="1">
        <v>44887</v>
      </c>
      <c r="D568" t="s">
        <v>98</v>
      </c>
      <c r="E568" t="s">
        <v>484</v>
      </c>
      <c r="F568">
        <v>60</v>
      </c>
      <c r="G568" t="s">
        <v>44</v>
      </c>
      <c r="H568" t="s">
        <v>70</v>
      </c>
      <c r="I568">
        <v>0</v>
      </c>
      <c r="J568">
        <v>0</v>
      </c>
      <c r="K568" t="s">
        <v>46</v>
      </c>
      <c r="L568" t="s">
        <v>47</v>
      </c>
      <c r="M568" t="s">
        <v>47</v>
      </c>
      <c r="N568" t="s">
        <v>62</v>
      </c>
      <c r="O568" t="s">
        <v>63</v>
      </c>
      <c r="P568">
        <v>33.6</v>
      </c>
      <c r="Q568" t="s">
        <v>48</v>
      </c>
      <c r="R568" t="s">
        <v>47</v>
      </c>
      <c r="S568" t="s">
        <v>47</v>
      </c>
      <c r="T568" t="s">
        <v>47</v>
      </c>
      <c r="U568" t="s">
        <v>47</v>
      </c>
      <c r="V568" t="s">
        <v>51</v>
      </c>
      <c r="W568" t="s">
        <v>47</v>
      </c>
      <c r="X568" t="s">
        <v>46</v>
      </c>
      <c r="Y568" t="s">
        <v>47</v>
      </c>
      <c r="Z568" t="s">
        <v>46</v>
      </c>
      <c r="AA568" t="s">
        <v>47</v>
      </c>
      <c r="AB568" t="s">
        <v>46</v>
      </c>
      <c r="AC568" t="s">
        <v>47</v>
      </c>
      <c r="AD568" t="s">
        <v>47</v>
      </c>
      <c r="AE568" t="s">
        <v>47</v>
      </c>
      <c r="AF568" t="s">
        <v>47</v>
      </c>
      <c r="AG568" t="s">
        <v>52</v>
      </c>
      <c r="AH568" t="s">
        <v>53</v>
      </c>
      <c r="AI568" t="s">
        <v>80</v>
      </c>
      <c r="AJ568">
        <v>7.5</v>
      </c>
      <c r="AK568" t="s">
        <v>47</v>
      </c>
      <c r="AL568" t="s">
        <v>100</v>
      </c>
      <c r="AM568" t="s">
        <v>77</v>
      </c>
      <c r="AN568">
        <v>3</v>
      </c>
      <c r="AO568" t="s">
        <v>47</v>
      </c>
    </row>
    <row r="569" spans="1:41">
      <c r="A569" t="s">
        <v>721</v>
      </c>
      <c r="B569">
        <v>2021</v>
      </c>
      <c r="C569" s="1">
        <v>44425</v>
      </c>
      <c r="D569" t="s">
        <v>110</v>
      </c>
      <c r="E569" t="s">
        <v>410</v>
      </c>
      <c r="F569">
        <v>66</v>
      </c>
      <c r="G569" t="s">
        <v>60</v>
      </c>
      <c r="H569" t="s">
        <v>70</v>
      </c>
      <c r="I569">
        <v>0</v>
      </c>
      <c r="J569">
        <v>0</v>
      </c>
      <c r="K569" t="s">
        <v>46</v>
      </c>
      <c r="L569" t="s">
        <v>46</v>
      </c>
      <c r="M569" t="s">
        <v>47</v>
      </c>
      <c r="N569" t="s">
        <v>50</v>
      </c>
      <c r="O569" t="s">
        <v>48</v>
      </c>
      <c r="P569">
        <v>19.7</v>
      </c>
      <c r="Q569" t="s">
        <v>48</v>
      </c>
      <c r="R569" t="s">
        <v>47</v>
      </c>
      <c r="S569" t="s">
        <v>47</v>
      </c>
      <c r="T569" t="s">
        <v>47</v>
      </c>
      <c r="U569" t="s">
        <v>47</v>
      </c>
      <c r="V569" t="s">
        <v>51</v>
      </c>
      <c r="W569" t="s">
        <v>47</v>
      </c>
      <c r="X569" t="s">
        <v>47</v>
      </c>
      <c r="Y569" t="s">
        <v>47</v>
      </c>
      <c r="Z569" t="s">
        <v>46</v>
      </c>
      <c r="AA569" t="s">
        <v>47</v>
      </c>
      <c r="AB569" t="s">
        <v>47</v>
      </c>
      <c r="AC569" t="s">
        <v>46</v>
      </c>
      <c r="AD569" t="s">
        <v>46</v>
      </c>
      <c r="AE569" t="s">
        <v>47</v>
      </c>
      <c r="AF569" t="s">
        <v>47</v>
      </c>
      <c r="AG569" t="s">
        <v>52</v>
      </c>
      <c r="AH569" t="s">
        <v>71</v>
      </c>
      <c r="AI569" t="s">
        <v>80</v>
      </c>
      <c r="AJ569">
        <v>5.2</v>
      </c>
      <c r="AK569" t="s">
        <v>47</v>
      </c>
      <c r="AL569" t="s">
        <v>81</v>
      </c>
      <c r="AM569" t="s">
        <v>82</v>
      </c>
      <c r="AN569">
        <v>21</v>
      </c>
      <c r="AO569" t="s">
        <v>46</v>
      </c>
    </row>
    <row r="570" spans="1:41">
      <c r="A570" t="s">
        <v>722</v>
      </c>
      <c r="B570">
        <v>2023</v>
      </c>
      <c r="C570" s="1">
        <v>44934</v>
      </c>
      <c r="D570" t="s">
        <v>95</v>
      </c>
      <c r="E570" t="s">
        <v>145</v>
      </c>
      <c r="F570">
        <v>64</v>
      </c>
      <c r="G570" t="s">
        <v>60</v>
      </c>
      <c r="H570" t="s">
        <v>70</v>
      </c>
      <c r="I570">
        <v>0</v>
      </c>
      <c r="J570">
        <v>0</v>
      </c>
      <c r="K570" t="s">
        <v>47</v>
      </c>
      <c r="L570" t="s">
        <v>47</v>
      </c>
      <c r="M570" t="s">
        <v>47</v>
      </c>
      <c r="N570" t="s">
        <v>50</v>
      </c>
      <c r="O570" t="s">
        <v>49</v>
      </c>
      <c r="P570">
        <v>24.3</v>
      </c>
      <c r="Q570" t="s">
        <v>50</v>
      </c>
      <c r="R570" t="s">
        <v>47</v>
      </c>
      <c r="S570" t="s">
        <v>47</v>
      </c>
      <c r="T570" t="s">
        <v>47</v>
      </c>
      <c r="U570" t="s">
        <v>47</v>
      </c>
      <c r="V570" t="s">
        <v>51</v>
      </c>
      <c r="W570" t="s">
        <v>47</v>
      </c>
      <c r="X570" t="s">
        <v>47</v>
      </c>
      <c r="Y570" t="s">
        <v>46</v>
      </c>
      <c r="Z570" t="s">
        <v>47</v>
      </c>
      <c r="AA570" t="s">
        <v>46</v>
      </c>
      <c r="AB570" t="s">
        <v>47</v>
      </c>
      <c r="AC570" t="s">
        <v>47</v>
      </c>
      <c r="AD570" t="s">
        <v>47</v>
      </c>
      <c r="AE570" t="s">
        <v>47</v>
      </c>
      <c r="AF570" t="s">
        <v>47</v>
      </c>
      <c r="AG570" t="s">
        <v>52</v>
      </c>
      <c r="AH570" t="s">
        <v>53</v>
      </c>
      <c r="AI570" t="s">
        <v>54</v>
      </c>
      <c r="AJ570">
        <v>6.2</v>
      </c>
      <c r="AK570" t="s">
        <v>46</v>
      </c>
      <c r="AL570" t="s">
        <v>76</v>
      </c>
      <c r="AM570" t="s">
        <v>265</v>
      </c>
      <c r="AN570">
        <v>4</v>
      </c>
      <c r="AO570" t="s">
        <v>47</v>
      </c>
    </row>
    <row r="571" spans="1:41">
      <c r="A571" t="s">
        <v>723</v>
      </c>
      <c r="B571">
        <v>2015</v>
      </c>
      <c r="C571" s="1">
        <v>42279</v>
      </c>
      <c r="D571" t="s">
        <v>42</v>
      </c>
      <c r="E571" t="s">
        <v>43</v>
      </c>
      <c r="F571">
        <v>66</v>
      </c>
      <c r="G571" t="s">
        <v>60</v>
      </c>
      <c r="H571" t="s">
        <v>70</v>
      </c>
      <c r="I571">
        <v>0</v>
      </c>
      <c r="J571">
        <v>0</v>
      </c>
      <c r="K571" t="s">
        <v>46</v>
      </c>
      <c r="L571" t="s">
        <v>46</v>
      </c>
      <c r="M571" t="s">
        <v>47</v>
      </c>
      <c r="N571" t="s">
        <v>48</v>
      </c>
      <c r="O571" t="s">
        <v>49</v>
      </c>
      <c r="P571">
        <v>29.3</v>
      </c>
      <c r="Q571" t="s">
        <v>48</v>
      </c>
      <c r="R571" t="s">
        <v>47</v>
      </c>
      <c r="S571" t="s">
        <v>47</v>
      </c>
      <c r="T571" t="s">
        <v>47</v>
      </c>
      <c r="U571" t="s">
        <v>47</v>
      </c>
      <c r="V571" t="s">
        <v>51</v>
      </c>
      <c r="W571" t="s">
        <v>46</v>
      </c>
      <c r="X571" t="s">
        <v>47</v>
      </c>
      <c r="Y571" t="s">
        <v>46</v>
      </c>
      <c r="Z571" t="s">
        <v>46</v>
      </c>
      <c r="AA571" t="s">
        <v>46</v>
      </c>
      <c r="AB571" t="s">
        <v>46</v>
      </c>
      <c r="AC571" t="s">
        <v>47</v>
      </c>
      <c r="AD571" t="s">
        <v>47</v>
      </c>
      <c r="AE571" t="s">
        <v>46</v>
      </c>
      <c r="AF571" t="s">
        <v>47</v>
      </c>
      <c r="AG571" t="s">
        <v>52</v>
      </c>
      <c r="AH571" t="s">
        <v>53</v>
      </c>
      <c r="AI571" t="s">
        <v>65</v>
      </c>
      <c r="AJ571">
        <v>2.9</v>
      </c>
      <c r="AK571" t="s">
        <v>47</v>
      </c>
      <c r="AL571" t="s">
        <v>81</v>
      </c>
      <c r="AM571" t="s">
        <v>73</v>
      </c>
      <c r="AN571">
        <v>62</v>
      </c>
      <c r="AO571" t="s">
        <v>46</v>
      </c>
    </row>
    <row r="572" spans="1:41">
      <c r="A572" t="s">
        <v>724</v>
      </c>
      <c r="B572">
        <v>2024</v>
      </c>
      <c r="C572" s="1">
        <v>45392</v>
      </c>
      <c r="D572" t="s">
        <v>42</v>
      </c>
      <c r="E572" t="s">
        <v>160</v>
      </c>
      <c r="F572">
        <v>71</v>
      </c>
      <c r="G572" t="s">
        <v>60</v>
      </c>
      <c r="H572" t="s">
        <v>70</v>
      </c>
      <c r="I572">
        <v>0</v>
      </c>
      <c r="J572">
        <v>0</v>
      </c>
      <c r="K572" t="s">
        <v>47</v>
      </c>
      <c r="L572" t="s">
        <v>47</v>
      </c>
      <c r="M572" t="s">
        <v>47</v>
      </c>
      <c r="N572" t="s">
        <v>62</v>
      </c>
      <c r="O572" t="s">
        <v>49</v>
      </c>
      <c r="P572">
        <v>28.8</v>
      </c>
      <c r="Q572" t="s">
        <v>48</v>
      </c>
      <c r="R572" t="s">
        <v>47</v>
      </c>
      <c r="S572" t="s">
        <v>47</v>
      </c>
      <c r="T572" t="s">
        <v>47</v>
      </c>
      <c r="U572" t="s">
        <v>47</v>
      </c>
      <c r="V572" t="s">
        <v>92</v>
      </c>
      <c r="W572" t="s">
        <v>47</v>
      </c>
      <c r="X572" t="s">
        <v>46</v>
      </c>
      <c r="Y572" t="s">
        <v>47</v>
      </c>
      <c r="Z572" t="s">
        <v>46</v>
      </c>
      <c r="AA572" t="s">
        <v>46</v>
      </c>
      <c r="AB572" t="s">
        <v>47</v>
      </c>
      <c r="AC572" t="s">
        <v>47</v>
      </c>
      <c r="AD572" t="s">
        <v>46</v>
      </c>
      <c r="AE572" t="s">
        <v>47</v>
      </c>
      <c r="AF572" t="s">
        <v>47</v>
      </c>
      <c r="AG572" t="s">
        <v>52</v>
      </c>
      <c r="AH572" t="s">
        <v>53</v>
      </c>
      <c r="AI572" t="s">
        <v>80</v>
      </c>
      <c r="AJ572">
        <v>9</v>
      </c>
      <c r="AK572" t="s">
        <v>47</v>
      </c>
      <c r="AL572" t="s">
        <v>76</v>
      </c>
      <c r="AM572" t="s">
        <v>103</v>
      </c>
      <c r="AN572">
        <v>12</v>
      </c>
      <c r="AO572" t="s">
        <v>47</v>
      </c>
    </row>
    <row r="573" spans="1:41">
      <c r="A573" t="s">
        <v>725</v>
      </c>
      <c r="B573">
        <v>2016</v>
      </c>
      <c r="C573" s="1">
        <v>42454</v>
      </c>
      <c r="D573" t="s">
        <v>42</v>
      </c>
      <c r="E573" t="s">
        <v>247</v>
      </c>
      <c r="F573">
        <v>60</v>
      </c>
      <c r="G573" t="s">
        <v>44</v>
      </c>
      <c r="H573" t="s">
        <v>45</v>
      </c>
      <c r="I573">
        <v>11</v>
      </c>
      <c r="J573">
        <v>27</v>
      </c>
      <c r="K573" t="s">
        <v>47</v>
      </c>
      <c r="L573" t="s">
        <v>47</v>
      </c>
      <c r="M573" t="s">
        <v>46</v>
      </c>
      <c r="N573" t="s">
        <v>62</v>
      </c>
      <c r="O573" t="s">
        <v>49</v>
      </c>
      <c r="P573">
        <v>26.3</v>
      </c>
      <c r="Q573" t="s">
        <v>48</v>
      </c>
      <c r="R573" t="s">
        <v>47</v>
      </c>
      <c r="S573" t="s">
        <v>47</v>
      </c>
      <c r="T573" t="s">
        <v>47</v>
      </c>
      <c r="U573" t="s">
        <v>47</v>
      </c>
      <c r="V573" t="s">
        <v>51</v>
      </c>
      <c r="W573" t="s">
        <v>47</v>
      </c>
      <c r="X573" t="s">
        <v>47</v>
      </c>
      <c r="Y573" t="s">
        <v>47</v>
      </c>
      <c r="Z573" t="s">
        <v>47</v>
      </c>
      <c r="AA573" t="s">
        <v>47</v>
      </c>
      <c r="AB573" t="s">
        <v>46</v>
      </c>
      <c r="AC573" t="s">
        <v>46</v>
      </c>
      <c r="AD573" t="s">
        <v>47</v>
      </c>
      <c r="AE573" t="s">
        <v>47</v>
      </c>
      <c r="AF573" t="s">
        <v>47</v>
      </c>
      <c r="AG573" t="s">
        <v>52</v>
      </c>
      <c r="AH573" t="s">
        <v>53</v>
      </c>
      <c r="AI573" t="s">
        <v>54</v>
      </c>
      <c r="AJ573">
        <v>7.8</v>
      </c>
      <c r="AK573" t="s">
        <v>46</v>
      </c>
      <c r="AL573" t="s">
        <v>156</v>
      </c>
      <c r="AM573" t="s">
        <v>77</v>
      </c>
      <c r="AN573">
        <v>9</v>
      </c>
      <c r="AO573" t="s">
        <v>47</v>
      </c>
    </row>
    <row r="574" spans="1:41">
      <c r="A574" t="s">
        <v>726</v>
      </c>
      <c r="B574">
        <v>2019</v>
      </c>
      <c r="C574" s="1">
        <v>43596</v>
      </c>
      <c r="D574" t="s">
        <v>98</v>
      </c>
      <c r="E574" t="s">
        <v>263</v>
      </c>
      <c r="F574">
        <v>53</v>
      </c>
      <c r="G574" t="s">
        <v>60</v>
      </c>
      <c r="H574" t="s">
        <v>45</v>
      </c>
      <c r="I574">
        <v>24</v>
      </c>
      <c r="J574">
        <v>25</v>
      </c>
      <c r="K574" t="s">
        <v>47</v>
      </c>
      <c r="L574" t="s">
        <v>46</v>
      </c>
      <c r="M574" t="s">
        <v>47</v>
      </c>
      <c r="N574" t="s">
        <v>62</v>
      </c>
      <c r="O574" t="s">
        <v>48</v>
      </c>
      <c r="P574">
        <v>31.1</v>
      </c>
      <c r="Q574" t="s">
        <v>62</v>
      </c>
      <c r="R574" t="s">
        <v>47</v>
      </c>
      <c r="S574" t="s">
        <v>47</v>
      </c>
      <c r="T574" t="s">
        <v>47</v>
      </c>
      <c r="U574" t="s">
        <v>47</v>
      </c>
      <c r="V574" t="s">
        <v>64</v>
      </c>
      <c r="W574" t="s">
        <v>46</v>
      </c>
      <c r="X574" t="s">
        <v>46</v>
      </c>
      <c r="Y574" t="s">
        <v>46</v>
      </c>
      <c r="Z574" t="s">
        <v>47</v>
      </c>
      <c r="AA574" t="s">
        <v>46</v>
      </c>
      <c r="AB574" t="s">
        <v>47</v>
      </c>
      <c r="AC574" t="s">
        <v>47</v>
      </c>
      <c r="AD574" t="s">
        <v>46</v>
      </c>
      <c r="AE574" t="s">
        <v>47</v>
      </c>
      <c r="AF574" t="s">
        <v>47</v>
      </c>
      <c r="AG574" t="s">
        <v>121</v>
      </c>
      <c r="AH574" t="s">
        <v>122</v>
      </c>
      <c r="AI574" t="s">
        <v>54</v>
      </c>
      <c r="AJ574">
        <v>7.4</v>
      </c>
      <c r="AK574" t="s">
        <v>46</v>
      </c>
      <c r="AL574" t="s">
        <v>76</v>
      </c>
      <c r="AM574" t="s">
        <v>265</v>
      </c>
      <c r="AN574">
        <v>5</v>
      </c>
      <c r="AO574" t="s">
        <v>47</v>
      </c>
    </row>
    <row r="575" spans="1:41">
      <c r="A575" t="s">
        <v>727</v>
      </c>
      <c r="B575">
        <v>2023</v>
      </c>
      <c r="C575" s="1">
        <v>44942</v>
      </c>
      <c r="D575" t="s">
        <v>58</v>
      </c>
      <c r="E575" t="s">
        <v>229</v>
      </c>
      <c r="F575">
        <v>57</v>
      </c>
      <c r="G575" t="s">
        <v>44</v>
      </c>
      <c r="H575" t="s">
        <v>45</v>
      </c>
      <c r="I575">
        <v>16</v>
      </c>
      <c r="J575">
        <v>22</v>
      </c>
      <c r="K575" t="s">
        <v>46</v>
      </c>
      <c r="L575" t="s">
        <v>47</v>
      </c>
      <c r="M575" t="s">
        <v>46</v>
      </c>
      <c r="N575" t="s">
        <v>62</v>
      </c>
      <c r="O575" t="s">
        <v>63</v>
      </c>
      <c r="P575">
        <v>22.6</v>
      </c>
      <c r="Q575" t="s">
        <v>48</v>
      </c>
      <c r="R575" t="s">
        <v>46</v>
      </c>
      <c r="S575" t="s">
        <v>47</v>
      </c>
      <c r="T575" t="s">
        <v>47</v>
      </c>
      <c r="U575" t="s">
        <v>47</v>
      </c>
      <c r="V575" t="s">
        <v>51</v>
      </c>
      <c r="W575" t="s">
        <v>46</v>
      </c>
      <c r="X575" t="s">
        <v>46</v>
      </c>
      <c r="Y575" t="s">
        <v>47</v>
      </c>
      <c r="Z575" t="s">
        <v>46</v>
      </c>
      <c r="AA575" t="s">
        <v>46</v>
      </c>
      <c r="AB575" t="s">
        <v>47</v>
      </c>
      <c r="AC575" t="s">
        <v>46</v>
      </c>
      <c r="AD575" t="s">
        <v>47</v>
      </c>
      <c r="AE575" t="s">
        <v>47</v>
      </c>
      <c r="AF575" t="s">
        <v>47</v>
      </c>
      <c r="AG575" t="s">
        <v>52</v>
      </c>
      <c r="AH575" t="s">
        <v>53</v>
      </c>
      <c r="AI575" t="s">
        <v>80</v>
      </c>
      <c r="AJ575">
        <v>7</v>
      </c>
      <c r="AK575" t="s">
        <v>47</v>
      </c>
      <c r="AL575" t="s">
        <v>76</v>
      </c>
      <c r="AM575" t="s">
        <v>103</v>
      </c>
      <c r="AN575">
        <v>7</v>
      </c>
      <c r="AO575" t="s">
        <v>47</v>
      </c>
    </row>
    <row r="576" spans="1:41">
      <c r="A576" t="s">
        <v>728</v>
      </c>
      <c r="B576">
        <v>2019</v>
      </c>
      <c r="C576" s="1">
        <v>43529</v>
      </c>
      <c r="D576" t="s">
        <v>95</v>
      </c>
      <c r="E576" t="s">
        <v>145</v>
      </c>
      <c r="F576">
        <v>63</v>
      </c>
      <c r="G576" t="s">
        <v>60</v>
      </c>
      <c r="H576" t="s">
        <v>70</v>
      </c>
      <c r="I576">
        <v>0</v>
      </c>
      <c r="J576">
        <v>0</v>
      </c>
      <c r="K576" t="s">
        <v>46</v>
      </c>
      <c r="L576" t="s">
        <v>47</v>
      </c>
      <c r="M576" t="s">
        <v>46</v>
      </c>
      <c r="N576" t="s">
        <v>62</v>
      </c>
      <c r="O576" t="s">
        <v>63</v>
      </c>
      <c r="P576">
        <v>28.4</v>
      </c>
      <c r="Q576" t="s">
        <v>50</v>
      </c>
      <c r="R576" t="s">
        <v>47</v>
      </c>
      <c r="S576" t="s">
        <v>47</v>
      </c>
      <c r="T576" t="s">
        <v>47</v>
      </c>
      <c r="U576" t="s">
        <v>47</v>
      </c>
      <c r="V576" t="s">
        <v>64</v>
      </c>
      <c r="W576" t="s">
        <v>47</v>
      </c>
      <c r="X576" t="s">
        <v>47</v>
      </c>
      <c r="Y576" t="s">
        <v>47</v>
      </c>
      <c r="Z576" t="s">
        <v>47</v>
      </c>
      <c r="AA576" t="s">
        <v>46</v>
      </c>
      <c r="AB576" t="s">
        <v>47</v>
      </c>
      <c r="AC576" t="s">
        <v>47</v>
      </c>
      <c r="AD576" t="s">
        <v>46</v>
      </c>
      <c r="AE576" t="s">
        <v>47</v>
      </c>
      <c r="AF576" t="s">
        <v>47</v>
      </c>
      <c r="AG576" t="s">
        <v>52</v>
      </c>
      <c r="AH576" t="s">
        <v>53</v>
      </c>
      <c r="AI576" t="s">
        <v>65</v>
      </c>
      <c r="AJ576">
        <v>0.5</v>
      </c>
      <c r="AK576" t="s">
        <v>47</v>
      </c>
      <c r="AL576" t="s">
        <v>72</v>
      </c>
      <c r="AM576" t="s">
        <v>67</v>
      </c>
      <c r="AN576">
        <v>62</v>
      </c>
      <c r="AO576" t="s">
        <v>46</v>
      </c>
    </row>
    <row r="577" spans="1:41">
      <c r="A577" t="s">
        <v>729</v>
      </c>
      <c r="B577">
        <v>2023</v>
      </c>
      <c r="C577" s="1">
        <v>45192</v>
      </c>
      <c r="D577" t="s">
        <v>98</v>
      </c>
      <c r="E577" t="s">
        <v>212</v>
      </c>
      <c r="F577">
        <v>57</v>
      </c>
      <c r="G577" t="s">
        <v>44</v>
      </c>
      <c r="H577" t="s">
        <v>70</v>
      </c>
      <c r="I577">
        <v>0</v>
      </c>
      <c r="J577">
        <v>0</v>
      </c>
      <c r="K577" t="s">
        <v>46</v>
      </c>
      <c r="L577" t="s">
        <v>47</v>
      </c>
      <c r="M577" t="s">
        <v>47</v>
      </c>
      <c r="N577" t="s">
        <v>62</v>
      </c>
      <c r="O577" t="s">
        <v>49</v>
      </c>
      <c r="P577">
        <v>27.6</v>
      </c>
      <c r="Q577" t="s">
        <v>50</v>
      </c>
      <c r="R577" t="s">
        <v>46</v>
      </c>
      <c r="S577" t="s">
        <v>47</v>
      </c>
      <c r="T577" t="s">
        <v>47</v>
      </c>
      <c r="U577" t="s">
        <v>47</v>
      </c>
      <c r="V577" t="s">
        <v>117</v>
      </c>
      <c r="W577" t="s">
        <v>47</v>
      </c>
      <c r="X577" t="s">
        <v>46</v>
      </c>
      <c r="Y577" t="s">
        <v>47</v>
      </c>
      <c r="Z577" t="s">
        <v>46</v>
      </c>
      <c r="AA577" t="s">
        <v>46</v>
      </c>
      <c r="AB577" t="s">
        <v>46</v>
      </c>
      <c r="AC577" t="s">
        <v>47</v>
      </c>
      <c r="AD577" t="s">
        <v>47</v>
      </c>
      <c r="AE577" t="s">
        <v>47</v>
      </c>
      <c r="AF577" t="s">
        <v>47</v>
      </c>
      <c r="AG577" t="s">
        <v>52</v>
      </c>
      <c r="AH577" t="s">
        <v>71</v>
      </c>
      <c r="AI577" t="s">
        <v>80</v>
      </c>
      <c r="AJ577">
        <v>6.3</v>
      </c>
      <c r="AK577" t="s">
        <v>47</v>
      </c>
      <c r="AL577" t="s">
        <v>76</v>
      </c>
      <c r="AM577" t="s">
        <v>56</v>
      </c>
      <c r="AN577">
        <v>17</v>
      </c>
      <c r="AO577" t="s">
        <v>47</v>
      </c>
    </row>
    <row r="578" spans="1:41">
      <c r="A578" t="s">
        <v>730</v>
      </c>
      <c r="B578">
        <v>2022</v>
      </c>
      <c r="C578" s="1">
        <v>44822</v>
      </c>
      <c r="D578" t="s">
        <v>42</v>
      </c>
      <c r="E578" t="s">
        <v>136</v>
      </c>
      <c r="F578">
        <v>53</v>
      </c>
      <c r="G578" t="s">
        <v>44</v>
      </c>
      <c r="H578" t="s">
        <v>70</v>
      </c>
      <c r="I578">
        <v>0</v>
      </c>
      <c r="J578">
        <v>0</v>
      </c>
      <c r="K578" t="s">
        <v>46</v>
      </c>
      <c r="L578" t="s">
        <v>47</v>
      </c>
      <c r="M578" t="s">
        <v>47</v>
      </c>
      <c r="N578" t="s">
        <v>48</v>
      </c>
      <c r="O578" t="s">
        <v>49</v>
      </c>
      <c r="P578">
        <v>32.1</v>
      </c>
      <c r="Q578" t="s">
        <v>48</v>
      </c>
      <c r="R578" t="s">
        <v>47</v>
      </c>
      <c r="S578" t="s">
        <v>47</v>
      </c>
      <c r="T578" t="s">
        <v>47</v>
      </c>
      <c r="U578" t="s">
        <v>46</v>
      </c>
      <c r="V578" t="s">
        <v>117</v>
      </c>
      <c r="W578" t="s">
        <v>47</v>
      </c>
      <c r="X578" t="s">
        <v>47</v>
      </c>
      <c r="Y578" t="s">
        <v>47</v>
      </c>
      <c r="Z578" t="s">
        <v>47</v>
      </c>
      <c r="AA578" t="s">
        <v>46</v>
      </c>
      <c r="AB578" t="s">
        <v>47</v>
      </c>
      <c r="AC578" t="s">
        <v>47</v>
      </c>
      <c r="AD578" t="s">
        <v>47</v>
      </c>
      <c r="AE578" t="s">
        <v>47</v>
      </c>
      <c r="AF578" t="s">
        <v>47</v>
      </c>
      <c r="AG578" t="s">
        <v>52</v>
      </c>
      <c r="AH578" t="s">
        <v>53</v>
      </c>
      <c r="AI578" t="s">
        <v>54</v>
      </c>
      <c r="AJ578">
        <v>10.3</v>
      </c>
      <c r="AK578" t="s">
        <v>46</v>
      </c>
      <c r="AL578" t="s">
        <v>156</v>
      </c>
      <c r="AM578" t="s">
        <v>118</v>
      </c>
      <c r="AN578">
        <v>4</v>
      </c>
      <c r="AO578" t="s">
        <v>47</v>
      </c>
    </row>
    <row r="579" spans="1:41">
      <c r="A579" t="s">
        <v>731</v>
      </c>
      <c r="B579">
        <v>2020</v>
      </c>
      <c r="C579" s="1">
        <v>43874</v>
      </c>
      <c r="D579" t="s">
        <v>95</v>
      </c>
      <c r="E579" t="s">
        <v>114</v>
      </c>
      <c r="F579">
        <v>53</v>
      </c>
      <c r="G579" t="s">
        <v>44</v>
      </c>
      <c r="H579" t="s">
        <v>45</v>
      </c>
      <c r="I579">
        <v>19</v>
      </c>
      <c r="J579">
        <v>18</v>
      </c>
      <c r="K579" t="s">
        <v>46</v>
      </c>
      <c r="L579" t="s">
        <v>47</v>
      </c>
      <c r="M579" t="s">
        <v>47</v>
      </c>
      <c r="N579" t="s">
        <v>50</v>
      </c>
      <c r="O579" t="s">
        <v>48</v>
      </c>
      <c r="P579">
        <v>21.9</v>
      </c>
      <c r="Q579" t="s">
        <v>62</v>
      </c>
      <c r="R579" t="s">
        <v>47</v>
      </c>
      <c r="S579" t="s">
        <v>46</v>
      </c>
      <c r="T579" t="s">
        <v>47</v>
      </c>
      <c r="U579" t="s">
        <v>47</v>
      </c>
      <c r="V579" t="s">
        <v>86</v>
      </c>
      <c r="W579" t="s">
        <v>46</v>
      </c>
      <c r="X579" t="s">
        <v>46</v>
      </c>
      <c r="Y579" t="s">
        <v>46</v>
      </c>
      <c r="Z579" t="s">
        <v>47</v>
      </c>
      <c r="AA579" t="s">
        <v>47</v>
      </c>
      <c r="AB579" t="s">
        <v>46</v>
      </c>
      <c r="AC579" t="s">
        <v>46</v>
      </c>
      <c r="AD579" t="s">
        <v>47</v>
      </c>
      <c r="AE579" t="s">
        <v>47</v>
      </c>
      <c r="AF579" t="s">
        <v>47</v>
      </c>
      <c r="AG579" t="s">
        <v>121</v>
      </c>
      <c r="AH579" t="s">
        <v>122</v>
      </c>
      <c r="AI579" t="s">
        <v>54</v>
      </c>
      <c r="AJ579">
        <v>3.5</v>
      </c>
      <c r="AK579" t="s">
        <v>46</v>
      </c>
      <c r="AL579" t="s">
        <v>66</v>
      </c>
      <c r="AM579" t="s">
        <v>82</v>
      </c>
      <c r="AN579">
        <v>6</v>
      </c>
      <c r="AO579" t="s">
        <v>47</v>
      </c>
    </row>
    <row r="580" spans="1:41">
      <c r="A580" t="s">
        <v>732</v>
      </c>
      <c r="B580">
        <v>2024</v>
      </c>
      <c r="C580" s="1">
        <v>45474</v>
      </c>
      <c r="D580" t="s">
        <v>95</v>
      </c>
      <c r="E580" t="s">
        <v>96</v>
      </c>
      <c r="F580">
        <v>68</v>
      </c>
      <c r="G580" t="s">
        <v>60</v>
      </c>
      <c r="H580" t="s">
        <v>61</v>
      </c>
      <c r="I580">
        <v>18</v>
      </c>
      <c r="J580">
        <v>14</v>
      </c>
      <c r="K580" t="s">
        <v>47</v>
      </c>
      <c r="L580" t="s">
        <v>46</v>
      </c>
      <c r="M580" t="s">
        <v>46</v>
      </c>
      <c r="N580" t="s">
        <v>48</v>
      </c>
      <c r="O580" t="s">
        <v>49</v>
      </c>
      <c r="P580">
        <v>27.2</v>
      </c>
      <c r="Q580" t="s">
        <v>48</v>
      </c>
      <c r="R580" t="s">
        <v>47</v>
      </c>
      <c r="S580" t="s">
        <v>46</v>
      </c>
      <c r="T580" t="s">
        <v>47</v>
      </c>
      <c r="U580" t="s">
        <v>47</v>
      </c>
      <c r="V580" t="s">
        <v>117</v>
      </c>
      <c r="W580" t="s">
        <v>47</v>
      </c>
      <c r="X580" t="s">
        <v>47</v>
      </c>
      <c r="Y580" t="s">
        <v>47</v>
      </c>
      <c r="Z580" t="s">
        <v>47</v>
      </c>
      <c r="AA580" t="s">
        <v>46</v>
      </c>
      <c r="AB580" t="s">
        <v>47</v>
      </c>
      <c r="AC580" t="s">
        <v>47</v>
      </c>
      <c r="AD580" t="s">
        <v>46</v>
      </c>
      <c r="AE580" t="s">
        <v>47</v>
      </c>
      <c r="AF580" t="s">
        <v>47</v>
      </c>
      <c r="AG580" t="s">
        <v>52</v>
      </c>
      <c r="AH580" t="s">
        <v>71</v>
      </c>
      <c r="AI580" t="s">
        <v>80</v>
      </c>
      <c r="AJ580">
        <v>4.7</v>
      </c>
      <c r="AK580" t="s">
        <v>47</v>
      </c>
      <c r="AL580" t="s">
        <v>76</v>
      </c>
      <c r="AM580" t="s">
        <v>56</v>
      </c>
      <c r="AN580">
        <v>19</v>
      </c>
      <c r="AO580" t="s">
        <v>47</v>
      </c>
    </row>
    <row r="581" spans="1:41">
      <c r="A581" t="s">
        <v>733</v>
      </c>
      <c r="B581">
        <v>2017</v>
      </c>
      <c r="C581" s="1">
        <v>42794</v>
      </c>
      <c r="D581" t="s">
        <v>95</v>
      </c>
      <c r="E581" t="s">
        <v>107</v>
      </c>
      <c r="F581">
        <v>65</v>
      </c>
      <c r="G581" t="s">
        <v>60</v>
      </c>
      <c r="H581" t="s">
        <v>45</v>
      </c>
      <c r="I581">
        <v>31</v>
      </c>
      <c r="J581">
        <v>44</v>
      </c>
      <c r="K581" t="s">
        <v>47</v>
      </c>
      <c r="L581" t="s">
        <v>47</v>
      </c>
      <c r="M581" t="s">
        <v>46</v>
      </c>
      <c r="N581" t="s">
        <v>62</v>
      </c>
      <c r="O581" t="s">
        <v>49</v>
      </c>
      <c r="P581">
        <v>23.3</v>
      </c>
      <c r="Q581" t="s">
        <v>62</v>
      </c>
      <c r="R581" t="s">
        <v>47</v>
      </c>
      <c r="S581" t="s">
        <v>47</v>
      </c>
      <c r="T581" t="s">
        <v>47</v>
      </c>
      <c r="U581" t="s">
        <v>47</v>
      </c>
      <c r="V581" t="s">
        <v>86</v>
      </c>
      <c r="W581" t="s">
        <v>46</v>
      </c>
      <c r="X581" t="s">
        <v>46</v>
      </c>
      <c r="Y581" t="s">
        <v>46</v>
      </c>
      <c r="Z581" t="s">
        <v>46</v>
      </c>
      <c r="AA581" t="s">
        <v>47</v>
      </c>
      <c r="AB581" t="s">
        <v>46</v>
      </c>
      <c r="AC581" t="s">
        <v>47</v>
      </c>
      <c r="AD581" t="s">
        <v>47</v>
      </c>
      <c r="AE581" t="s">
        <v>47</v>
      </c>
      <c r="AF581" t="s">
        <v>47</v>
      </c>
      <c r="AG581" t="s">
        <v>52</v>
      </c>
      <c r="AH581" t="s">
        <v>71</v>
      </c>
      <c r="AI581" t="s">
        <v>80</v>
      </c>
      <c r="AJ581">
        <v>5.0999999999999996</v>
      </c>
      <c r="AK581" t="s">
        <v>47</v>
      </c>
      <c r="AL581" t="s">
        <v>76</v>
      </c>
      <c r="AM581" t="s">
        <v>118</v>
      </c>
      <c r="AN581">
        <v>19</v>
      </c>
      <c r="AO581" t="s">
        <v>47</v>
      </c>
    </row>
    <row r="582" spans="1:41">
      <c r="A582" t="s">
        <v>734</v>
      </c>
      <c r="B582">
        <v>2025</v>
      </c>
      <c r="C582" s="1">
        <v>45944</v>
      </c>
      <c r="D582" t="s">
        <v>42</v>
      </c>
      <c r="E582" t="s">
        <v>154</v>
      </c>
      <c r="F582">
        <v>66</v>
      </c>
      <c r="G582" t="s">
        <v>60</v>
      </c>
      <c r="H582" t="s">
        <v>61</v>
      </c>
      <c r="I582">
        <v>11</v>
      </c>
      <c r="J582">
        <v>17</v>
      </c>
      <c r="K582" t="s">
        <v>46</v>
      </c>
      <c r="L582" t="s">
        <v>46</v>
      </c>
      <c r="M582" t="s">
        <v>47</v>
      </c>
      <c r="N582" t="s">
        <v>48</v>
      </c>
      <c r="O582" t="s">
        <v>49</v>
      </c>
      <c r="P582">
        <v>25</v>
      </c>
      <c r="Q582" t="s">
        <v>48</v>
      </c>
      <c r="R582" t="s">
        <v>47</v>
      </c>
      <c r="S582" t="s">
        <v>46</v>
      </c>
      <c r="T582" t="s">
        <v>47</v>
      </c>
      <c r="U582" t="s">
        <v>47</v>
      </c>
      <c r="V582" t="s">
        <v>64</v>
      </c>
      <c r="W582" t="s">
        <v>46</v>
      </c>
      <c r="X582" t="s">
        <v>46</v>
      </c>
      <c r="Y582" t="s">
        <v>47</v>
      </c>
      <c r="Z582" t="s">
        <v>47</v>
      </c>
      <c r="AA582" t="s">
        <v>46</v>
      </c>
      <c r="AB582" t="s">
        <v>47</v>
      </c>
      <c r="AC582" t="s">
        <v>47</v>
      </c>
      <c r="AD582" t="s">
        <v>47</v>
      </c>
      <c r="AE582" t="s">
        <v>47</v>
      </c>
      <c r="AF582" t="s">
        <v>46</v>
      </c>
      <c r="AG582" t="s">
        <v>121</v>
      </c>
      <c r="AH582" t="s">
        <v>122</v>
      </c>
      <c r="AI582" t="s">
        <v>80</v>
      </c>
      <c r="AJ582">
        <v>5.8</v>
      </c>
      <c r="AK582" t="s">
        <v>47</v>
      </c>
      <c r="AL582" t="s">
        <v>66</v>
      </c>
      <c r="AM582" t="s">
        <v>82</v>
      </c>
      <c r="AN582">
        <v>26</v>
      </c>
      <c r="AO582" t="s">
        <v>47</v>
      </c>
    </row>
    <row r="583" spans="1:41">
      <c r="A583" t="s">
        <v>735</v>
      </c>
      <c r="B583">
        <v>2022</v>
      </c>
      <c r="C583" s="1">
        <v>44765</v>
      </c>
      <c r="D583" t="s">
        <v>58</v>
      </c>
      <c r="E583" t="s">
        <v>229</v>
      </c>
      <c r="F583">
        <v>69</v>
      </c>
      <c r="G583" t="s">
        <v>44</v>
      </c>
      <c r="H583" t="s">
        <v>70</v>
      </c>
      <c r="I583">
        <v>0</v>
      </c>
      <c r="J583">
        <v>0</v>
      </c>
      <c r="K583" t="s">
        <v>46</v>
      </c>
      <c r="L583" t="s">
        <v>47</v>
      </c>
      <c r="M583" t="s">
        <v>47</v>
      </c>
      <c r="N583" t="s">
        <v>48</v>
      </c>
      <c r="O583" t="s">
        <v>63</v>
      </c>
      <c r="P583">
        <v>30.7</v>
      </c>
      <c r="Q583" t="s">
        <v>62</v>
      </c>
      <c r="R583" t="s">
        <v>47</v>
      </c>
      <c r="S583" t="s">
        <v>47</v>
      </c>
      <c r="T583" t="s">
        <v>47</v>
      </c>
      <c r="U583" t="s">
        <v>47</v>
      </c>
      <c r="V583" t="s">
        <v>86</v>
      </c>
      <c r="W583" t="s">
        <v>47</v>
      </c>
      <c r="X583" t="s">
        <v>47</v>
      </c>
      <c r="Y583" t="s">
        <v>47</v>
      </c>
      <c r="Z583" t="s">
        <v>47</v>
      </c>
      <c r="AA583" t="s">
        <v>47</v>
      </c>
      <c r="AB583" t="s">
        <v>46</v>
      </c>
      <c r="AC583" t="s">
        <v>47</v>
      </c>
      <c r="AD583" t="s">
        <v>47</v>
      </c>
      <c r="AE583" t="s">
        <v>46</v>
      </c>
      <c r="AF583" t="s">
        <v>47</v>
      </c>
      <c r="AG583" t="s">
        <v>52</v>
      </c>
      <c r="AH583" t="s">
        <v>53</v>
      </c>
      <c r="AI583" t="s">
        <v>80</v>
      </c>
      <c r="AJ583">
        <v>6.6</v>
      </c>
      <c r="AK583" t="s">
        <v>47</v>
      </c>
      <c r="AL583" t="s">
        <v>100</v>
      </c>
      <c r="AM583" t="s">
        <v>67</v>
      </c>
      <c r="AN583">
        <v>16</v>
      </c>
      <c r="AO583" t="s">
        <v>47</v>
      </c>
    </row>
    <row r="584" spans="1:41">
      <c r="A584" t="s">
        <v>736</v>
      </c>
      <c r="B584">
        <v>2023</v>
      </c>
      <c r="C584" s="1">
        <v>45050</v>
      </c>
      <c r="D584" t="s">
        <v>95</v>
      </c>
      <c r="E584" t="s">
        <v>145</v>
      </c>
      <c r="F584">
        <v>50</v>
      </c>
      <c r="G584" t="s">
        <v>60</v>
      </c>
      <c r="H584" t="s">
        <v>61</v>
      </c>
      <c r="I584">
        <v>9</v>
      </c>
      <c r="J584">
        <v>19</v>
      </c>
      <c r="K584" t="s">
        <v>47</v>
      </c>
      <c r="L584" t="s">
        <v>47</v>
      </c>
      <c r="M584" t="s">
        <v>47</v>
      </c>
      <c r="N584" t="s">
        <v>50</v>
      </c>
      <c r="O584" t="s">
        <v>48</v>
      </c>
      <c r="P584">
        <v>29.9</v>
      </c>
      <c r="Q584" t="s">
        <v>62</v>
      </c>
      <c r="R584" t="s">
        <v>47</v>
      </c>
      <c r="S584" t="s">
        <v>47</v>
      </c>
      <c r="T584" t="s">
        <v>47</v>
      </c>
      <c r="U584" t="s">
        <v>47</v>
      </c>
      <c r="V584" t="s">
        <v>193</v>
      </c>
      <c r="W584" t="s">
        <v>47</v>
      </c>
      <c r="X584" t="s">
        <v>47</v>
      </c>
      <c r="Y584" t="s">
        <v>47</v>
      </c>
      <c r="Z584" t="s">
        <v>47</v>
      </c>
      <c r="AA584" t="s">
        <v>46</v>
      </c>
      <c r="AB584" t="s">
        <v>46</v>
      </c>
      <c r="AC584" t="s">
        <v>47</v>
      </c>
      <c r="AD584" t="s">
        <v>47</v>
      </c>
      <c r="AE584" t="s">
        <v>47</v>
      </c>
      <c r="AF584" t="s">
        <v>47</v>
      </c>
      <c r="AG584" t="s">
        <v>52</v>
      </c>
      <c r="AH584" t="s">
        <v>71</v>
      </c>
      <c r="AI584" t="s">
        <v>87</v>
      </c>
      <c r="AJ584">
        <v>3.7</v>
      </c>
      <c r="AK584" t="s">
        <v>47</v>
      </c>
      <c r="AL584" t="s">
        <v>100</v>
      </c>
      <c r="AM584" t="s">
        <v>103</v>
      </c>
      <c r="AN584">
        <v>28</v>
      </c>
      <c r="AO584" t="s">
        <v>47</v>
      </c>
    </row>
    <row r="585" spans="1:41">
      <c r="A585" t="s">
        <v>737</v>
      </c>
      <c r="B585">
        <v>2024</v>
      </c>
      <c r="C585" s="1">
        <v>45302</v>
      </c>
      <c r="D585" t="s">
        <v>42</v>
      </c>
      <c r="E585" t="s">
        <v>166</v>
      </c>
      <c r="F585">
        <v>79</v>
      </c>
      <c r="G585" t="s">
        <v>60</v>
      </c>
      <c r="H585" t="s">
        <v>70</v>
      </c>
      <c r="I585">
        <v>0</v>
      </c>
      <c r="J585">
        <v>0</v>
      </c>
      <c r="K585" t="s">
        <v>47</v>
      </c>
      <c r="L585" t="s">
        <v>47</v>
      </c>
      <c r="M585" t="s">
        <v>47</v>
      </c>
      <c r="N585" t="s">
        <v>48</v>
      </c>
      <c r="O585" t="s">
        <v>49</v>
      </c>
      <c r="P585">
        <v>29.9</v>
      </c>
      <c r="Q585" t="s">
        <v>48</v>
      </c>
      <c r="R585" t="s">
        <v>47</v>
      </c>
      <c r="S585" t="s">
        <v>47</v>
      </c>
      <c r="T585" t="s">
        <v>47</v>
      </c>
      <c r="U585" t="s">
        <v>47</v>
      </c>
      <c r="V585" t="s">
        <v>51</v>
      </c>
      <c r="W585" t="s">
        <v>46</v>
      </c>
      <c r="X585" t="s">
        <v>46</v>
      </c>
      <c r="Y585" t="s">
        <v>46</v>
      </c>
      <c r="Z585" t="s">
        <v>47</v>
      </c>
      <c r="AA585" t="s">
        <v>46</v>
      </c>
      <c r="AB585" t="s">
        <v>47</v>
      </c>
      <c r="AC585" t="s">
        <v>47</v>
      </c>
      <c r="AD585" t="s">
        <v>47</v>
      </c>
      <c r="AE585" t="s">
        <v>47</v>
      </c>
      <c r="AF585" t="s">
        <v>47</v>
      </c>
      <c r="AG585" t="s">
        <v>52</v>
      </c>
      <c r="AH585" t="s">
        <v>53</v>
      </c>
      <c r="AI585" t="s">
        <v>54</v>
      </c>
      <c r="AJ585">
        <v>5.5</v>
      </c>
      <c r="AK585" t="s">
        <v>46</v>
      </c>
      <c r="AL585" t="s">
        <v>100</v>
      </c>
      <c r="AM585" t="s">
        <v>118</v>
      </c>
      <c r="AN585">
        <v>1</v>
      </c>
      <c r="AO585" t="s">
        <v>47</v>
      </c>
    </row>
    <row r="586" spans="1:41">
      <c r="A586" t="s">
        <v>738</v>
      </c>
      <c r="B586">
        <v>2023</v>
      </c>
      <c r="C586" s="1">
        <v>45214</v>
      </c>
      <c r="D586" t="s">
        <v>42</v>
      </c>
      <c r="E586" t="s">
        <v>136</v>
      </c>
      <c r="F586">
        <v>67</v>
      </c>
      <c r="G586" t="s">
        <v>60</v>
      </c>
      <c r="H586" t="s">
        <v>70</v>
      </c>
      <c r="I586">
        <v>0</v>
      </c>
      <c r="J586">
        <v>0</v>
      </c>
      <c r="K586" t="s">
        <v>46</v>
      </c>
      <c r="L586" t="s">
        <v>47</v>
      </c>
      <c r="M586" t="s">
        <v>47</v>
      </c>
      <c r="N586" t="s">
        <v>48</v>
      </c>
      <c r="O586" t="s">
        <v>49</v>
      </c>
      <c r="P586">
        <v>28</v>
      </c>
      <c r="Q586" t="s">
        <v>62</v>
      </c>
      <c r="R586" t="s">
        <v>47</v>
      </c>
      <c r="S586" t="s">
        <v>47</v>
      </c>
      <c r="T586" t="s">
        <v>47</v>
      </c>
      <c r="U586" t="s">
        <v>47</v>
      </c>
      <c r="V586" t="s">
        <v>117</v>
      </c>
      <c r="W586" t="s">
        <v>47</v>
      </c>
      <c r="X586" t="s">
        <v>47</v>
      </c>
      <c r="Y586" t="s">
        <v>47</v>
      </c>
      <c r="Z586" t="s">
        <v>47</v>
      </c>
      <c r="AA586" t="s">
        <v>46</v>
      </c>
      <c r="AB586" t="s">
        <v>47</v>
      </c>
      <c r="AC586" t="s">
        <v>47</v>
      </c>
      <c r="AD586" t="s">
        <v>47</v>
      </c>
      <c r="AE586" t="s">
        <v>47</v>
      </c>
      <c r="AF586" t="s">
        <v>47</v>
      </c>
      <c r="AG586" t="s">
        <v>52</v>
      </c>
      <c r="AH586" t="s">
        <v>71</v>
      </c>
      <c r="AI586" t="s">
        <v>87</v>
      </c>
      <c r="AJ586">
        <v>6</v>
      </c>
      <c r="AK586" t="s">
        <v>47</v>
      </c>
      <c r="AL586" t="s">
        <v>76</v>
      </c>
      <c r="AM586" t="s">
        <v>118</v>
      </c>
      <c r="AN586">
        <v>58</v>
      </c>
      <c r="AO586" t="s">
        <v>47</v>
      </c>
    </row>
    <row r="587" spans="1:41">
      <c r="A587" t="s">
        <v>739</v>
      </c>
      <c r="B587">
        <v>2019</v>
      </c>
      <c r="C587" s="1">
        <v>43510</v>
      </c>
      <c r="D587" t="s">
        <v>98</v>
      </c>
      <c r="E587" t="s">
        <v>263</v>
      </c>
      <c r="F587">
        <v>61</v>
      </c>
      <c r="G587" t="s">
        <v>44</v>
      </c>
      <c r="H587" t="s">
        <v>45</v>
      </c>
      <c r="I587">
        <v>18</v>
      </c>
      <c r="J587">
        <v>22</v>
      </c>
      <c r="K587" t="s">
        <v>47</v>
      </c>
      <c r="L587" t="s">
        <v>47</v>
      </c>
      <c r="M587" t="s">
        <v>46</v>
      </c>
      <c r="N587" t="s">
        <v>48</v>
      </c>
      <c r="O587" t="s">
        <v>63</v>
      </c>
      <c r="P587">
        <v>25.8</v>
      </c>
      <c r="Q587" t="s">
        <v>48</v>
      </c>
      <c r="R587" t="s">
        <v>47</v>
      </c>
      <c r="S587" t="s">
        <v>47</v>
      </c>
      <c r="T587" t="s">
        <v>47</v>
      </c>
      <c r="U587" t="s">
        <v>47</v>
      </c>
      <c r="V587" t="s">
        <v>64</v>
      </c>
      <c r="W587" t="s">
        <v>47</v>
      </c>
      <c r="X587" t="s">
        <v>47</v>
      </c>
      <c r="Y587" t="s">
        <v>47</v>
      </c>
      <c r="Z587" t="s">
        <v>46</v>
      </c>
      <c r="AA587" t="s">
        <v>47</v>
      </c>
      <c r="AB587" t="s">
        <v>47</v>
      </c>
      <c r="AC587" t="s">
        <v>47</v>
      </c>
      <c r="AD587" t="s">
        <v>46</v>
      </c>
      <c r="AE587" t="s">
        <v>47</v>
      </c>
      <c r="AF587" t="s">
        <v>47</v>
      </c>
      <c r="AG587" t="s">
        <v>52</v>
      </c>
      <c r="AH587" t="s">
        <v>53</v>
      </c>
      <c r="AI587" t="s">
        <v>54</v>
      </c>
      <c r="AJ587">
        <v>4.5</v>
      </c>
      <c r="AK587" t="s">
        <v>46</v>
      </c>
      <c r="AL587" t="s">
        <v>76</v>
      </c>
      <c r="AM587" t="s">
        <v>82</v>
      </c>
      <c r="AN587">
        <v>1</v>
      </c>
      <c r="AO587" t="s">
        <v>47</v>
      </c>
    </row>
    <row r="588" spans="1:41">
      <c r="A588" t="s">
        <v>740</v>
      </c>
      <c r="B588">
        <v>2018</v>
      </c>
      <c r="C588" s="1">
        <v>43204</v>
      </c>
      <c r="D588" t="s">
        <v>58</v>
      </c>
      <c r="E588" t="s">
        <v>163</v>
      </c>
      <c r="F588">
        <v>58</v>
      </c>
      <c r="G588" t="s">
        <v>44</v>
      </c>
      <c r="H588" t="s">
        <v>70</v>
      </c>
      <c r="I588">
        <v>0</v>
      </c>
      <c r="J588">
        <v>0</v>
      </c>
      <c r="K588" t="s">
        <v>46</v>
      </c>
      <c r="L588" t="s">
        <v>47</v>
      </c>
      <c r="M588" t="s">
        <v>47</v>
      </c>
      <c r="N588" t="s">
        <v>50</v>
      </c>
      <c r="O588" t="s">
        <v>49</v>
      </c>
      <c r="P588">
        <v>29.9</v>
      </c>
      <c r="Q588" t="s">
        <v>48</v>
      </c>
      <c r="R588" t="s">
        <v>47</v>
      </c>
      <c r="S588" t="s">
        <v>47</v>
      </c>
      <c r="T588" t="s">
        <v>47</v>
      </c>
      <c r="U588" t="s">
        <v>47</v>
      </c>
      <c r="V588" t="s">
        <v>51</v>
      </c>
      <c r="W588" t="s">
        <v>46</v>
      </c>
      <c r="X588" t="s">
        <v>47</v>
      </c>
      <c r="Y588" t="s">
        <v>47</v>
      </c>
      <c r="Z588" t="s">
        <v>47</v>
      </c>
      <c r="AA588" t="s">
        <v>46</v>
      </c>
      <c r="AB588" t="s">
        <v>47</v>
      </c>
      <c r="AC588" t="s">
        <v>47</v>
      </c>
      <c r="AD588" t="s">
        <v>47</v>
      </c>
      <c r="AE588" t="s">
        <v>46</v>
      </c>
      <c r="AF588" t="s">
        <v>47</v>
      </c>
      <c r="AG588" t="s">
        <v>52</v>
      </c>
      <c r="AH588" t="s">
        <v>53</v>
      </c>
      <c r="AI588" t="s">
        <v>54</v>
      </c>
      <c r="AJ588">
        <v>4.5999999999999996</v>
      </c>
      <c r="AK588" t="s">
        <v>46</v>
      </c>
      <c r="AL588" t="s">
        <v>76</v>
      </c>
      <c r="AM588" t="s">
        <v>82</v>
      </c>
      <c r="AN588">
        <v>8</v>
      </c>
      <c r="AO588" t="s">
        <v>47</v>
      </c>
    </row>
    <row r="589" spans="1:41">
      <c r="A589" t="s">
        <v>741</v>
      </c>
      <c r="B589">
        <v>2021</v>
      </c>
      <c r="C589" s="1">
        <v>44394</v>
      </c>
      <c r="D589" t="s">
        <v>58</v>
      </c>
      <c r="E589" t="s">
        <v>169</v>
      </c>
      <c r="F589">
        <v>69</v>
      </c>
      <c r="G589" t="s">
        <v>60</v>
      </c>
      <c r="H589" t="s">
        <v>61</v>
      </c>
      <c r="I589">
        <v>24</v>
      </c>
      <c r="J589">
        <v>4</v>
      </c>
      <c r="K589" t="s">
        <v>47</v>
      </c>
      <c r="L589" t="s">
        <v>47</v>
      </c>
      <c r="M589" t="s">
        <v>47</v>
      </c>
      <c r="N589" t="s">
        <v>48</v>
      </c>
      <c r="O589" t="s">
        <v>48</v>
      </c>
      <c r="P589">
        <v>25.4</v>
      </c>
      <c r="Q589" t="s">
        <v>62</v>
      </c>
      <c r="R589" t="s">
        <v>47</v>
      </c>
      <c r="S589" t="s">
        <v>47</v>
      </c>
      <c r="T589" t="s">
        <v>47</v>
      </c>
      <c r="U589" t="s">
        <v>47</v>
      </c>
      <c r="V589" t="s">
        <v>64</v>
      </c>
      <c r="W589" t="s">
        <v>46</v>
      </c>
      <c r="X589" t="s">
        <v>47</v>
      </c>
      <c r="Y589" t="s">
        <v>46</v>
      </c>
      <c r="Z589" t="s">
        <v>47</v>
      </c>
      <c r="AA589" t="s">
        <v>46</v>
      </c>
      <c r="AB589" t="s">
        <v>46</v>
      </c>
      <c r="AC589" t="s">
        <v>46</v>
      </c>
      <c r="AD589" t="s">
        <v>46</v>
      </c>
      <c r="AE589" t="s">
        <v>46</v>
      </c>
      <c r="AF589" t="s">
        <v>47</v>
      </c>
      <c r="AG589" t="s">
        <v>52</v>
      </c>
      <c r="AH589" t="s">
        <v>53</v>
      </c>
      <c r="AI589" t="s">
        <v>87</v>
      </c>
      <c r="AJ589">
        <v>7</v>
      </c>
      <c r="AK589" t="s">
        <v>47</v>
      </c>
      <c r="AL589" t="s">
        <v>76</v>
      </c>
      <c r="AM589" t="s">
        <v>77</v>
      </c>
      <c r="AN589">
        <v>6</v>
      </c>
      <c r="AO589" t="s">
        <v>46</v>
      </c>
    </row>
    <row r="590" spans="1:41">
      <c r="A590" t="s">
        <v>742</v>
      </c>
      <c r="B590">
        <v>2024</v>
      </c>
      <c r="C590" s="1">
        <v>45501</v>
      </c>
      <c r="D590" t="s">
        <v>42</v>
      </c>
      <c r="E590" t="s">
        <v>247</v>
      </c>
      <c r="F590">
        <v>66</v>
      </c>
      <c r="G590" t="s">
        <v>44</v>
      </c>
      <c r="H590" t="s">
        <v>45</v>
      </c>
      <c r="I590">
        <v>16</v>
      </c>
      <c r="J590">
        <v>18</v>
      </c>
      <c r="K590" t="s">
        <v>47</v>
      </c>
      <c r="L590" t="s">
        <v>47</v>
      </c>
      <c r="M590" t="s">
        <v>47</v>
      </c>
      <c r="N590" t="s">
        <v>62</v>
      </c>
      <c r="O590" t="s">
        <v>49</v>
      </c>
      <c r="P590">
        <v>31.6</v>
      </c>
      <c r="Q590" t="s">
        <v>48</v>
      </c>
      <c r="R590" t="s">
        <v>47</v>
      </c>
      <c r="S590" t="s">
        <v>47</v>
      </c>
      <c r="T590" t="s">
        <v>47</v>
      </c>
      <c r="U590" t="s">
        <v>47</v>
      </c>
      <c r="V590" t="s">
        <v>51</v>
      </c>
      <c r="W590" t="s">
        <v>47</v>
      </c>
      <c r="X590" t="s">
        <v>47</v>
      </c>
      <c r="Y590" t="s">
        <v>47</v>
      </c>
      <c r="Z590" t="s">
        <v>46</v>
      </c>
      <c r="AA590" t="s">
        <v>47</v>
      </c>
      <c r="AB590" t="s">
        <v>46</v>
      </c>
      <c r="AC590" t="s">
        <v>47</v>
      </c>
      <c r="AD590" t="s">
        <v>47</v>
      </c>
      <c r="AE590" t="s">
        <v>47</v>
      </c>
      <c r="AF590" t="s">
        <v>46</v>
      </c>
      <c r="AG590" t="s">
        <v>52</v>
      </c>
      <c r="AH590" t="s">
        <v>71</v>
      </c>
      <c r="AI590" t="s">
        <v>54</v>
      </c>
      <c r="AJ590">
        <v>6</v>
      </c>
      <c r="AK590" t="s">
        <v>46</v>
      </c>
      <c r="AL590" t="s">
        <v>76</v>
      </c>
      <c r="AM590" t="s">
        <v>265</v>
      </c>
      <c r="AN590">
        <v>8</v>
      </c>
      <c r="AO590" t="s">
        <v>47</v>
      </c>
    </row>
    <row r="591" spans="1:41">
      <c r="A591" t="s">
        <v>743</v>
      </c>
      <c r="B591">
        <v>2016</v>
      </c>
      <c r="C591" s="1">
        <v>42715</v>
      </c>
      <c r="D591" t="s">
        <v>98</v>
      </c>
      <c r="E591" t="s">
        <v>212</v>
      </c>
      <c r="F591">
        <v>49</v>
      </c>
      <c r="G591" t="s">
        <v>44</v>
      </c>
      <c r="H591" t="s">
        <v>70</v>
      </c>
      <c r="I591">
        <v>0</v>
      </c>
      <c r="J591">
        <v>0</v>
      </c>
      <c r="K591" t="s">
        <v>47</v>
      </c>
      <c r="L591" t="s">
        <v>47</v>
      </c>
      <c r="M591" t="s">
        <v>46</v>
      </c>
      <c r="N591" t="s">
        <v>50</v>
      </c>
      <c r="O591" t="s">
        <v>48</v>
      </c>
      <c r="P591">
        <v>25.5</v>
      </c>
      <c r="Q591" t="s">
        <v>48</v>
      </c>
      <c r="R591" t="s">
        <v>47</v>
      </c>
      <c r="S591" t="s">
        <v>47</v>
      </c>
      <c r="T591" t="s">
        <v>47</v>
      </c>
      <c r="U591" t="s">
        <v>47</v>
      </c>
      <c r="V591" t="s">
        <v>51</v>
      </c>
      <c r="W591" t="s">
        <v>47</v>
      </c>
      <c r="X591" t="s">
        <v>47</v>
      </c>
      <c r="Y591" t="s">
        <v>47</v>
      </c>
      <c r="Z591" t="s">
        <v>47</v>
      </c>
      <c r="AA591" t="s">
        <v>46</v>
      </c>
      <c r="AB591" t="s">
        <v>47</v>
      </c>
      <c r="AC591" t="s">
        <v>47</v>
      </c>
      <c r="AD591" t="s">
        <v>47</v>
      </c>
      <c r="AE591" t="s">
        <v>47</v>
      </c>
      <c r="AF591" t="s">
        <v>47</v>
      </c>
      <c r="AG591" t="s">
        <v>52</v>
      </c>
      <c r="AH591" t="s">
        <v>90</v>
      </c>
      <c r="AI591" t="s">
        <v>87</v>
      </c>
      <c r="AJ591">
        <v>5</v>
      </c>
      <c r="AK591" t="s">
        <v>47</v>
      </c>
      <c r="AL591" t="s">
        <v>81</v>
      </c>
      <c r="AM591" t="s">
        <v>103</v>
      </c>
      <c r="AN591">
        <v>43</v>
      </c>
      <c r="AO591" t="s">
        <v>47</v>
      </c>
    </row>
    <row r="592" spans="1:41">
      <c r="A592" t="s">
        <v>744</v>
      </c>
      <c r="B592">
        <v>2016</v>
      </c>
      <c r="C592" s="1">
        <v>42546</v>
      </c>
      <c r="D592" t="s">
        <v>42</v>
      </c>
      <c r="E592" t="s">
        <v>166</v>
      </c>
      <c r="F592">
        <v>67</v>
      </c>
      <c r="G592" t="s">
        <v>60</v>
      </c>
      <c r="H592" t="s">
        <v>70</v>
      </c>
      <c r="I592">
        <v>0</v>
      </c>
      <c r="J592">
        <v>0</v>
      </c>
      <c r="K592" t="s">
        <v>46</v>
      </c>
      <c r="L592" t="s">
        <v>47</v>
      </c>
      <c r="M592" t="s">
        <v>47</v>
      </c>
      <c r="N592" t="s">
        <v>62</v>
      </c>
      <c r="O592" t="s">
        <v>48</v>
      </c>
      <c r="P592">
        <v>23.9</v>
      </c>
      <c r="Q592" t="s">
        <v>48</v>
      </c>
      <c r="R592" t="s">
        <v>47</v>
      </c>
      <c r="S592" t="s">
        <v>47</v>
      </c>
      <c r="T592" t="s">
        <v>47</v>
      </c>
      <c r="U592" t="s">
        <v>46</v>
      </c>
      <c r="V592" t="s">
        <v>51</v>
      </c>
      <c r="W592" t="s">
        <v>47</v>
      </c>
      <c r="X592" t="s">
        <v>47</v>
      </c>
      <c r="Y592" t="s">
        <v>47</v>
      </c>
      <c r="Z592" t="s">
        <v>46</v>
      </c>
      <c r="AA592" t="s">
        <v>46</v>
      </c>
      <c r="AB592" t="s">
        <v>47</v>
      </c>
      <c r="AC592" t="s">
        <v>47</v>
      </c>
      <c r="AD592" t="s">
        <v>47</v>
      </c>
      <c r="AE592" t="s">
        <v>47</v>
      </c>
      <c r="AF592" t="s">
        <v>47</v>
      </c>
      <c r="AG592" t="s">
        <v>52</v>
      </c>
      <c r="AH592" t="s">
        <v>53</v>
      </c>
      <c r="AI592" t="s">
        <v>54</v>
      </c>
      <c r="AJ592">
        <v>10.8</v>
      </c>
      <c r="AK592" t="s">
        <v>46</v>
      </c>
      <c r="AL592" t="s">
        <v>76</v>
      </c>
      <c r="AM592" t="s">
        <v>118</v>
      </c>
      <c r="AN592">
        <v>16</v>
      </c>
      <c r="AO592" t="s">
        <v>47</v>
      </c>
    </row>
    <row r="593" spans="1:41">
      <c r="A593" t="s">
        <v>745</v>
      </c>
      <c r="B593">
        <v>2021</v>
      </c>
      <c r="C593" s="1">
        <v>44244</v>
      </c>
      <c r="D593" t="s">
        <v>98</v>
      </c>
      <c r="E593" t="s">
        <v>263</v>
      </c>
      <c r="F593">
        <v>54</v>
      </c>
      <c r="G593" t="s">
        <v>44</v>
      </c>
      <c r="H593" t="s">
        <v>70</v>
      </c>
      <c r="I593">
        <v>0</v>
      </c>
      <c r="J593">
        <v>0</v>
      </c>
      <c r="K593" t="s">
        <v>47</v>
      </c>
      <c r="L593" t="s">
        <v>47</v>
      </c>
      <c r="M593" t="s">
        <v>47</v>
      </c>
      <c r="N593" t="s">
        <v>62</v>
      </c>
      <c r="O593" t="s">
        <v>49</v>
      </c>
      <c r="P593">
        <v>28.1</v>
      </c>
      <c r="Q593" t="s">
        <v>62</v>
      </c>
      <c r="R593" t="s">
        <v>47</v>
      </c>
      <c r="S593" t="s">
        <v>47</v>
      </c>
      <c r="T593" t="s">
        <v>47</v>
      </c>
      <c r="U593" t="s">
        <v>47</v>
      </c>
      <c r="V593" t="s">
        <v>51</v>
      </c>
      <c r="W593" t="s">
        <v>46</v>
      </c>
      <c r="X593" t="s">
        <v>46</v>
      </c>
      <c r="Y593" t="s">
        <v>46</v>
      </c>
      <c r="Z593" t="s">
        <v>47</v>
      </c>
      <c r="AA593" t="s">
        <v>46</v>
      </c>
      <c r="AB593" t="s">
        <v>47</v>
      </c>
      <c r="AC593" t="s">
        <v>46</v>
      </c>
      <c r="AD593" t="s">
        <v>47</v>
      </c>
      <c r="AE593" t="s">
        <v>47</v>
      </c>
      <c r="AF593" t="s">
        <v>47</v>
      </c>
      <c r="AG593" t="s">
        <v>52</v>
      </c>
      <c r="AH593" t="s">
        <v>53</v>
      </c>
      <c r="AI593" t="s">
        <v>87</v>
      </c>
      <c r="AJ593">
        <v>2</v>
      </c>
      <c r="AK593" t="s">
        <v>47</v>
      </c>
      <c r="AL593" t="s">
        <v>76</v>
      </c>
      <c r="AM593" t="s">
        <v>82</v>
      </c>
      <c r="AN593">
        <v>48</v>
      </c>
      <c r="AO593" t="s">
        <v>47</v>
      </c>
    </row>
    <row r="594" spans="1:41">
      <c r="A594" t="s">
        <v>746</v>
      </c>
      <c r="B594">
        <v>2024</v>
      </c>
      <c r="C594" s="1">
        <v>45552</v>
      </c>
      <c r="D594" t="s">
        <v>84</v>
      </c>
      <c r="E594" t="s">
        <v>126</v>
      </c>
      <c r="F594">
        <v>54</v>
      </c>
      <c r="G594" t="s">
        <v>60</v>
      </c>
      <c r="H594" t="s">
        <v>70</v>
      </c>
      <c r="I594">
        <v>0</v>
      </c>
      <c r="J594">
        <v>0</v>
      </c>
      <c r="K594" t="s">
        <v>46</v>
      </c>
      <c r="L594" t="s">
        <v>46</v>
      </c>
      <c r="M594" t="s">
        <v>47</v>
      </c>
      <c r="N594" t="s">
        <v>48</v>
      </c>
      <c r="O594" t="s">
        <v>63</v>
      </c>
      <c r="P594">
        <v>27.3</v>
      </c>
      <c r="Q594" t="s">
        <v>62</v>
      </c>
      <c r="R594" t="s">
        <v>47</v>
      </c>
      <c r="S594" t="s">
        <v>47</v>
      </c>
      <c r="T594" t="s">
        <v>47</v>
      </c>
      <c r="U594" t="s">
        <v>47</v>
      </c>
      <c r="V594" t="s">
        <v>51</v>
      </c>
      <c r="W594" t="s">
        <v>47</v>
      </c>
      <c r="X594" t="s">
        <v>47</v>
      </c>
      <c r="Y594" t="s">
        <v>46</v>
      </c>
      <c r="Z594" t="s">
        <v>47</v>
      </c>
      <c r="AA594" t="s">
        <v>46</v>
      </c>
      <c r="AB594" t="s">
        <v>46</v>
      </c>
      <c r="AC594" t="s">
        <v>47</v>
      </c>
      <c r="AD594" t="s">
        <v>46</v>
      </c>
      <c r="AE594" t="s">
        <v>47</v>
      </c>
      <c r="AF594" t="s">
        <v>46</v>
      </c>
      <c r="AG594" t="s">
        <v>52</v>
      </c>
      <c r="AH594" t="s">
        <v>53</v>
      </c>
      <c r="AI594" t="s">
        <v>87</v>
      </c>
      <c r="AJ594">
        <v>3.8</v>
      </c>
      <c r="AK594" t="s">
        <v>47</v>
      </c>
      <c r="AL594" t="s">
        <v>76</v>
      </c>
      <c r="AM594" t="s">
        <v>73</v>
      </c>
      <c r="AN594">
        <v>48</v>
      </c>
      <c r="AO594" t="s">
        <v>46</v>
      </c>
    </row>
    <row r="595" spans="1:41">
      <c r="A595" t="s">
        <v>747</v>
      </c>
      <c r="B595">
        <v>2022</v>
      </c>
      <c r="C595" s="1">
        <v>44724</v>
      </c>
      <c r="D595" t="s">
        <v>58</v>
      </c>
      <c r="E595" t="s">
        <v>142</v>
      </c>
      <c r="F595">
        <v>47</v>
      </c>
      <c r="G595" t="s">
        <v>60</v>
      </c>
      <c r="H595" t="s">
        <v>61</v>
      </c>
      <c r="I595">
        <v>16</v>
      </c>
      <c r="J595">
        <v>16</v>
      </c>
      <c r="K595" t="s">
        <v>47</v>
      </c>
      <c r="L595" t="s">
        <v>46</v>
      </c>
      <c r="M595" t="s">
        <v>47</v>
      </c>
      <c r="N595" t="s">
        <v>48</v>
      </c>
      <c r="O595" t="s">
        <v>49</v>
      </c>
      <c r="P595">
        <v>21.5</v>
      </c>
      <c r="Q595" t="s">
        <v>62</v>
      </c>
      <c r="R595" t="s">
        <v>47</v>
      </c>
      <c r="S595" t="s">
        <v>47</v>
      </c>
      <c r="T595" t="s">
        <v>47</v>
      </c>
      <c r="U595" t="s">
        <v>47</v>
      </c>
      <c r="V595" t="s">
        <v>51</v>
      </c>
      <c r="W595" t="s">
        <v>47</v>
      </c>
      <c r="X595" t="s">
        <v>47</v>
      </c>
      <c r="Y595" t="s">
        <v>46</v>
      </c>
      <c r="Z595" t="s">
        <v>47</v>
      </c>
      <c r="AA595" t="s">
        <v>46</v>
      </c>
      <c r="AB595" t="s">
        <v>46</v>
      </c>
      <c r="AC595" t="s">
        <v>46</v>
      </c>
      <c r="AD595" t="s">
        <v>46</v>
      </c>
      <c r="AE595" t="s">
        <v>47</v>
      </c>
      <c r="AF595" t="s">
        <v>47</v>
      </c>
      <c r="AG595" t="s">
        <v>52</v>
      </c>
      <c r="AH595" t="s">
        <v>53</v>
      </c>
      <c r="AI595" t="s">
        <v>80</v>
      </c>
      <c r="AJ595">
        <v>5.4</v>
      </c>
      <c r="AK595" t="s">
        <v>47</v>
      </c>
      <c r="AL595" t="s">
        <v>66</v>
      </c>
      <c r="AM595" t="s">
        <v>77</v>
      </c>
      <c r="AN595">
        <v>16</v>
      </c>
      <c r="AO595" t="s">
        <v>47</v>
      </c>
    </row>
    <row r="596" spans="1:41">
      <c r="A596" t="s">
        <v>748</v>
      </c>
      <c r="B596">
        <v>2025</v>
      </c>
      <c r="C596" s="1">
        <v>45751</v>
      </c>
      <c r="D596" t="s">
        <v>110</v>
      </c>
      <c r="E596" t="s">
        <v>294</v>
      </c>
      <c r="F596">
        <v>47</v>
      </c>
      <c r="G596" t="s">
        <v>44</v>
      </c>
      <c r="H596" t="s">
        <v>70</v>
      </c>
      <c r="I596">
        <v>0</v>
      </c>
      <c r="J596">
        <v>0</v>
      </c>
      <c r="K596" t="s">
        <v>47</v>
      </c>
      <c r="L596" t="s">
        <v>47</v>
      </c>
      <c r="M596" t="s">
        <v>47</v>
      </c>
      <c r="N596" t="s">
        <v>48</v>
      </c>
      <c r="O596" t="s">
        <v>48</v>
      </c>
      <c r="P596">
        <v>35.4</v>
      </c>
      <c r="Q596" t="s">
        <v>62</v>
      </c>
      <c r="R596" t="s">
        <v>47</v>
      </c>
      <c r="S596" t="s">
        <v>47</v>
      </c>
      <c r="T596" t="s">
        <v>47</v>
      </c>
      <c r="U596" t="s">
        <v>47</v>
      </c>
      <c r="V596" t="s">
        <v>51</v>
      </c>
      <c r="W596" t="s">
        <v>47</v>
      </c>
      <c r="X596" t="s">
        <v>47</v>
      </c>
      <c r="Y596" t="s">
        <v>47</v>
      </c>
      <c r="Z596" t="s">
        <v>47</v>
      </c>
      <c r="AA596" t="s">
        <v>47</v>
      </c>
      <c r="AB596" t="s">
        <v>47</v>
      </c>
      <c r="AC596" t="s">
        <v>47</v>
      </c>
      <c r="AD596" t="s">
        <v>47</v>
      </c>
      <c r="AE596" t="s">
        <v>47</v>
      </c>
      <c r="AF596" t="s">
        <v>47</v>
      </c>
      <c r="AG596" t="s">
        <v>121</v>
      </c>
      <c r="AH596" t="s">
        <v>122</v>
      </c>
      <c r="AI596" t="s">
        <v>65</v>
      </c>
      <c r="AJ596">
        <v>0.9</v>
      </c>
      <c r="AK596" t="s">
        <v>47</v>
      </c>
      <c r="AL596" t="s">
        <v>66</v>
      </c>
      <c r="AM596" t="s">
        <v>82</v>
      </c>
      <c r="AN596">
        <v>82</v>
      </c>
      <c r="AO596" t="s">
        <v>46</v>
      </c>
    </row>
    <row r="597" spans="1:41">
      <c r="A597" t="s">
        <v>749</v>
      </c>
      <c r="B597">
        <v>2025</v>
      </c>
      <c r="C597" s="1">
        <v>45784</v>
      </c>
      <c r="D597" t="s">
        <v>84</v>
      </c>
      <c r="E597" t="s">
        <v>182</v>
      </c>
      <c r="F597">
        <v>47</v>
      </c>
      <c r="G597" t="s">
        <v>44</v>
      </c>
      <c r="H597" t="s">
        <v>70</v>
      </c>
      <c r="I597">
        <v>0</v>
      </c>
      <c r="J597">
        <v>0</v>
      </c>
      <c r="K597" t="s">
        <v>47</v>
      </c>
      <c r="L597" t="s">
        <v>46</v>
      </c>
      <c r="M597" t="s">
        <v>47</v>
      </c>
      <c r="N597" t="s">
        <v>48</v>
      </c>
      <c r="O597" t="s">
        <v>48</v>
      </c>
      <c r="P597">
        <v>23.6</v>
      </c>
      <c r="Q597" t="s">
        <v>50</v>
      </c>
      <c r="R597" t="s">
        <v>47</v>
      </c>
      <c r="S597" t="s">
        <v>47</v>
      </c>
      <c r="T597" t="s">
        <v>47</v>
      </c>
      <c r="U597" t="s">
        <v>47</v>
      </c>
      <c r="V597" t="s">
        <v>51</v>
      </c>
      <c r="W597" t="s">
        <v>47</v>
      </c>
      <c r="X597" t="s">
        <v>47</v>
      </c>
      <c r="Y597" t="s">
        <v>47</v>
      </c>
      <c r="Z597" t="s">
        <v>47</v>
      </c>
      <c r="AA597" t="s">
        <v>47</v>
      </c>
      <c r="AB597" t="s">
        <v>47</v>
      </c>
      <c r="AC597" t="s">
        <v>47</v>
      </c>
      <c r="AD597" t="s">
        <v>47</v>
      </c>
      <c r="AE597" t="s">
        <v>47</v>
      </c>
      <c r="AF597" t="s">
        <v>47</v>
      </c>
      <c r="AG597" t="s">
        <v>52</v>
      </c>
      <c r="AH597" t="s">
        <v>53</v>
      </c>
      <c r="AI597" t="s">
        <v>65</v>
      </c>
      <c r="AJ597">
        <v>0.8</v>
      </c>
      <c r="AK597" t="s">
        <v>47</v>
      </c>
      <c r="AL597" t="s">
        <v>72</v>
      </c>
      <c r="AM597" t="s">
        <v>118</v>
      </c>
      <c r="AN597">
        <v>83</v>
      </c>
      <c r="AO597" t="s">
        <v>46</v>
      </c>
    </row>
    <row r="598" spans="1:41">
      <c r="A598" t="s">
        <v>750</v>
      </c>
      <c r="B598">
        <v>2017</v>
      </c>
      <c r="C598" s="1">
        <v>43013</v>
      </c>
      <c r="D598" t="s">
        <v>110</v>
      </c>
      <c r="E598" t="s">
        <v>227</v>
      </c>
      <c r="F598">
        <v>62</v>
      </c>
      <c r="G598" t="s">
        <v>60</v>
      </c>
      <c r="H598" t="s">
        <v>70</v>
      </c>
      <c r="I598">
        <v>0</v>
      </c>
      <c r="J598">
        <v>0</v>
      </c>
      <c r="K598" t="s">
        <v>46</v>
      </c>
      <c r="L598" t="s">
        <v>47</v>
      </c>
      <c r="M598" t="s">
        <v>47</v>
      </c>
      <c r="N598" t="s">
        <v>62</v>
      </c>
      <c r="O598" t="s">
        <v>48</v>
      </c>
      <c r="P598">
        <v>31.5</v>
      </c>
      <c r="Q598" t="s">
        <v>50</v>
      </c>
      <c r="R598" t="s">
        <v>47</v>
      </c>
      <c r="S598" t="s">
        <v>47</v>
      </c>
      <c r="T598" t="s">
        <v>47</v>
      </c>
      <c r="U598" t="s">
        <v>47</v>
      </c>
      <c r="V598" t="s">
        <v>51</v>
      </c>
      <c r="W598" t="s">
        <v>47</v>
      </c>
      <c r="X598" t="s">
        <v>47</v>
      </c>
      <c r="Y598" t="s">
        <v>47</v>
      </c>
      <c r="Z598" t="s">
        <v>47</v>
      </c>
      <c r="AA598" t="s">
        <v>46</v>
      </c>
      <c r="AB598" t="s">
        <v>47</v>
      </c>
      <c r="AC598" t="s">
        <v>47</v>
      </c>
      <c r="AD598" t="s">
        <v>47</v>
      </c>
      <c r="AE598" t="s">
        <v>47</v>
      </c>
      <c r="AF598" t="s">
        <v>47</v>
      </c>
      <c r="AG598" t="s">
        <v>52</v>
      </c>
      <c r="AH598" t="s">
        <v>90</v>
      </c>
      <c r="AI598" t="s">
        <v>65</v>
      </c>
      <c r="AJ598">
        <v>1.9</v>
      </c>
      <c r="AK598" t="s">
        <v>47</v>
      </c>
      <c r="AL598" t="s">
        <v>81</v>
      </c>
      <c r="AM598" t="s">
        <v>73</v>
      </c>
      <c r="AN598">
        <v>80</v>
      </c>
      <c r="AO598" t="s">
        <v>47</v>
      </c>
    </row>
    <row r="599" spans="1:41">
      <c r="A599" t="s">
        <v>751</v>
      </c>
      <c r="B599">
        <v>2025</v>
      </c>
      <c r="C599" s="1">
        <v>45741</v>
      </c>
      <c r="D599" t="s">
        <v>95</v>
      </c>
      <c r="E599" t="s">
        <v>96</v>
      </c>
      <c r="F599">
        <v>41</v>
      </c>
      <c r="G599" t="s">
        <v>44</v>
      </c>
      <c r="H599" t="s">
        <v>70</v>
      </c>
      <c r="I599">
        <v>0</v>
      </c>
      <c r="J599">
        <v>0</v>
      </c>
      <c r="K599" t="s">
        <v>47</v>
      </c>
      <c r="L599" t="s">
        <v>47</v>
      </c>
      <c r="M599" t="s">
        <v>47</v>
      </c>
      <c r="N599" t="s">
        <v>48</v>
      </c>
      <c r="O599" t="s">
        <v>49</v>
      </c>
      <c r="P599">
        <v>21.8</v>
      </c>
      <c r="Q599" t="s">
        <v>48</v>
      </c>
      <c r="R599" t="s">
        <v>47</v>
      </c>
      <c r="S599" t="s">
        <v>47</v>
      </c>
      <c r="T599" t="s">
        <v>47</v>
      </c>
      <c r="U599" t="s">
        <v>47</v>
      </c>
      <c r="V599" t="s">
        <v>51</v>
      </c>
      <c r="W599" t="s">
        <v>47</v>
      </c>
      <c r="X599" t="s">
        <v>47</v>
      </c>
      <c r="Y599" t="s">
        <v>47</v>
      </c>
      <c r="Z599" t="s">
        <v>46</v>
      </c>
      <c r="AA599" t="s">
        <v>46</v>
      </c>
      <c r="AB599" t="s">
        <v>46</v>
      </c>
      <c r="AC599" t="s">
        <v>47</v>
      </c>
      <c r="AD599" t="s">
        <v>46</v>
      </c>
      <c r="AE599" t="s">
        <v>47</v>
      </c>
      <c r="AF599" t="s">
        <v>47</v>
      </c>
      <c r="AG599" t="s">
        <v>52</v>
      </c>
      <c r="AH599" t="s">
        <v>53</v>
      </c>
      <c r="AI599" t="s">
        <v>65</v>
      </c>
      <c r="AJ599">
        <v>0.5</v>
      </c>
      <c r="AK599" t="s">
        <v>47</v>
      </c>
      <c r="AL599" t="s">
        <v>76</v>
      </c>
      <c r="AM599" t="s">
        <v>103</v>
      </c>
      <c r="AN599">
        <v>93</v>
      </c>
      <c r="AO599" t="s">
        <v>46</v>
      </c>
    </row>
    <row r="600" spans="1:41">
      <c r="A600" t="s">
        <v>752</v>
      </c>
      <c r="B600">
        <v>2016</v>
      </c>
      <c r="C600" s="1">
        <v>42607</v>
      </c>
      <c r="D600" t="s">
        <v>42</v>
      </c>
      <c r="E600" t="s">
        <v>154</v>
      </c>
      <c r="F600">
        <v>50</v>
      </c>
      <c r="G600" t="s">
        <v>60</v>
      </c>
      <c r="H600" t="s">
        <v>61</v>
      </c>
      <c r="I600">
        <v>24</v>
      </c>
      <c r="J600">
        <v>13</v>
      </c>
      <c r="K600" t="s">
        <v>47</v>
      </c>
      <c r="L600" t="s">
        <v>46</v>
      </c>
      <c r="M600" t="s">
        <v>47</v>
      </c>
      <c r="N600" t="s">
        <v>50</v>
      </c>
      <c r="O600" t="s">
        <v>63</v>
      </c>
      <c r="P600">
        <v>26.5</v>
      </c>
      <c r="Q600" t="s">
        <v>62</v>
      </c>
      <c r="R600" t="s">
        <v>47</v>
      </c>
      <c r="S600" t="s">
        <v>47</v>
      </c>
      <c r="T600" t="s">
        <v>47</v>
      </c>
      <c r="U600" t="s">
        <v>47</v>
      </c>
      <c r="V600" t="s">
        <v>64</v>
      </c>
      <c r="W600" t="s">
        <v>47</v>
      </c>
      <c r="X600" t="s">
        <v>47</v>
      </c>
      <c r="Y600" t="s">
        <v>47</v>
      </c>
      <c r="Z600" t="s">
        <v>47</v>
      </c>
      <c r="AA600" t="s">
        <v>47</v>
      </c>
      <c r="AB600" t="s">
        <v>47</v>
      </c>
      <c r="AC600" t="s">
        <v>46</v>
      </c>
      <c r="AD600" t="s">
        <v>47</v>
      </c>
      <c r="AE600" t="s">
        <v>47</v>
      </c>
      <c r="AF600" t="s">
        <v>47</v>
      </c>
      <c r="AG600" t="s">
        <v>52</v>
      </c>
      <c r="AH600" t="s">
        <v>71</v>
      </c>
      <c r="AI600" t="s">
        <v>87</v>
      </c>
      <c r="AJ600">
        <v>5</v>
      </c>
      <c r="AK600" t="s">
        <v>47</v>
      </c>
      <c r="AL600" t="s">
        <v>156</v>
      </c>
      <c r="AM600" t="s">
        <v>67</v>
      </c>
      <c r="AN600">
        <v>19</v>
      </c>
      <c r="AO600" t="s">
        <v>46</v>
      </c>
    </row>
    <row r="601" spans="1:41">
      <c r="A601" t="s">
        <v>753</v>
      </c>
      <c r="B601">
        <v>2018</v>
      </c>
      <c r="C601" s="1">
        <v>43388</v>
      </c>
      <c r="D601" t="s">
        <v>58</v>
      </c>
      <c r="E601" t="s">
        <v>163</v>
      </c>
      <c r="F601">
        <v>85</v>
      </c>
      <c r="G601" t="s">
        <v>60</v>
      </c>
      <c r="H601" t="s">
        <v>61</v>
      </c>
      <c r="I601">
        <v>15</v>
      </c>
      <c r="J601">
        <v>18</v>
      </c>
      <c r="K601" t="s">
        <v>47</v>
      </c>
      <c r="L601" t="s">
        <v>47</v>
      </c>
      <c r="M601" t="s">
        <v>47</v>
      </c>
      <c r="N601" t="s">
        <v>62</v>
      </c>
      <c r="O601" t="s">
        <v>49</v>
      </c>
      <c r="P601">
        <v>27.2</v>
      </c>
      <c r="Q601" t="s">
        <v>50</v>
      </c>
      <c r="R601" t="s">
        <v>47</v>
      </c>
      <c r="S601" t="s">
        <v>47</v>
      </c>
      <c r="T601" t="s">
        <v>47</v>
      </c>
      <c r="U601" t="s">
        <v>47</v>
      </c>
      <c r="V601" t="s">
        <v>151</v>
      </c>
      <c r="W601" t="s">
        <v>47</v>
      </c>
      <c r="X601" t="s">
        <v>46</v>
      </c>
      <c r="Y601" t="s">
        <v>46</v>
      </c>
      <c r="Z601" t="s">
        <v>47</v>
      </c>
      <c r="AA601" t="s">
        <v>46</v>
      </c>
      <c r="AB601" t="s">
        <v>47</v>
      </c>
      <c r="AC601" t="s">
        <v>46</v>
      </c>
      <c r="AD601" t="s">
        <v>47</v>
      </c>
      <c r="AE601" t="s">
        <v>47</v>
      </c>
      <c r="AF601" t="s">
        <v>46</v>
      </c>
      <c r="AG601" t="s">
        <v>52</v>
      </c>
      <c r="AH601" t="s">
        <v>71</v>
      </c>
      <c r="AI601" t="s">
        <v>54</v>
      </c>
      <c r="AJ601">
        <v>5</v>
      </c>
      <c r="AK601" t="s">
        <v>46</v>
      </c>
      <c r="AL601" t="s">
        <v>81</v>
      </c>
      <c r="AM601" t="s">
        <v>77</v>
      </c>
      <c r="AN601">
        <v>4</v>
      </c>
      <c r="AO601" t="s">
        <v>47</v>
      </c>
    </row>
    <row r="602" spans="1:41">
      <c r="A602" t="s">
        <v>754</v>
      </c>
      <c r="B602">
        <v>2021</v>
      </c>
      <c r="C602" s="1">
        <v>44521</v>
      </c>
      <c r="D602" t="s">
        <v>42</v>
      </c>
      <c r="E602" t="s">
        <v>154</v>
      </c>
      <c r="F602">
        <v>71</v>
      </c>
      <c r="G602" t="s">
        <v>60</v>
      </c>
      <c r="H602" t="s">
        <v>70</v>
      </c>
      <c r="I602">
        <v>0</v>
      </c>
      <c r="J602">
        <v>0</v>
      </c>
      <c r="K602" t="s">
        <v>46</v>
      </c>
      <c r="L602" t="s">
        <v>47</v>
      </c>
      <c r="M602" t="s">
        <v>47</v>
      </c>
      <c r="N602" t="s">
        <v>48</v>
      </c>
      <c r="O602" t="s">
        <v>49</v>
      </c>
      <c r="P602">
        <v>31</v>
      </c>
      <c r="Q602" t="s">
        <v>62</v>
      </c>
      <c r="R602" t="s">
        <v>47</v>
      </c>
      <c r="S602" t="s">
        <v>47</v>
      </c>
      <c r="T602" t="s">
        <v>47</v>
      </c>
      <c r="U602" t="s">
        <v>47</v>
      </c>
      <c r="V602" t="s">
        <v>64</v>
      </c>
      <c r="W602" t="s">
        <v>46</v>
      </c>
      <c r="X602" t="s">
        <v>46</v>
      </c>
      <c r="Y602" t="s">
        <v>47</v>
      </c>
      <c r="Z602" t="s">
        <v>47</v>
      </c>
      <c r="AA602" t="s">
        <v>47</v>
      </c>
      <c r="AB602" t="s">
        <v>46</v>
      </c>
      <c r="AC602" t="s">
        <v>47</v>
      </c>
      <c r="AD602" t="s">
        <v>46</v>
      </c>
      <c r="AE602" t="s">
        <v>47</v>
      </c>
      <c r="AF602" t="s">
        <v>47</v>
      </c>
      <c r="AG602" t="s">
        <v>52</v>
      </c>
      <c r="AH602" t="s">
        <v>53</v>
      </c>
      <c r="AI602" t="s">
        <v>65</v>
      </c>
      <c r="AJ602">
        <v>2.4</v>
      </c>
      <c r="AK602" t="s">
        <v>47</v>
      </c>
      <c r="AL602" t="s">
        <v>76</v>
      </c>
      <c r="AM602" t="s">
        <v>67</v>
      </c>
      <c r="AN602">
        <v>66</v>
      </c>
      <c r="AO602" t="s">
        <v>47</v>
      </c>
    </row>
    <row r="603" spans="1:41">
      <c r="A603" t="s">
        <v>755</v>
      </c>
      <c r="B603">
        <v>2025</v>
      </c>
      <c r="C603" s="1">
        <v>45836</v>
      </c>
      <c r="D603" t="s">
        <v>95</v>
      </c>
      <c r="E603" t="s">
        <v>107</v>
      </c>
      <c r="F603">
        <v>60</v>
      </c>
      <c r="G603" t="s">
        <v>44</v>
      </c>
      <c r="H603" t="s">
        <v>70</v>
      </c>
      <c r="I603">
        <v>0</v>
      </c>
      <c r="J603">
        <v>0</v>
      </c>
      <c r="K603" t="s">
        <v>47</v>
      </c>
      <c r="L603" t="s">
        <v>47</v>
      </c>
      <c r="M603" t="s">
        <v>47</v>
      </c>
      <c r="N603" t="s">
        <v>48</v>
      </c>
      <c r="O603" t="s">
        <v>49</v>
      </c>
      <c r="P603">
        <v>24.9</v>
      </c>
      <c r="Q603" t="s">
        <v>50</v>
      </c>
      <c r="R603" t="s">
        <v>47</v>
      </c>
      <c r="S603" t="s">
        <v>47</v>
      </c>
      <c r="T603" t="s">
        <v>47</v>
      </c>
      <c r="U603" t="s">
        <v>47</v>
      </c>
      <c r="V603" t="s">
        <v>51</v>
      </c>
      <c r="W603" t="s">
        <v>46</v>
      </c>
      <c r="X603" t="s">
        <v>46</v>
      </c>
      <c r="Y603" t="s">
        <v>46</v>
      </c>
      <c r="Z603" t="s">
        <v>47</v>
      </c>
      <c r="AA603" t="s">
        <v>46</v>
      </c>
      <c r="AB603" t="s">
        <v>47</v>
      </c>
      <c r="AC603" t="s">
        <v>47</v>
      </c>
      <c r="AD603" t="s">
        <v>47</v>
      </c>
      <c r="AE603" t="s">
        <v>47</v>
      </c>
      <c r="AF603" t="s">
        <v>47</v>
      </c>
      <c r="AG603" t="s">
        <v>52</v>
      </c>
      <c r="AH603" t="s">
        <v>71</v>
      </c>
      <c r="AI603" t="s">
        <v>65</v>
      </c>
      <c r="AJ603">
        <v>1.1000000000000001</v>
      </c>
      <c r="AK603" t="s">
        <v>47</v>
      </c>
      <c r="AL603" t="s">
        <v>72</v>
      </c>
      <c r="AM603" t="s">
        <v>73</v>
      </c>
      <c r="AN603">
        <v>58</v>
      </c>
      <c r="AO603" t="s">
        <v>46</v>
      </c>
    </row>
    <row r="604" spans="1:41">
      <c r="A604" t="s">
        <v>756</v>
      </c>
      <c r="B604">
        <v>2018</v>
      </c>
      <c r="C604" s="1">
        <v>43174</v>
      </c>
      <c r="D604" t="s">
        <v>42</v>
      </c>
      <c r="E604" t="s">
        <v>69</v>
      </c>
      <c r="F604">
        <v>50</v>
      </c>
      <c r="G604" t="s">
        <v>60</v>
      </c>
      <c r="H604" t="s">
        <v>45</v>
      </c>
      <c r="I604">
        <v>27</v>
      </c>
      <c r="J604">
        <v>25</v>
      </c>
      <c r="K604" t="s">
        <v>46</v>
      </c>
      <c r="L604" t="s">
        <v>47</v>
      </c>
      <c r="M604" t="s">
        <v>47</v>
      </c>
      <c r="N604" t="s">
        <v>48</v>
      </c>
      <c r="O604" t="s">
        <v>48</v>
      </c>
      <c r="P604">
        <v>29.8</v>
      </c>
      <c r="Q604" t="s">
        <v>62</v>
      </c>
      <c r="R604" t="s">
        <v>46</v>
      </c>
      <c r="S604" t="s">
        <v>47</v>
      </c>
      <c r="T604" t="s">
        <v>47</v>
      </c>
      <c r="U604" t="s">
        <v>47</v>
      </c>
      <c r="V604" t="s">
        <v>51</v>
      </c>
      <c r="W604" t="s">
        <v>47</v>
      </c>
      <c r="X604" t="s">
        <v>47</v>
      </c>
      <c r="Y604" t="s">
        <v>47</v>
      </c>
      <c r="Z604" t="s">
        <v>47</v>
      </c>
      <c r="AA604" t="s">
        <v>47</v>
      </c>
      <c r="AB604" t="s">
        <v>47</v>
      </c>
      <c r="AC604" t="s">
        <v>46</v>
      </c>
      <c r="AD604" t="s">
        <v>47</v>
      </c>
      <c r="AE604" t="s">
        <v>47</v>
      </c>
      <c r="AF604" t="s">
        <v>47</v>
      </c>
      <c r="AG604" t="s">
        <v>121</v>
      </c>
      <c r="AH604" t="s">
        <v>122</v>
      </c>
      <c r="AI604" t="s">
        <v>54</v>
      </c>
      <c r="AJ604">
        <v>10.1</v>
      </c>
      <c r="AK604" t="s">
        <v>46</v>
      </c>
      <c r="AL604" t="s">
        <v>72</v>
      </c>
      <c r="AM604" t="s">
        <v>118</v>
      </c>
      <c r="AN604">
        <v>1</v>
      </c>
      <c r="AO604" t="s">
        <v>47</v>
      </c>
    </row>
    <row r="605" spans="1:41">
      <c r="A605" t="s">
        <v>757</v>
      </c>
      <c r="B605">
        <v>2020</v>
      </c>
      <c r="C605" s="1">
        <v>44058</v>
      </c>
      <c r="D605" t="s">
        <v>42</v>
      </c>
      <c r="E605" t="s">
        <v>247</v>
      </c>
      <c r="F605">
        <v>33</v>
      </c>
      <c r="G605" t="s">
        <v>60</v>
      </c>
      <c r="H605" t="s">
        <v>70</v>
      </c>
      <c r="I605">
        <v>0</v>
      </c>
      <c r="J605">
        <v>0</v>
      </c>
      <c r="K605" t="s">
        <v>47</v>
      </c>
      <c r="L605" t="s">
        <v>47</v>
      </c>
      <c r="M605" t="s">
        <v>46</v>
      </c>
      <c r="N605" t="s">
        <v>48</v>
      </c>
      <c r="O605" t="s">
        <v>49</v>
      </c>
      <c r="P605">
        <v>26.4</v>
      </c>
      <c r="Q605" t="s">
        <v>50</v>
      </c>
      <c r="R605" t="s">
        <v>47</v>
      </c>
      <c r="S605" t="s">
        <v>47</v>
      </c>
      <c r="T605" t="s">
        <v>47</v>
      </c>
      <c r="U605" t="s">
        <v>47</v>
      </c>
      <c r="V605" t="s">
        <v>51</v>
      </c>
      <c r="W605" t="s">
        <v>47</v>
      </c>
      <c r="X605" t="s">
        <v>47</v>
      </c>
      <c r="Y605" t="s">
        <v>47</v>
      </c>
      <c r="Z605" t="s">
        <v>47</v>
      </c>
      <c r="AA605" t="s">
        <v>47</v>
      </c>
      <c r="AB605" t="s">
        <v>47</v>
      </c>
      <c r="AC605" t="s">
        <v>47</v>
      </c>
      <c r="AD605" t="s">
        <v>46</v>
      </c>
      <c r="AE605" t="s">
        <v>47</v>
      </c>
      <c r="AF605" t="s">
        <v>47</v>
      </c>
      <c r="AG605" t="s">
        <v>52</v>
      </c>
      <c r="AH605" t="s">
        <v>71</v>
      </c>
      <c r="AI605" t="s">
        <v>87</v>
      </c>
      <c r="AJ605">
        <v>7</v>
      </c>
      <c r="AK605" t="s">
        <v>47</v>
      </c>
      <c r="AL605" t="s">
        <v>66</v>
      </c>
      <c r="AM605" t="s">
        <v>118</v>
      </c>
      <c r="AN605">
        <v>39</v>
      </c>
      <c r="AO605" t="s">
        <v>46</v>
      </c>
    </row>
    <row r="606" spans="1:41">
      <c r="A606" t="s">
        <v>758</v>
      </c>
      <c r="B606">
        <v>2024</v>
      </c>
      <c r="C606" s="1">
        <v>45431</v>
      </c>
      <c r="D606" t="s">
        <v>95</v>
      </c>
      <c r="E606" t="s">
        <v>114</v>
      </c>
      <c r="F606">
        <v>62</v>
      </c>
      <c r="G606" t="s">
        <v>60</v>
      </c>
      <c r="H606" t="s">
        <v>61</v>
      </c>
      <c r="I606">
        <v>7</v>
      </c>
      <c r="J606">
        <v>13</v>
      </c>
      <c r="K606" t="s">
        <v>46</v>
      </c>
      <c r="L606" t="s">
        <v>47</v>
      </c>
      <c r="M606" t="s">
        <v>47</v>
      </c>
      <c r="N606" t="s">
        <v>50</v>
      </c>
      <c r="O606" t="s">
        <v>48</v>
      </c>
      <c r="P606">
        <v>35</v>
      </c>
      <c r="Q606" t="s">
        <v>48</v>
      </c>
      <c r="R606" t="s">
        <v>47</v>
      </c>
      <c r="S606" t="s">
        <v>47</v>
      </c>
      <c r="T606" t="s">
        <v>47</v>
      </c>
      <c r="U606" t="s">
        <v>47</v>
      </c>
      <c r="V606" t="s">
        <v>51</v>
      </c>
      <c r="W606" t="s">
        <v>46</v>
      </c>
      <c r="X606" t="s">
        <v>47</v>
      </c>
      <c r="Y606" t="s">
        <v>47</v>
      </c>
      <c r="Z606" t="s">
        <v>47</v>
      </c>
      <c r="AA606" t="s">
        <v>46</v>
      </c>
      <c r="AB606" t="s">
        <v>47</v>
      </c>
      <c r="AC606" t="s">
        <v>46</v>
      </c>
      <c r="AD606" t="s">
        <v>47</v>
      </c>
      <c r="AE606" t="s">
        <v>46</v>
      </c>
      <c r="AF606" t="s">
        <v>47</v>
      </c>
      <c r="AG606" t="s">
        <v>52</v>
      </c>
      <c r="AH606" t="s">
        <v>53</v>
      </c>
      <c r="AI606" t="s">
        <v>54</v>
      </c>
      <c r="AJ606">
        <v>6.1</v>
      </c>
      <c r="AK606" t="s">
        <v>46</v>
      </c>
      <c r="AL606" t="s">
        <v>156</v>
      </c>
      <c r="AM606" t="s">
        <v>118</v>
      </c>
      <c r="AN606">
        <v>11</v>
      </c>
      <c r="AO606" t="s">
        <v>47</v>
      </c>
    </row>
    <row r="607" spans="1:41">
      <c r="A607" t="s">
        <v>759</v>
      </c>
      <c r="B607">
        <v>2020</v>
      </c>
      <c r="C607" s="1">
        <v>43999</v>
      </c>
      <c r="D607" t="s">
        <v>95</v>
      </c>
      <c r="E607" t="s">
        <v>120</v>
      </c>
      <c r="F607">
        <v>41</v>
      </c>
      <c r="G607" t="s">
        <v>44</v>
      </c>
      <c r="H607" t="s">
        <v>70</v>
      </c>
      <c r="I607">
        <v>0</v>
      </c>
      <c r="J607">
        <v>0</v>
      </c>
      <c r="K607" t="s">
        <v>47</v>
      </c>
      <c r="L607" t="s">
        <v>46</v>
      </c>
      <c r="M607" t="s">
        <v>46</v>
      </c>
      <c r="N607" t="s">
        <v>48</v>
      </c>
      <c r="O607" t="s">
        <v>48</v>
      </c>
      <c r="P607">
        <v>31.4</v>
      </c>
      <c r="Q607" t="s">
        <v>50</v>
      </c>
      <c r="R607" t="s">
        <v>47</v>
      </c>
      <c r="S607" t="s">
        <v>47</v>
      </c>
      <c r="T607" t="s">
        <v>47</v>
      </c>
      <c r="U607" t="s">
        <v>47</v>
      </c>
      <c r="V607" t="s">
        <v>51</v>
      </c>
      <c r="W607" t="s">
        <v>47</v>
      </c>
      <c r="X607" t="s">
        <v>47</v>
      </c>
      <c r="Y607" t="s">
        <v>46</v>
      </c>
      <c r="Z607" t="s">
        <v>47</v>
      </c>
      <c r="AA607" t="s">
        <v>46</v>
      </c>
      <c r="AB607" t="s">
        <v>47</v>
      </c>
      <c r="AC607" t="s">
        <v>47</v>
      </c>
      <c r="AD607" t="s">
        <v>47</v>
      </c>
      <c r="AE607" t="s">
        <v>47</v>
      </c>
      <c r="AF607" t="s">
        <v>46</v>
      </c>
      <c r="AG607" t="s">
        <v>52</v>
      </c>
      <c r="AH607" t="s">
        <v>71</v>
      </c>
      <c r="AI607" t="s">
        <v>54</v>
      </c>
      <c r="AJ607">
        <v>7.1</v>
      </c>
      <c r="AK607" t="s">
        <v>46</v>
      </c>
      <c r="AL607" t="s">
        <v>66</v>
      </c>
      <c r="AM607" t="s">
        <v>118</v>
      </c>
      <c r="AN607">
        <v>13</v>
      </c>
      <c r="AO607" t="s">
        <v>47</v>
      </c>
    </row>
    <row r="608" spans="1:41">
      <c r="A608" t="s">
        <v>760</v>
      </c>
      <c r="B608">
        <v>2024</v>
      </c>
      <c r="C608" s="1">
        <v>45427</v>
      </c>
      <c r="D608" t="s">
        <v>84</v>
      </c>
      <c r="E608" t="s">
        <v>571</v>
      </c>
      <c r="F608">
        <v>72</v>
      </c>
      <c r="G608" t="s">
        <v>60</v>
      </c>
      <c r="H608" t="s">
        <v>70</v>
      </c>
      <c r="I608">
        <v>0</v>
      </c>
      <c r="J608">
        <v>0</v>
      </c>
      <c r="K608" t="s">
        <v>46</v>
      </c>
      <c r="L608" t="s">
        <v>47</v>
      </c>
      <c r="M608" t="s">
        <v>47</v>
      </c>
      <c r="N608" t="s">
        <v>62</v>
      </c>
      <c r="O608" t="s">
        <v>49</v>
      </c>
      <c r="P608">
        <v>30.6</v>
      </c>
      <c r="Q608" t="s">
        <v>48</v>
      </c>
      <c r="R608" t="s">
        <v>47</v>
      </c>
      <c r="S608" t="s">
        <v>46</v>
      </c>
      <c r="T608" t="s">
        <v>47</v>
      </c>
      <c r="U608" t="s">
        <v>47</v>
      </c>
      <c r="V608" t="s">
        <v>51</v>
      </c>
      <c r="W608" t="s">
        <v>47</v>
      </c>
      <c r="X608" t="s">
        <v>47</v>
      </c>
      <c r="Y608" t="s">
        <v>46</v>
      </c>
      <c r="Z608" t="s">
        <v>47</v>
      </c>
      <c r="AA608" t="s">
        <v>46</v>
      </c>
      <c r="AB608" t="s">
        <v>47</v>
      </c>
      <c r="AC608" t="s">
        <v>47</v>
      </c>
      <c r="AD608" t="s">
        <v>46</v>
      </c>
      <c r="AE608" t="s">
        <v>47</v>
      </c>
      <c r="AF608" t="s">
        <v>47</v>
      </c>
      <c r="AG608" t="s">
        <v>52</v>
      </c>
      <c r="AH608" t="s">
        <v>53</v>
      </c>
      <c r="AI608" t="s">
        <v>80</v>
      </c>
      <c r="AJ608">
        <v>6.5</v>
      </c>
      <c r="AK608" t="s">
        <v>47</v>
      </c>
      <c r="AL608" t="s">
        <v>66</v>
      </c>
      <c r="AM608" t="s">
        <v>103</v>
      </c>
      <c r="AN608">
        <v>17</v>
      </c>
      <c r="AO608" t="s">
        <v>47</v>
      </c>
    </row>
    <row r="609" spans="1:41">
      <c r="A609" t="s">
        <v>761</v>
      </c>
      <c r="B609">
        <v>2025</v>
      </c>
      <c r="C609" s="1">
        <v>45659</v>
      </c>
      <c r="D609" t="s">
        <v>58</v>
      </c>
      <c r="E609" t="s">
        <v>138</v>
      </c>
      <c r="F609">
        <v>56</v>
      </c>
      <c r="G609" t="s">
        <v>60</v>
      </c>
      <c r="H609" t="s">
        <v>45</v>
      </c>
      <c r="I609">
        <v>6</v>
      </c>
      <c r="J609">
        <v>38</v>
      </c>
      <c r="K609" t="s">
        <v>47</v>
      </c>
      <c r="L609" t="s">
        <v>47</v>
      </c>
      <c r="M609" t="s">
        <v>46</v>
      </c>
      <c r="N609" t="s">
        <v>62</v>
      </c>
      <c r="O609" t="s">
        <v>63</v>
      </c>
      <c r="P609">
        <v>26.3</v>
      </c>
      <c r="Q609" t="s">
        <v>48</v>
      </c>
      <c r="R609" t="s">
        <v>47</v>
      </c>
      <c r="S609" t="s">
        <v>46</v>
      </c>
      <c r="T609" t="s">
        <v>47</v>
      </c>
      <c r="U609" t="s">
        <v>47</v>
      </c>
      <c r="V609" t="s">
        <v>151</v>
      </c>
      <c r="W609" t="s">
        <v>46</v>
      </c>
      <c r="X609" t="s">
        <v>46</v>
      </c>
      <c r="Y609" t="s">
        <v>46</v>
      </c>
      <c r="Z609" t="s">
        <v>47</v>
      </c>
      <c r="AA609" t="s">
        <v>46</v>
      </c>
      <c r="AB609" t="s">
        <v>47</v>
      </c>
      <c r="AC609" t="s">
        <v>47</v>
      </c>
      <c r="AD609" t="s">
        <v>46</v>
      </c>
      <c r="AE609" t="s">
        <v>47</v>
      </c>
      <c r="AF609" t="s">
        <v>47</v>
      </c>
      <c r="AG609" t="s">
        <v>52</v>
      </c>
      <c r="AH609" t="s">
        <v>71</v>
      </c>
      <c r="AI609" t="s">
        <v>54</v>
      </c>
      <c r="AJ609">
        <v>6.7</v>
      </c>
      <c r="AK609" t="s">
        <v>46</v>
      </c>
      <c r="AL609" t="s">
        <v>100</v>
      </c>
      <c r="AM609" t="s">
        <v>77</v>
      </c>
      <c r="AN609">
        <v>1</v>
      </c>
      <c r="AO609" t="s">
        <v>47</v>
      </c>
    </row>
    <row r="610" spans="1:41">
      <c r="A610" t="s">
        <v>762</v>
      </c>
      <c r="B610">
        <v>2016</v>
      </c>
      <c r="C610" s="1">
        <v>42493</v>
      </c>
      <c r="D610" t="s">
        <v>110</v>
      </c>
      <c r="E610" t="s">
        <v>227</v>
      </c>
      <c r="F610">
        <v>63</v>
      </c>
      <c r="G610" t="s">
        <v>60</v>
      </c>
      <c r="H610" t="s">
        <v>70</v>
      </c>
      <c r="I610">
        <v>0</v>
      </c>
      <c r="J610">
        <v>0</v>
      </c>
      <c r="K610" t="s">
        <v>46</v>
      </c>
      <c r="L610" t="s">
        <v>46</v>
      </c>
      <c r="M610" t="s">
        <v>47</v>
      </c>
      <c r="N610" t="s">
        <v>62</v>
      </c>
      <c r="O610" t="s">
        <v>49</v>
      </c>
      <c r="P610">
        <v>28.4</v>
      </c>
      <c r="Q610" t="s">
        <v>48</v>
      </c>
      <c r="R610" t="s">
        <v>47</v>
      </c>
      <c r="S610" t="s">
        <v>47</v>
      </c>
      <c r="T610" t="s">
        <v>46</v>
      </c>
      <c r="U610" t="s">
        <v>47</v>
      </c>
      <c r="V610" t="s">
        <v>51</v>
      </c>
      <c r="W610" t="s">
        <v>47</v>
      </c>
      <c r="X610" t="s">
        <v>47</v>
      </c>
      <c r="Y610" t="s">
        <v>47</v>
      </c>
      <c r="Z610" t="s">
        <v>47</v>
      </c>
      <c r="AA610" t="s">
        <v>47</v>
      </c>
      <c r="AB610" t="s">
        <v>47</v>
      </c>
      <c r="AC610" t="s">
        <v>47</v>
      </c>
      <c r="AD610" t="s">
        <v>47</v>
      </c>
      <c r="AE610" t="s">
        <v>46</v>
      </c>
      <c r="AF610" t="s">
        <v>46</v>
      </c>
      <c r="AG610" t="s">
        <v>52</v>
      </c>
      <c r="AH610" t="s">
        <v>53</v>
      </c>
      <c r="AI610" t="s">
        <v>65</v>
      </c>
      <c r="AJ610">
        <v>1.4</v>
      </c>
      <c r="AK610" t="s">
        <v>47</v>
      </c>
      <c r="AL610" t="s">
        <v>76</v>
      </c>
      <c r="AM610" t="s">
        <v>67</v>
      </c>
      <c r="AN610">
        <v>66</v>
      </c>
      <c r="AO610" t="s">
        <v>46</v>
      </c>
    </row>
    <row r="611" spans="1:41">
      <c r="A611" t="s">
        <v>763</v>
      </c>
      <c r="B611">
        <v>2019</v>
      </c>
      <c r="C611" s="1">
        <v>43758</v>
      </c>
      <c r="D611" t="s">
        <v>58</v>
      </c>
      <c r="E611" t="s">
        <v>220</v>
      </c>
      <c r="F611">
        <v>61</v>
      </c>
      <c r="G611" t="s">
        <v>44</v>
      </c>
      <c r="H611" t="s">
        <v>70</v>
      </c>
      <c r="I611">
        <v>0</v>
      </c>
      <c r="J611">
        <v>0</v>
      </c>
      <c r="K611" t="s">
        <v>46</v>
      </c>
      <c r="L611" t="s">
        <v>46</v>
      </c>
      <c r="M611" t="s">
        <v>47</v>
      </c>
      <c r="N611" t="s">
        <v>48</v>
      </c>
      <c r="O611" t="s">
        <v>48</v>
      </c>
      <c r="P611">
        <v>28.7</v>
      </c>
      <c r="Q611" t="s">
        <v>50</v>
      </c>
      <c r="R611" t="s">
        <v>47</v>
      </c>
      <c r="S611" t="s">
        <v>47</v>
      </c>
      <c r="T611" t="s">
        <v>47</v>
      </c>
      <c r="U611" t="s">
        <v>47</v>
      </c>
      <c r="V611" t="s">
        <v>51</v>
      </c>
      <c r="W611" t="s">
        <v>47</v>
      </c>
      <c r="X611" t="s">
        <v>46</v>
      </c>
      <c r="Y611" t="s">
        <v>47</v>
      </c>
      <c r="Z611" t="s">
        <v>47</v>
      </c>
      <c r="AA611" t="s">
        <v>46</v>
      </c>
      <c r="AB611" t="s">
        <v>47</v>
      </c>
      <c r="AC611" t="s">
        <v>47</v>
      </c>
      <c r="AD611" t="s">
        <v>46</v>
      </c>
      <c r="AE611" t="s">
        <v>47</v>
      </c>
      <c r="AF611" t="s">
        <v>47</v>
      </c>
      <c r="AG611" t="s">
        <v>52</v>
      </c>
      <c r="AH611" t="s">
        <v>53</v>
      </c>
      <c r="AI611" t="s">
        <v>65</v>
      </c>
      <c r="AJ611">
        <v>3</v>
      </c>
      <c r="AK611" t="s">
        <v>47</v>
      </c>
      <c r="AL611" t="s">
        <v>76</v>
      </c>
      <c r="AM611" t="s">
        <v>67</v>
      </c>
      <c r="AN611">
        <v>77</v>
      </c>
      <c r="AO611" t="s">
        <v>46</v>
      </c>
    </row>
    <row r="612" spans="1:41">
      <c r="A612" t="s">
        <v>764</v>
      </c>
      <c r="B612">
        <v>2018</v>
      </c>
      <c r="C612" s="1">
        <v>43296</v>
      </c>
      <c r="D612" t="s">
        <v>110</v>
      </c>
      <c r="E612" t="s">
        <v>124</v>
      </c>
      <c r="F612">
        <v>55</v>
      </c>
      <c r="G612" t="s">
        <v>60</v>
      </c>
      <c r="H612" t="s">
        <v>70</v>
      </c>
      <c r="I612">
        <v>0</v>
      </c>
      <c r="J612">
        <v>0</v>
      </c>
      <c r="K612" t="s">
        <v>47</v>
      </c>
      <c r="L612" t="s">
        <v>47</v>
      </c>
      <c r="M612" t="s">
        <v>46</v>
      </c>
      <c r="N612" t="s">
        <v>62</v>
      </c>
      <c r="O612" t="s">
        <v>63</v>
      </c>
      <c r="P612">
        <v>25.9</v>
      </c>
      <c r="Q612" t="s">
        <v>50</v>
      </c>
      <c r="R612" t="s">
        <v>47</v>
      </c>
      <c r="S612" t="s">
        <v>47</v>
      </c>
      <c r="T612" t="s">
        <v>47</v>
      </c>
      <c r="U612" t="s">
        <v>47</v>
      </c>
      <c r="V612" t="s">
        <v>64</v>
      </c>
      <c r="W612" t="s">
        <v>47</v>
      </c>
      <c r="X612" t="s">
        <v>47</v>
      </c>
      <c r="Y612" t="s">
        <v>47</v>
      </c>
      <c r="Z612" t="s">
        <v>47</v>
      </c>
      <c r="AA612" t="s">
        <v>46</v>
      </c>
      <c r="AB612" t="s">
        <v>47</v>
      </c>
      <c r="AC612" t="s">
        <v>47</v>
      </c>
      <c r="AD612" t="s">
        <v>46</v>
      </c>
      <c r="AE612" t="s">
        <v>47</v>
      </c>
      <c r="AF612" t="s">
        <v>47</v>
      </c>
      <c r="AG612" t="s">
        <v>52</v>
      </c>
      <c r="AH612" t="s">
        <v>53</v>
      </c>
      <c r="AI612" t="s">
        <v>65</v>
      </c>
      <c r="AJ612">
        <v>0.8</v>
      </c>
      <c r="AK612" t="s">
        <v>47</v>
      </c>
      <c r="AL612" t="s">
        <v>76</v>
      </c>
      <c r="AM612" t="s">
        <v>73</v>
      </c>
      <c r="AN612">
        <v>80</v>
      </c>
      <c r="AO612" t="s">
        <v>46</v>
      </c>
    </row>
    <row r="613" spans="1:41">
      <c r="A613" t="s">
        <v>765</v>
      </c>
      <c r="B613">
        <v>2022</v>
      </c>
      <c r="C613" s="1">
        <v>44830</v>
      </c>
      <c r="D613" t="s">
        <v>58</v>
      </c>
      <c r="E613" t="s">
        <v>150</v>
      </c>
      <c r="F613">
        <v>62</v>
      </c>
      <c r="G613" t="s">
        <v>44</v>
      </c>
      <c r="H613" t="s">
        <v>70</v>
      </c>
      <c r="I613">
        <v>0</v>
      </c>
      <c r="J613">
        <v>0</v>
      </c>
      <c r="K613" t="s">
        <v>46</v>
      </c>
      <c r="L613" t="s">
        <v>47</v>
      </c>
      <c r="M613" t="s">
        <v>47</v>
      </c>
      <c r="N613" t="s">
        <v>48</v>
      </c>
      <c r="O613" t="s">
        <v>48</v>
      </c>
      <c r="P613">
        <v>23.1</v>
      </c>
      <c r="Q613" t="s">
        <v>48</v>
      </c>
      <c r="R613" t="s">
        <v>47</v>
      </c>
      <c r="S613" t="s">
        <v>47</v>
      </c>
      <c r="T613" t="s">
        <v>47</v>
      </c>
      <c r="U613" t="s">
        <v>47</v>
      </c>
      <c r="V613" t="s">
        <v>51</v>
      </c>
      <c r="W613" t="s">
        <v>47</v>
      </c>
      <c r="X613" t="s">
        <v>47</v>
      </c>
      <c r="Y613" t="s">
        <v>46</v>
      </c>
      <c r="Z613" t="s">
        <v>47</v>
      </c>
      <c r="AA613" t="s">
        <v>46</v>
      </c>
      <c r="AB613" t="s">
        <v>47</v>
      </c>
      <c r="AC613" t="s">
        <v>47</v>
      </c>
      <c r="AD613" t="s">
        <v>47</v>
      </c>
      <c r="AE613" t="s">
        <v>46</v>
      </c>
      <c r="AF613" t="s">
        <v>47</v>
      </c>
      <c r="AG613" t="s">
        <v>52</v>
      </c>
      <c r="AH613" t="s">
        <v>53</v>
      </c>
      <c r="AI613" t="s">
        <v>65</v>
      </c>
      <c r="AJ613">
        <v>0.5</v>
      </c>
      <c r="AK613" t="s">
        <v>47</v>
      </c>
      <c r="AL613" t="s">
        <v>76</v>
      </c>
      <c r="AM613" t="s">
        <v>67</v>
      </c>
      <c r="AN613">
        <v>25</v>
      </c>
      <c r="AO613" t="s">
        <v>46</v>
      </c>
    </row>
    <row r="614" spans="1:41">
      <c r="A614" t="s">
        <v>766</v>
      </c>
      <c r="B614">
        <v>2024</v>
      </c>
      <c r="C614" s="1">
        <v>45530</v>
      </c>
      <c r="D614" t="s">
        <v>58</v>
      </c>
      <c r="E614" t="s">
        <v>163</v>
      </c>
      <c r="F614">
        <v>73</v>
      </c>
      <c r="G614" t="s">
        <v>60</v>
      </c>
      <c r="H614" t="s">
        <v>70</v>
      </c>
      <c r="I614">
        <v>0</v>
      </c>
      <c r="J614">
        <v>0</v>
      </c>
      <c r="K614" t="s">
        <v>47</v>
      </c>
      <c r="L614" t="s">
        <v>47</v>
      </c>
      <c r="M614" t="s">
        <v>46</v>
      </c>
      <c r="N614" t="s">
        <v>50</v>
      </c>
      <c r="O614" t="s">
        <v>63</v>
      </c>
      <c r="P614">
        <v>28.4</v>
      </c>
      <c r="Q614" t="s">
        <v>62</v>
      </c>
      <c r="R614" t="s">
        <v>47</v>
      </c>
      <c r="S614" t="s">
        <v>46</v>
      </c>
      <c r="T614" t="s">
        <v>47</v>
      </c>
      <c r="U614" t="s">
        <v>47</v>
      </c>
      <c r="V614" t="s">
        <v>51</v>
      </c>
      <c r="W614" t="s">
        <v>47</v>
      </c>
      <c r="X614" t="s">
        <v>47</v>
      </c>
      <c r="Y614" t="s">
        <v>47</v>
      </c>
      <c r="Z614" t="s">
        <v>47</v>
      </c>
      <c r="AA614" t="s">
        <v>46</v>
      </c>
      <c r="AB614" t="s">
        <v>46</v>
      </c>
      <c r="AC614" t="s">
        <v>47</v>
      </c>
      <c r="AD614" t="s">
        <v>46</v>
      </c>
      <c r="AE614" t="s">
        <v>47</v>
      </c>
      <c r="AF614" t="s">
        <v>47</v>
      </c>
      <c r="AG614" t="s">
        <v>52</v>
      </c>
      <c r="AH614" t="s">
        <v>71</v>
      </c>
      <c r="AI614" t="s">
        <v>65</v>
      </c>
      <c r="AJ614">
        <v>2.4</v>
      </c>
      <c r="AK614" t="s">
        <v>47</v>
      </c>
      <c r="AL614" t="s">
        <v>72</v>
      </c>
      <c r="AM614" t="s">
        <v>73</v>
      </c>
      <c r="AN614">
        <v>60</v>
      </c>
      <c r="AO614" t="s">
        <v>46</v>
      </c>
    </row>
    <row r="615" spans="1:41">
      <c r="A615" t="s">
        <v>767</v>
      </c>
      <c r="B615">
        <v>2020</v>
      </c>
      <c r="C615" s="1">
        <v>44142</v>
      </c>
      <c r="D615" t="s">
        <v>42</v>
      </c>
      <c r="E615" t="s">
        <v>136</v>
      </c>
      <c r="F615">
        <v>64</v>
      </c>
      <c r="G615" t="s">
        <v>60</v>
      </c>
      <c r="H615" t="s">
        <v>70</v>
      </c>
      <c r="I615">
        <v>0</v>
      </c>
      <c r="J615">
        <v>0</v>
      </c>
      <c r="K615" t="s">
        <v>47</v>
      </c>
      <c r="L615" t="s">
        <v>47</v>
      </c>
      <c r="M615" t="s">
        <v>47</v>
      </c>
      <c r="N615" t="s">
        <v>48</v>
      </c>
      <c r="O615" t="s">
        <v>63</v>
      </c>
      <c r="P615">
        <v>16.600000000000001</v>
      </c>
      <c r="Q615" t="s">
        <v>48</v>
      </c>
      <c r="R615" t="s">
        <v>47</v>
      </c>
      <c r="S615" t="s">
        <v>47</v>
      </c>
      <c r="T615" t="s">
        <v>47</v>
      </c>
      <c r="U615" t="s">
        <v>47</v>
      </c>
      <c r="V615" t="s">
        <v>51</v>
      </c>
      <c r="W615" t="s">
        <v>47</v>
      </c>
      <c r="X615" t="s">
        <v>47</v>
      </c>
      <c r="Y615" t="s">
        <v>47</v>
      </c>
      <c r="Z615" t="s">
        <v>47</v>
      </c>
      <c r="AA615" t="s">
        <v>46</v>
      </c>
      <c r="AB615" t="s">
        <v>47</v>
      </c>
      <c r="AC615" t="s">
        <v>47</v>
      </c>
      <c r="AD615" t="s">
        <v>47</v>
      </c>
      <c r="AE615" t="s">
        <v>47</v>
      </c>
      <c r="AF615" t="s">
        <v>47</v>
      </c>
      <c r="AG615" t="s">
        <v>121</v>
      </c>
      <c r="AH615" t="s">
        <v>122</v>
      </c>
      <c r="AI615" t="s">
        <v>80</v>
      </c>
      <c r="AJ615">
        <v>6.4</v>
      </c>
      <c r="AK615" t="s">
        <v>47</v>
      </c>
      <c r="AL615" t="s">
        <v>156</v>
      </c>
      <c r="AM615" t="s">
        <v>77</v>
      </c>
      <c r="AN615">
        <v>28</v>
      </c>
      <c r="AO615" t="s">
        <v>47</v>
      </c>
    </row>
    <row r="616" spans="1:41">
      <c r="A616" t="s">
        <v>768</v>
      </c>
      <c r="B616">
        <v>2024</v>
      </c>
      <c r="C616" s="1">
        <v>45581</v>
      </c>
      <c r="D616" t="s">
        <v>42</v>
      </c>
      <c r="E616" t="s">
        <v>75</v>
      </c>
      <c r="F616">
        <v>51</v>
      </c>
      <c r="G616" t="s">
        <v>60</v>
      </c>
      <c r="H616" t="s">
        <v>70</v>
      </c>
      <c r="I616">
        <v>0</v>
      </c>
      <c r="J616">
        <v>0</v>
      </c>
      <c r="K616" t="s">
        <v>46</v>
      </c>
      <c r="L616" t="s">
        <v>47</v>
      </c>
      <c r="M616" t="s">
        <v>47</v>
      </c>
      <c r="N616" t="s">
        <v>48</v>
      </c>
      <c r="O616" t="s">
        <v>49</v>
      </c>
      <c r="P616">
        <v>30.8</v>
      </c>
      <c r="Q616" t="s">
        <v>50</v>
      </c>
      <c r="R616" t="s">
        <v>47</v>
      </c>
      <c r="S616" t="s">
        <v>47</v>
      </c>
      <c r="T616" t="s">
        <v>46</v>
      </c>
      <c r="U616" t="s">
        <v>46</v>
      </c>
      <c r="V616" t="s">
        <v>64</v>
      </c>
      <c r="W616" t="s">
        <v>47</v>
      </c>
      <c r="X616" t="s">
        <v>46</v>
      </c>
      <c r="Y616" t="s">
        <v>47</v>
      </c>
      <c r="Z616" t="s">
        <v>47</v>
      </c>
      <c r="AA616" t="s">
        <v>46</v>
      </c>
      <c r="AB616" t="s">
        <v>46</v>
      </c>
      <c r="AC616" t="s">
        <v>47</v>
      </c>
      <c r="AD616" t="s">
        <v>47</v>
      </c>
      <c r="AE616" t="s">
        <v>47</v>
      </c>
      <c r="AF616" t="s">
        <v>46</v>
      </c>
      <c r="AG616" t="s">
        <v>52</v>
      </c>
      <c r="AH616" t="s">
        <v>53</v>
      </c>
      <c r="AI616" t="s">
        <v>54</v>
      </c>
      <c r="AJ616">
        <v>8.5</v>
      </c>
      <c r="AK616" t="s">
        <v>46</v>
      </c>
      <c r="AL616" t="s">
        <v>100</v>
      </c>
      <c r="AM616" t="s">
        <v>56</v>
      </c>
      <c r="AN616">
        <v>3</v>
      </c>
      <c r="AO616" t="s">
        <v>47</v>
      </c>
    </row>
    <row r="617" spans="1:41">
      <c r="A617" t="s">
        <v>769</v>
      </c>
      <c r="B617">
        <v>2021</v>
      </c>
      <c r="C617" s="1">
        <v>44257</v>
      </c>
      <c r="D617" t="s">
        <v>84</v>
      </c>
      <c r="E617" t="s">
        <v>571</v>
      </c>
      <c r="F617">
        <v>68</v>
      </c>
      <c r="G617" t="s">
        <v>60</v>
      </c>
      <c r="H617" t="s">
        <v>61</v>
      </c>
      <c r="I617">
        <v>3</v>
      </c>
      <c r="J617">
        <v>2</v>
      </c>
      <c r="K617" t="s">
        <v>47</v>
      </c>
      <c r="L617" t="s">
        <v>47</v>
      </c>
      <c r="M617" t="s">
        <v>46</v>
      </c>
      <c r="N617" t="s">
        <v>62</v>
      </c>
      <c r="O617" t="s">
        <v>48</v>
      </c>
      <c r="P617">
        <v>26.5</v>
      </c>
      <c r="Q617" t="s">
        <v>50</v>
      </c>
      <c r="R617" t="s">
        <v>46</v>
      </c>
      <c r="S617" t="s">
        <v>47</v>
      </c>
      <c r="T617" t="s">
        <v>47</v>
      </c>
      <c r="U617" t="s">
        <v>47</v>
      </c>
      <c r="V617" t="s">
        <v>151</v>
      </c>
      <c r="W617" t="s">
        <v>46</v>
      </c>
      <c r="X617" t="s">
        <v>46</v>
      </c>
      <c r="Y617" t="s">
        <v>46</v>
      </c>
      <c r="Z617" t="s">
        <v>47</v>
      </c>
      <c r="AA617" t="s">
        <v>46</v>
      </c>
      <c r="AB617" t="s">
        <v>47</v>
      </c>
      <c r="AC617" t="s">
        <v>47</v>
      </c>
      <c r="AD617" t="s">
        <v>47</v>
      </c>
      <c r="AE617" t="s">
        <v>47</v>
      </c>
      <c r="AF617" t="s">
        <v>47</v>
      </c>
      <c r="AG617" t="s">
        <v>52</v>
      </c>
      <c r="AH617" t="s">
        <v>53</v>
      </c>
      <c r="AI617" t="s">
        <v>54</v>
      </c>
      <c r="AJ617">
        <v>7</v>
      </c>
      <c r="AK617" t="s">
        <v>46</v>
      </c>
      <c r="AL617" t="s">
        <v>66</v>
      </c>
      <c r="AM617" t="s">
        <v>82</v>
      </c>
      <c r="AN617">
        <v>10</v>
      </c>
      <c r="AO617" t="s">
        <v>47</v>
      </c>
    </row>
    <row r="618" spans="1:41">
      <c r="A618" t="s">
        <v>770</v>
      </c>
      <c r="B618">
        <v>2025</v>
      </c>
      <c r="C618" s="1">
        <v>45714</v>
      </c>
      <c r="D618" t="s">
        <v>58</v>
      </c>
      <c r="E618" t="s">
        <v>138</v>
      </c>
      <c r="F618">
        <v>60</v>
      </c>
      <c r="G618" t="s">
        <v>60</v>
      </c>
      <c r="H618" t="s">
        <v>70</v>
      </c>
      <c r="I618">
        <v>0</v>
      </c>
      <c r="J618">
        <v>0</v>
      </c>
      <c r="K618" t="s">
        <v>46</v>
      </c>
      <c r="L618" t="s">
        <v>47</v>
      </c>
      <c r="M618" t="s">
        <v>47</v>
      </c>
      <c r="N618" t="s">
        <v>50</v>
      </c>
      <c r="O618" t="s">
        <v>63</v>
      </c>
      <c r="P618">
        <v>29</v>
      </c>
      <c r="Q618" t="s">
        <v>50</v>
      </c>
      <c r="R618" t="s">
        <v>46</v>
      </c>
      <c r="S618" t="s">
        <v>47</v>
      </c>
      <c r="T618" t="s">
        <v>47</v>
      </c>
      <c r="U618" t="s">
        <v>47</v>
      </c>
      <c r="V618" t="s">
        <v>86</v>
      </c>
      <c r="W618" t="s">
        <v>47</v>
      </c>
      <c r="X618" t="s">
        <v>46</v>
      </c>
      <c r="Y618" t="s">
        <v>47</v>
      </c>
      <c r="Z618" t="s">
        <v>46</v>
      </c>
      <c r="AA618" t="s">
        <v>46</v>
      </c>
      <c r="AB618" t="s">
        <v>46</v>
      </c>
      <c r="AC618" t="s">
        <v>47</v>
      </c>
      <c r="AD618" t="s">
        <v>47</v>
      </c>
      <c r="AE618" t="s">
        <v>47</v>
      </c>
      <c r="AF618" t="s">
        <v>46</v>
      </c>
      <c r="AG618" t="s">
        <v>52</v>
      </c>
      <c r="AH618" t="s">
        <v>71</v>
      </c>
      <c r="AI618" t="s">
        <v>65</v>
      </c>
      <c r="AJ618">
        <v>3.2</v>
      </c>
      <c r="AK618" t="s">
        <v>47</v>
      </c>
      <c r="AL618" t="s">
        <v>72</v>
      </c>
      <c r="AM618" t="s">
        <v>73</v>
      </c>
      <c r="AN618">
        <v>70</v>
      </c>
      <c r="AO618" t="s">
        <v>46</v>
      </c>
    </row>
    <row r="619" spans="1:41">
      <c r="A619" t="s">
        <v>771</v>
      </c>
      <c r="B619">
        <v>2019</v>
      </c>
      <c r="C619" s="1">
        <v>43802</v>
      </c>
      <c r="D619" t="s">
        <v>42</v>
      </c>
      <c r="E619" t="s">
        <v>75</v>
      </c>
      <c r="F619">
        <v>64</v>
      </c>
      <c r="G619" t="s">
        <v>60</v>
      </c>
      <c r="H619" t="s">
        <v>45</v>
      </c>
      <c r="I619">
        <v>33</v>
      </c>
      <c r="J619">
        <v>33</v>
      </c>
      <c r="K619" t="s">
        <v>47</v>
      </c>
      <c r="L619" t="s">
        <v>47</v>
      </c>
      <c r="M619" t="s">
        <v>47</v>
      </c>
      <c r="N619" t="s">
        <v>62</v>
      </c>
      <c r="O619" t="s">
        <v>63</v>
      </c>
      <c r="P619">
        <v>26.3</v>
      </c>
      <c r="Q619" t="s">
        <v>62</v>
      </c>
      <c r="R619" t="s">
        <v>47</v>
      </c>
      <c r="S619" t="s">
        <v>47</v>
      </c>
      <c r="T619" t="s">
        <v>46</v>
      </c>
      <c r="U619" t="s">
        <v>47</v>
      </c>
      <c r="V619" t="s">
        <v>64</v>
      </c>
      <c r="W619" t="s">
        <v>46</v>
      </c>
      <c r="X619" t="s">
        <v>46</v>
      </c>
      <c r="Y619" t="s">
        <v>46</v>
      </c>
      <c r="Z619" t="s">
        <v>47</v>
      </c>
      <c r="AA619" t="s">
        <v>47</v>
      </c>
      <c r="AB619" t="s">
        <v>46</v>
      </c>
      <c r="AC619" t="s">
        <v>47</v>
      </c>
      <c r="AD619" t="s">
        <v>46</v>
      </c>
      <c r="AE619" t="s">
        <v>47</v>
      </c>
      <c r="AF619" t="s">
        <v>47</v>
      </c>
      <c r="AG619" t="s">
        <v>52</v>
      </c>
      <c r="AH619" t="s">
        <v>71</v>
      </c>
      <c r="AI619" t="s">
        <v>65</v>
      </c>
      <c r="AJ619">
        <v>2.4</v>
      </c>
      <c r="AK619" t="s">
        <v>47</v>
      </c>
      <c r="AL619" t="s">
        <v>72</v>
      </c>
      <c r="AM619" t="s">
        <v>73</v>
      </c>
      <c r="AN619">
        <v>63</v>
      </c>
      <c r="AO619" t="s">
        <v>46</v>
      </c>
    </row>
    <row r="620" spans="1:41">
      <c r="A620" t="s">
        <v>772</v>
      </c>
      <c r="B620">
        <v>2019</v>
      </c>
      <c r="C620" s="1">
        <v>43775</v>
      </c>
      <c r="D620" t="s">
        <v>84</v>
      </c>
      <c r="E620" t="s">
        <v>218</v>
      </c>
      <c r="F620">
        <v>67</v>
      </c>
      <c r="G620" t="s">
        <v>60</v>
      </c>
      <c r="H620" t="s">
        <v>45</v>
      </c>
      <c r="I620">
        <v>16</v>
      </c>
      <c r="J620">
        <v>34</v>
      </c>
      <c r="K620" t="s">
        <v>47</v>
      </c>
      <c r="L620" t="s">
        <v>47</v>
      </c>
      <c r="M620" t="s">
        <v>47</v>
      </c>
      <c r="N620" t="s">
        <v>48</v>
      </c>
      <c r="O620" t="s">
        <v>48</v>
      </c>
      <c r="P620">
        <v>24.6</v>
      </c>
      <c r="Q620" t="s">
        <v>48</v>
      </c>
      <c r="R620" t="s">
        <v>47</v>
      </c>
      <c r="S620" t="s">
        <v>47</v>
      </c>
      <c r="T620" t="s">
        <v>47</v>
      </c>
      <c r="U620" t="s">
        <v>47</v>
      </c>
      <c r="V620" t="s">
        <v>51</v>
      </c>
      <c r="W620" t="s">
        <v>46</v>
      </c>
      <c r="X620" t="s">
        <v>46</v>
      </c>
      <c r="Y620" t="s">
        <v>46</v>
      </c>
      <c r="Z620" t="s">
        <v>47</v>
      </c>
      <c r="AA620" t="s">
        <v>47</v>
      </c>
      <c r="AB620" t="s">
        <v>47</v>
      </c>
      <c r="AC620" t="s">
        <v>47</v>
      </c>
      <c r="AD620" t="s">
        <v>46</v>
      </c>
      <c r="AE620" t="s">
        <v>47</v>
      </c>
      <c r="AF620" t="s">
        <v>47</v>
      </c>
      <c r="AG620" t="s">
        <v>52</v>
      </c>
      <c r="AH620" t="s">
        <v>71</v>
      </c>
      <c r="AI620" t="s">
        <v>80</v>
      </c>
      <c r="AJ620">
        <v>5.0999999999999996</v>
      </c>
      <c r="AK620" t="s">
        <v>46</v>
      </c>
      <c r="AL620" t="s">
        <v>66</v>
      </c>
      <c r="AM620" t="s">
        <v>56</v>
      </c>
      <c r="AN620">
        <v>13</v>
      </c>
      <c r="AO620" t="s">
        <v>47</v>
      </c>
    </row>
    <row r="621" spans="1:41">
      <c r="A621" t="s">
        <v>773</v>
      </c>
      <c r="B621">
        <v>2015</v>
      </c>
      <c r="C621" s="1">
        <v>42117</v>
      </c>
      <c r="D621" t="s">
        <v>42</v>
      </c>
      <c r="E621" t="s">
        <v>210</v>
      </c>
      <c r="F621">
        <v>60</v>
      </c>
      <c r="G621" t="s">
        <v>44</v>
      </c>
      <c r="H621" t="s">
        <v>61</v>
      </c>
      <c r="I621">
        <v>25</v>
      </c>
      <c r="J621">
        <v>13</v>
      </c>
      <c r="K621" t="s">
        <v>47</v>
      </c>
      <c r="L621" t="s">
        <v>46</v>
      </c>
      <c r="M621" t="s">
        <v>47</v>
      </c>
      <c r="N621" t="s">
        <v>48</v>
      </c>
      <c r="O621" t="s">
        <v>48</v>
      </c>
      <c r="P621">
        <v>26.7</v>
      </c>
      <c r="Q621" t="s">
        <v>50</v>
      </c>
      <c r="R621" t="s">
        <v>47</v>
      </c>
      <c r="S621" t="s">
        <v>47</v>
      </c>
      <c r="T621" t="s">
        <v>47</v>
      </c>
      <c r="U621" t="s">
        <v>47</v>
      </c>
      <c r="V621" t="s">
        <v>151</v>
      </c>
      <c r="W621" t="s">
        <v>47</v>
      </c>
      <c r="X621" t="s">
        <v>47</v>
      </c>
      <c r="Y621" t="s">
        <v>47</v>
      </c>
      <c r="Z621" t="s">
        <v>46</v>
      </c>
      <c r="AA621" t="s">
        <v>46</v>
      </c>
      <c r="AB621" t="s">
        <v>47</v>
      </c>
      <c r="AC621" t="s">
        <v>47</v>
      </c>
      <c r="AD621" t="s">
        <v>46</v>
      </c>
      <c r="AE621" t="s">
        <v>47</v>
      </c>
      <c r="AF621" t="s">
        <v>47</v>
      </c>
      <c r="AG621" t="s">
        <v>52</v>
      </c>
      <c r="AH621" t="s">
        <v>71</v>
      </c>
      <c r="AI621" t="s">
        <v>54</v>
      </c>
      <c r="AJ621">
        <v>3.5</v>
      </c>
      <c r="AK621" t="s">
        <v>46</v>
      </c>
      <c r="AL621" t="s">
        <v>76</v>
      </c>
      <c r="AM621" t="s">
        <v>82</v>
      </c>
      <c r="AN621">
        <v>6</v>
      </c>
      <c r="AO621" t="s">
        <v>47</v>
      </c>
    </row>
    <row r="622" spans="1:41">
      <c r="A622" t="s">
        <v>774</v>
      </c>
      <c r="B622">
        <v>2021</v>
      </c>
      <c r="C622" s="1">
        <v>44425</v>
      </c>
      <c r="D622" t="s">
        <v>95</v>
      </c>
      <c r="E622" t="s">
        <v>147</v>
      </c>
      <c r="F622">
        <v>63</v>
      </c>
      <c r="G622" t="s">
        <v>60</v>
      </c>
      <c r="H622" t="s">
        <v>45</v>
      </c>
      <c r="I622">
        <v>38</v>
      </c>
      <c r="J622">
        <v>37</v>
      </c>
      <c r="K622" t="s">
        <v>46</v>
      </c>
      <c r="L622" t="s">
        <v>47</v>
      </c>
      <c r="M622" t="s">
        <v>46</v>
      </c>
      <c r="N622" t="s">
        <v>50</v>
      </c>
      <c r="O622" t="s">
        <v>63</v>
      </c>
      <c r="P622">
        <v>28.9</v>
      </c>
      <c r="Q622" t="s">
        <v>62</v>
      </c>
      <c r="R622" t="s">
        <v>47</v>
      </c>
      <c r="S622" t="s">
        <v>47</v>
      </c>
      <c r="T622" t="s">
        <v>47</v>
      </c>
      <c r="U622" t="s">
        <v>47</v>
      </c>
      <c r="V622" t="s">
        <v>151</v>
      </c>
      <c r="W622" t="s">
        <v>46</v>
      </c>
      <c r="X622" t="s">
        <v>46</v>
      </c>
      <c r="Y622" t="s">
        <v>46</v>
      </c>
      <c r="Z622" t="s">
        <v>47</v>
      </c>
      <c r="AA622" t="s">
        <v>47</v>
      </c>
      <c r="AB622" t="s">
        <v>47</v>
      </c>
      <c r="AC622" t="s">
        <v>47</v>
      </c>
      <c r="AD622" t="s">
        <v>46</v>
      </c>
      <c r="AE622" t="s">
        <v>47</v>
      </c>
      <c r="AF622" t="s">
        <v>46</v>
      </c>
      <c r="AG622" t="s">
        <v>52</v>
      </c>
      <c r="AH622" t="s">
        <v>90</v>
      </c>
      <c r="AI622" t="s">
        <v>80</v>
      </c>
      <c r="AJ622">
        <v>4.2</v>
      </c>
      <c r="AK622" t="s">
        <v>47</v>
      </c>
      <c r="AL622" t="s">
        <v>81</v>
      </c>
      <c r="AM622" t="s">
        <v>77</v>
      </c>
      <c r="AN622">
        <v>32</v>
      </c>
      <c r="AO622" t="s">
        <v>46</v>
      </c>
    </row>
    <row r="623" spans="1:41">
      <c r="A623" t="s">
        <v>775</v>
      </c>
      <c r="B623">
        <v>2016</v>
      </c>
      <c r="C623" s="1">
        <v>42649</v>
      </c>
      <c r="D623" t="s">
        <v>84</v>
      </c>
      <c r="E623" t="s">
        <v>189</v>
      </c>
      <c r="F623">
        <v>59</v>
      </c>
      <c r="G623" t="s">
        <v>44</v>
      </c>
      <c r="H623" t="s">
        <v>70</v>
      </c>
      <c r="I623">
        <v>0</v>
      </c>
      <c r="J623">
        <v>0</v>
      </c>
      <c r="K623" t="s">
        <v>46</v>
      </c>
      <c r="L623" t="s">
        <v>47</v>
      </c>
      <c r="M623" t="s">
        <v>47</v>
      </c>
      <c r="N623" t="s">
        <v>48</v>
      </c>
      <c r="O623" t="s">
        <v>49</v>
      </c>
      <c r="P623">
        <v>27</v>
      </c>
      <c r="Q623" t="s">
        <v>62</v>
      </c>
      <c r="R623" t="s">
        <v>46</v>
      </c>
      <c r="S623" t="s">
        <v>47</v>
      </c>
      <c r="T623" t="s">
        <v>47</v>
      </c>
      <c r="U623" t="s">
        <v>47</v>
      </c>
      <c r="V623" t="s">
        <v>51</v>
      </c>
      <c r="W623" t="s">
        <v>47</v>
      </c>
      <c r="X623" t="s">
        <v>46</v>
      </c>
      <c r="Y623" t="s">
        <v>47</v>
      </c>
      <c r="Z623" t="s">
        <v>47</v>
      </c>
      <c r="AA623" t="s">
        <v>46</v>
      </c>
      <c r="AB623" t="s">
        <v>46</v>
      </c>
      <c r="AC623" t="s">
        <v>47</v>
      </c>
      <c r="AD623" t="s">
        <v>46</v>
      </c>
      <c r="AE623" t="s">
        <v>46</v>
      </c>
      <c r="AF623" t="s">
        <v>47</v>
      </c>
      <c r="AG623" t="s">
        <v>52</v>
      </c>
      <c r="AH623" t="s">
        <v>90</v>
      </c>
      <c r="AI623" t="s">
        <v>65</v>
      </c>
      <c r="AJ623">
        <v>2.8</v>
      </c>
      <c r="AK623" t="s">
        <v>47</v>
      </c>
      <c r="AL623" t="s">
        <v>76</v>
      </c>
      <c r="AM623" t="s">
        <v>103</v>
      </c>
      <c r="AN623">
        <v>61</v>
      </c>
      <c r="AO623" t="s">
        <v>46</v>
      </c>
    </row>
    <row r="624" spans="1:41">
      <c r="A624" t="s">
        <v>776</v>
      </c>
      <c r="B624">
        <v>2019</v>
      </c>
      <c r="C624" s="1">
        <v>43626</v>
      </c>
      <c r="D624" t="s">
        <v>58</v>
      </c>
      <c r="E624" t="s">
        <v>229</v>
      </c>
      <c r="F624">
        <v>80</v>
      </c>
      <c r="G624" t="s">
        <v>60</v>
      </c>
      <c r="H624" t="s">
        <v>70</v>
      </c>
      <c r="I624">
        <v>0</v>
      </c>
      <c r="J624">
        <v>0</v>
      </c>
      <c r="K624" t="s">
        <v>46</v>
      </c>
      <c r="L624" t="s">
        <v>47</v>
      </c>
      <c r="M624" t="s">
        <v>47</v>
      </c>
      <c r="N624" t="s">
        <v>50</v>
      </c>
      <c r="O624" t="s">
        <v>48</v>
      </c>
      <c r="P624">
        <v>32.799999999999997</v>
      </c>
      <c r="Q624" t="s">
        <v>48</v>
      </c>
      <c r="R624" t="s">
        <v>47</v>
      </c>
      <c r="S624" t="s">
        <v>47</v>
      </c>
      <c r="T624" t="s">
        <v>47</v>
      </c>
      <c r="U624" t="s">
        <v>47</v>
      </c>
      <c r="V624" t="s">
        <v>51</v>
      </c>
      <c r="W624" t="s">
        <v>46</v>
      </c>
      <c r="X624" t="s">
        <v>47</v>
      </c>
      <c r="Y624" t="s">
        <v>47</v>
      </c>
      <c r="Z624" t="s">
        <v>47</v>
      </c>
      <c r="AA624" t="s">
        <v>46</v>
      </c>
      <c r="AB624" t="s">
        <v>47</v>
      </c>
      <c r="AC624" t="s">
        <v>47</v>
      </c>
      <c r="AD624" t="s">
        <v>47</v>
      </c>
      <c r="AE624" t="s">
        <v>47</v>
      </c>
      <c r="AF624" t="s">
        <v>46</v>
      </c>
      <c r="AG624" t="s">
        <v>52</v>
      </c>
      <c r="AH624" t="s">
        <v>90</v>
      </c>
      <c r="AI624" t="s">
        <v>80</v>
      </c>
      <c r="AJ624">
        <v>4.8</v>
      </c>
      <c r="AK624" t="s">
        <v>47</v>
      </c>
      <c r="AL624" t="s">
        <v>66</v>
      </c>
      <c r="AM624" t="s">
        <v>56</v>
      </c>
      <c r="AN624">
        <v>16</v>
      </c>
      <c r="AO624" t="s">
        <v>47</v>
      </c>
    </row>
    <row r="625" spans="1:41">
      <c r="A625" t="s">
        <v>777</v>
      </c>
      <c r="B625">
        <v>2017</v>
      </c>
      <c r="C625" s="1">
        <v>42941</v>
      </c>
      <c r="D625" t="s">
        <v>95</v>
      </c>
      <c r="E625" t="s">
        <v>107</v>
      </c>
      <c r="F625">
        <v>67</v>
      </c>
      <c r="G625" t="s">
        <v>60</v>
      </c>
      <c r="H625" t="s">
        <v>70</v>
      </c>
      <c r="I625">
        <v>0</v>
      </c>
      <c r="J625">
        <v>0</v>
      </c>
      <c r="K625" t="s">
        <v>46</v>
      </c>
      <c r="L625" t="s">
        <v>47</v>
      </c>
      <c r="M625" t="s">
        <v>47</v>
      </c>
      <c r="N625" t="s">
        <v>50</v>
      </c>
      <c r="O625" t="s">
        <v>49</v>
      </c>
      <c r="P625">
        <v>20.6</v>
      </c>
      <c r="Q625" t="s">
        <v>48</v>
      </c>
      <c r="R625" t="s">
        <v>47</v>
      </c>
      <c r="S625" t="s">
        <v>47</v>
      </c>
      <c r="T625" t="s">
        <v>47</v>
      </c>
      <c r="U625" t="s">
        <v>47</v>
      </c>
      <c r="V625" t="s">
        <v>86</v>
      </c>
      <c r="W625" t="s">
        <v>47</v>
      </c>
      <c r="X625" t="s">
        <v>46</v>
      </c>
      <c r="Y625" t="s">
        <v>47</v>
      </c>
      <c r="Z625" t="s">
        <v>46</v>
      </c>
      <c r="AA625" t="s">
        <v>46</v>
      </c>
      <c r="AB625" t="s">
        <v>46</v>
      </c>
      <c r="AC625" t="s">
        <v>47</v>
      </c>
      <c r="AD625" t="s">
        <v>46</v>
      </c>
      <c r="AE625" t="s">
        <v>47</v>
      </c>
      <c r="AF625" t="s">
        <v>47</v>
      </c>
      <c r="AG625" t="s">
        <v>52</v>
      </c>
      <c r="AH625" t="s">
        <v>53</v>
      </c>
      <c r="AI625" t="s">
        <v>54</v>
      </c>
      <c r="AJ625">
        <v>7.1</v>
      </c>
      <c r="AK625" t="s">
        <v>46</v>
      </c>
      <c r="AL625" t="s">
        <v>156</v>
      </c>
      <c r="AM625" t="s">
        <v>82</v>
      </c>
      <c r="AN625">
        <v>10</v>
      </c>
      <c r="AO625" t="s">
        <v>47</v>
      </c>
    </row>
    <row r="626" spans="1:41">
      <c r="A626" t="s">
        <v>778</v>
      </c>
      <c r="B626">
        <v>2020</v>
      </c>
      <c r="C626" s="1">
        <v>44155</v>
      </c>
      <c r="D626" t="s">
        <v>42</v>
      </c>
      <c r="E626" t="s">
        <v>43</v>
      </c>
      <c r="F626">
        <v>52</v>
      </c>
      <c r="G626" t="s">
        <v>60</v>
      </c>
      <c r="H626" t="s">
        <v>45</v>
      </c>
      <c r="I626">
        <v>20</v>
      </c>
      <c r="J626">
        <v>24</v>
      </c>
      <c r="K626" t="s">
        <v>46</v>
      </c>
      <c r="L626" t="s">
        <v>47</v>
      </c>
      <c r="M626" t="s">
        <v>47</v>
      </c>
      <c r="N626" t="s">
        <v>62</v>
      </c>
      <c r="O626" t="s">
        <v>63</v>
      </c>
      <c r="P626">
        <v>35.1</v>
      </c>
      <c r="Q626" t="s">
        <v>50</v>
      </c>
      <c r="R626" t="s">
        <v>47</v>
      </c>
      <c r="S626" t="s">
        <v>47</v>
      </c>
      <c r="T626" t="s">
        <v>47</v>
      </c>
      <c r="U626" t="s">
        <v>47</v>
      </c>
      <c r="V626" t="s">
        <v>151</v>
      </c>
      <c r="W626" t="s">
        <v>46</v>
      </c>
      <c r="X626" t="s">
        <v>46</v>
      </c>
      <c r="Y626" t="s">
        <v>46</v>
      </c>
      <c r="Z626" t="s">
        <v>47</v>
      </c>
      <c r="AA626" t="s">
        <v>47</v>
      </c>
      <c r="AB626" t="s">
        <v>46</v>
      </c>
      <c r="AC626" t="s">
        <v>47</v>
      </c>
      <c r="AD626" t="s">
        <v>47</v>
      </c>
      <c r="AE626" t="s">
        <v>47</v>
      </c>
      <c r="AF626" t="s">
        <v>47</v>
      </c>
      <c r="AG626" t="s">
        <v>52</v>
      </c>
      <c r="AH626" t="s">
        <v>71</v>
      </c>
      <c r="AI626" t="s">
        <v>65</v>
      </c>
      <c r="AJ626">
        <v>1.1000000000000001</v>
      </c>
      <c r="AK626" t="s">
        <v>47</v>
      </c>
      <c r="AL626" t="s">
        <v>100</v>
      </c>
      <c r="AM626" t="s">
        <v>67</v>
      </c>
      <c r="AN626">
        <v>96</v>
      </c>
      <c r="AO626" t="s">
        <v>46</v>
      </c>
    </row>
    <row r="627" spans="1:41">
      <c r="A627" t="s">
        <v>779</v>
      </c>
      <c r="B627">
        <v>2025</v>
      </c>
      <c r="C627" s="1">
        <v>45982</v>
      </c>
      <c r="D627" t="s">
        <v>42</v>
      </c>
      <c r="E627" t="s">
        <v>136</v>
      </c>
      <c r="F627">
        <v>81</v>
      </c>
      <c r="G627" t="s">
        <v>60</v>
      </c>
      <c r="H627" t="s">
        <v>45</v>
      </c>
      <c r="I627">
        <v>28</v>
      </c>
      <c r="J627">
        <v>36</v>
      </c>
      <c r="K627" t="s">
        <v>47</v>
      </c>
      <c r="L627" t="s">
        <v>46</v>
      </c>
      <c r="M627" t="s">
        <v>46</v>
      </c>
      <c r="N627" t="s">
        <v>48</v>
      </c>
      <c r="O627" t="s">
        <v>49</v>
      </c>
      <c r="P627">
        <v>23.5</v>
      </c>
      <c r="Q627" t="s">
        <v>48</v>
      </c>
      <c r="R627" t="s">
        <v>46</v>
      </c>
      <c r="S627" t="s">
        <v>47</v>
      </c>
      <c r="T627" t="s">
        <v>47</v>
      </c>
      <c r="U627" t="s">
        <v>47</v>
      </c>
      <c r="V627" t="s">
        <v>151</v>
      </c>
      <c r="W627" t="s">
        <v>47</v>
      </c>
      <c r="X627" t="s">
        <v>46</v>
      </c>
      <c r="Y627" t="s">
        <v>47</v>
      </c>
      <c r="Z627" t="s">
        <v>47</v>
      </c>
      <c r="AA627" t="s">
        <v>46</v>
      </c>
      <c r="AB627" t="s">
        <v>47</v>
      </c>
      <c r="AC627" t="s">
        <v>47</v>
      </c>
      <c r="AD627" t="s">
        <v>46</v>
      </c>
      <c r="AE627" t="s">
        <v>47</v>
      </c>
      <c r="AF627" t="s">
        <v>47</v>
      </c>
      <c r="AG627" t="s">
        <v>52</v>
      </c>
      <c r="AH627" t="s">
        <v>53</v>
      </c>
      <c r="AI627" t="s">
        <v>80</v>
      </c>
      <c r="AJ627">
        <v>7.5</v>
      </c>
      <c r="AK627" t="s">
        <v>47</v>
      </c>
      <c r="AL627" t="s">
        <v>81</v>
      </c>
      <c r="AM627" t="s">
        <v>118</v>
      </c>
      <c r="AN627">
        <v>12</v>
      </c>
      <c r="AO627" t="s">
        <v>46</v>
      </c>
    </row>
    <row r="628" spans="1:41">
      <c r="A628" t="s">
        <v>780</v>
      </c>
      <c r="B628">
        <v>2023</v>
      </c>
      <c r="C628" s="1">
        <v>44968</v>
      </c>
      <c r="D628" t="s">
        <v>42</v>
      </c>
      <c r="E628" t="s">
        <v>69</v>
      </c>
      <c r="F628">
        <v>79</v>
      </c>
      <c r="G628" t="s">
        <v>44</v>
      </c>
      <c r="H628" t="s">
        <v>70</v>
      </c>
      <c r="I628">
        <v>0</v>
      </c>
      <c r="J628">
        <v>0</v>
      </c>
      <c r="K628" t="s">
        <v>46</v>
      </c>
      <c r="L628" t="s">
        <v>47</v>
      </c>
      <c r="M628" t="s">
        <v>47</v>
      </c>
      <c r="N628" t="s">
        <v>62</v>
      </c>
      <c r="O628" t="s">
        <v>49</v>
      </c>
      <c r="P628">
        <v>23.5</v>
      </c>
      <c r="Q628" t="s">
        <v>62</v>
      </c>
      <c r="R628" t="s">
        <v>47</v>
      </c>
      <c r="S628" t="s">
        <v>47</v>
      </c>
      <c r="T628" t="s">
        <v>47</v>
      </c>
      <c r="U628" t="s">
        <v>47</v>
      </c>
      <c r="V628" t="s">
        <v>64</v>
      </c>
      <c r="W628" t="s">
        <v>46</v>
      </c>
      <c r="X628" t="s">
        <v>47</v>
      </c>
      <c r="Y628" t="s">
        <v>47</v>
      </c>
      <c r="Z628" t="s">
        <v>47</v>
      </c>
      <c r="AA628" t="s">
        <v>47</v>
      </c>
      <c r="AB628" t="s">
        <v>46</v>
      </c>
      <c r="AC628" t="s">
        <v>47</v>
      </c>
      <c r="AD628" t="s">
        <v>46</v>
      </c>
      <c r="AE628" t="s">
        <v>47</v>
      </c>
      <c r="AF628" t="s">
        <v>47</v>
      </c>
      <c r="AG628" t="s">
        <v>52</v>
      </c>
      <c r="AH628" t="s">
        <v>53</v>
      </c>
      <c r="AI628" t="s">
        <v>87</v>
      </c>
      <c r="AJ628">
        <v>3.4</v>
      </c>
      <c r="AK628" t="s">
        <v>47</v>
      </c>
      <c r="AL628" t="s">
        <v>81</v>
      </c>
      <c r="AM628" t="s">
        <v>67</v>
      </c>
      <c r="AN628">
        <v>53</v>
      </c>
      <c r="AO628" t="s">
        <v>47</v>
      </c>
    </row>
    <row r="629" spans="1:41">
      <c r="A629" t="s">
        <v>781</v>
      </c>
      <c r="B629">
        <v>2015</v>
      </c>
      <c r="C629" s="1">
        <v>42269</v>
      </c>
      <c r="D629" t="s">
        <v>42</v>
      </c>
      <c r="E629" t="s">
        <v>79</v>
      </c>
      <c r="F629">
        <v>68</v>
      </c>
      <c r="G629" t="s">
        <v>44</v>
      </c>
      <c r="H629" t="s">
        <v>70</v>
      </c>
      <c r="I629">
        <v>0</v>
      </c>
      <c r="J629">
        <v>0</v>
      </c>
      <c r="K629" t="s">
        <v>46</v>
      </c>
      <c r="L629" t="s">
        <v>46</v>
      </c>
      <c r="M629" t="s">
        <v>47</v>
      </c>
      <c r="N629" t="s">
        <v>48</v>
      </c>
      <c r="O629" t="s">
        <v>48</v>
      </c>
      <c r="P629">
        <v>27.9</v>
      </c>
      <c r="Q629" t="s">
        <v>48</v>
      </c>
      <c r="R629" t="s">
        <v>47</v>
      </c>
      <c r="S629" t="s">
        <v>47</v>
      </c>
      <c r="T629" t="s">
        <v>47</v>
      </c>
      <c r="U629" t="s">
        <v>47</v>
      </c>
      <c r="V629" t="s">
        <v>64</v>
      </c>
      <c r="W629" t="s">
        <v>47</v>
      </c>
      <c r="X629" t="s">
        <v>46</v>
      </c>
      <c r="Y629" t="s">
        <v>47</v>
      </c>
      <c r="Z629" t="s">
        <v>47</v>
      </c>
      <c r="AA629" t="s">
        <v>46</v>
      </c>
      <c r="AB629" t="s">
        <v>47</v>
      </c>
      <c r="AC629" t="s">
        <v>47</v>
      </c>
      <c r="AD629" t="s">
        <v>46</v>
      </c>
      <c r="AE629" t="s">
        <v>46</v>
      </c>
      <c r="AF629" t="s">
        <v>47</v>
      </c>
      <c r="AG629" t="s">
        <v>52</v>
      </c>
      <c r="AH629" t="s">
        <v>71</v>
      </c>
      <c r="AI629" t="s">
        <v>87</v>
      </c>
      <c r="AJ629">
        <v>3.9</v>
      </c>
      <c r="AK629" t="s">
        <v>47</v>
      </c>
      <c r="AL629" t="s">
        <v>76</v>
      </c>
      <c r="AM629" t="s">
        <v>73</v>
      </c>
      <c r="AN629">
        <v>57</v>
      </c>
      <c r="AO629" t="s">
        <v>47</v>
      </c>
    </row>
    <row r="630" spans="1:41">
      <c r="A630" t="s">
        <v>782</v>
      </c>
      <c r="B630">
        <v>2018</v>
      </c>
      <c r="C630" s="1">
        <v>43229</v>
      </c>
      <c r="D630" t="s">
        <v>42</v>
      </c>
      <c r="E630" t="s">
        <v>154</v>
      </c>
      <c r="F630">
        <v>61</v>
      </c>
      <c r="G630" t="s">
        <v>60</v>
      </c>
      <c r="H630" t="s">
        <v>70</v>
      </c>
      <c r="I630">
        <v>0</v>
      </c>
      <c r="J630">
        <v>0</v>
      </c>
      <c r="K630" t="s">
        <v>47</v>
      </c>
      <c r="L630" t="s">
        <v>46</v>
      </c>
      <c r="M630" t="s">
        <v>47</v>
      </c>
      <c r="N630" t="s">
        <v>50</v>
      </c>
      <c r="O630" t="s">
        <v>49</v>
      </c>
      <c r="P630">
        <v>27.4</v>
      </c>
      <c r="Q630" t="s">
        <v>48</v>
      </c>
      <c r="R630" t="s">
        <v>47</v>
      </c>
      <c r="S630" t="s">
        <v>47</v>
      </c>
      <c r="T630" t="s">
        <v>47</v>
      </c>
      <c r="U630" t="s">
        <v>47</v>
      </c>
      <c r="V630" t="s">
        <v>51</v>
      </c>
      <c r="W630" t="s">
        <v>47</v>
      </c>
      <c r="X630" t="s">
        <v>46</v>
      </c>
      <c r="Y630" t="s">
        <v>47</v>
      </c>
      <c r="Z630" t="s">
        <v>46</v>
      </c>
      <c r="AA630" t="s">
        <v>46</v>
      </c>
      <c r="AB630" t="s">
        <v>46</v>
      </c>
      <c r="AC630" t="s">
        <v>47</v>
      </c>
      <c r="AD630" t="s">
        <v>47</v>
      </c>
      <c r="AE630" t="s">
        <v>47</v>
      </c>
      <c r="AF630" t="s">
        <v>47</v>
      </c>
      <c r="AG630" t="s">
        <v>52</v>
      </c>
      <c r="AH630" t="s">
        <v>53</v>
      </c>
      <c r="AI630" t="s">
        <v>87</v>
      </c>
      <c r="AJ630">
        <v>2.2000000000000002</v>
      </c>
      <c r="AK630" t="s">
        <v>47</v>
      </c>
      <c r="AL630" t="s">
        <v>100</v>
      </c>
      <c r="AM630" t="s">
        <v>118</v>
      </c>
      <c r="AN630">
        <v>21</v>
      </c>
      <c r="AO630" t="s">
        <v>47</v>
      </c>
    </row>
    <row r="631" spans="1:41">
      <c r="A631" t="s">
        <v>783</v>
      </c>
      <c r="B631">
        <v>2024</v>
      </c>
      <c r="C631" s="1">
        <v>45362</v>
      </c>
      <c r="D631" t="s">
        <v>42</v>
      </c>
      <c r="E631" t="s">
        <v>69</v>
      </c>
      <c r="F631">
        <v>70</v>
      </c>
      <c r="G631" t="s">
        <v>44</v>
      </c>
      <c r="H631" t="s">
        <v>70</v>
      </c>
      <c r="I631">
        <v>0</v>
      </c>
      <c r="J631">
        <v>0</v>
      </c>
      <c r="K631" t="s">
        <v>46</v>
      </c>
      <c r="L631" t="s">
        <v>47</v>
      </c>
      <c r="M631" t="s">
        <v>47</v>
      </c>
      <c r="N631" t="s">
        <v>50</v>
      </c>
      <c r="O631" t="s">
        <v>49</v>
      </c>
      <c r="P631">
        <v>25.1</v>
      </c>
      <c r="Q631" t="s">
        <v>50</v>
      </c>
      <c r="R631" t="s">
        <v>47</v>
      </c>
      <c r="S631" t="s">
        <v>47</v>
      </c>
      <c r="T631" t="s">
        <v>47</v>
      </c>
      <c r="U631" t="s">
        <v>47</v>
      </c>
      <c r="V631" t="s">
        <v>86</v>
      </c>
      <c r="W631" t="s">
        <v>47</v>
      </c>
      <c r="X631" t="s">
        <v>47</v>
      </c>
      <c r="Y631" t="s">
        <v>46</v>
      </c>
      <c r="Z631" t="s">
        <v>46</v>
      </c>
      <c r="AA631" t="s">
        <v>46</v>
      </c>
      <c r="AB631" t="s">
        <v>46</v>
      </c>
      <c r="AC631" t="s">
        <v>47</v>
      </c>
      <c r="AD631" t="s">
        <v>46</v>
      </c>
      <c r="AE631" t="s">
        <v>47</v>
      </c>
      <c r="AF631" t="s">
        <v>47</v>
      </c>
      <c r="AG631" t="s">
        <v>121</v>
      </c>
      <c r="AH631" t="s">
        <v>122</v>
      </c>
      <c r="AI631" t="s">
        <v>65</v>
      </c>
      <c r="AJ631">
        <v>2.8</v>
      </c>
      <c r="AK631" t="s">
        <v>47</v>
      </c>
      <c r="AL631" t="s">
        <v>72</v>
      </c>
      <c r="AM631" t="s">
        <v>103</v>
      </c>
      <c r="AN631">
        <v>54</v>
      </c>
      <c r="AO631" t="s">
        <v>47</v>
      </c>
    </row>
    <row r="632" spans="1:41">
      <c r="A632" t="s">
        <v>784</v>
      </c>
      <c r="B632">
        <v>2017</v>
      </c>
      <c r="C632" s="1">
        <v>43030</v>
      </c>
      <c r="D632" t="s">
        <v>110</v>
      </c>
      <c r="E632" t="s">
        <v>294</v>
      </c>
      <c r="F632">
        <v>77</v>
      </c>
      <c r="G632" t="s">
        <v>60</v>
      </c>
      <c r="H632" t="s">
        <v>45</v>
      </c>
      <c r="I632">
        <v>13</v>
      </c>
      <c r="J632">
        <v>26</v>
      </c>
      <c r="K632" t="s">
        <v>47</v>
      </c>
      <c r="L632" t="s">
        <v>47</v>
      </c>
      <c r="M632" t="s">
        <v>47</v>
      </c>
      <c r="N632" t="s">
        <v>48</v>
      </c>
      <c r="O632" t="s">
        <v>63</v>
      </c>
      <c r="P632">
        <v>31.8</v>
      </c>
      <c r="Q632" t="s">
        <v>48</v>
      </c>
      <c r="R632" t="s">
        <v>46</v>
      </c>
      <c r="S632" t="s">
        <v>47</v>
      </c>
      <c r="T632" t="s">
        <v>47</v>
      </c>
      <c r="U632" t="s">
        <v>47</v>
      </c>
      <c r="V632" t="s">
        <v>92</v>
      </c>
      <c r="W632" t="s">
        <v>46</v>
      </c>
      <c r="X632" t="s">
        <v>46</v>
      </c>
      <c r="Y632" t="s">
        <v>46</v>
      </c>
      <c r="Z632" t="s">
        <v>47</v>
      </c>
      <c r="AA632" t="s">
        <v>47</v>
      </c>
      <c r="AB632" t="s">
        <v>46</v>
      </c>
      <c r="AC632" t="s">
        <v>47</v>
      </c>
      <c r="AD632" t="s">
        <v>47</v>
      </c>
      <c r="AE632" t="s">
        <v>47</v>
      </c>
      <c r="AF632" t="s">
        <v>47</v>
      </c>
      <c r="AG632" t="s">
        <v>52</v>
      </c>
      <c r="AH632" t="s">
        <v>53</v>
      </c>
      <c r="AI632" t="s">
        <v>80</v>
      </c>
      <c r="AJ632">
        <v>4.0999999999999996</v>
      </c>
      <c r="AK632" t="s">
        <v>46</v>
      </c>
      <c r="AL632" t="s">
        <v>100</v>
      </c>
      <c r="AM632" t="s">
        <v>82</v>
      </c>
      <c r="AN632">
        <v>27</v>
      </c>
      <c r="AO632" t="s">
        <v>47</v>
      </c>
    </row>
    <row r="633" spans="1:41">
      <c r="A633" t="s">
        <v>785</v>
      </c>
      <c r="B633">
        <v>2019</v>
      </c>
      <c r="C633" s="1">
        <v>43626</v>
      </c>
      <c r="D633" t="s">
        <v>58</v>
      </c>
      <c r="E633" t="s">
        <v>229</v>
      </c>
      <c r="F633">
        <v>77</v>
      </c>
      <c r="G633" t="s">
        <v>60</v>
      </c>
      <c r="H633" t="s">
        <v>70</v>
      </c>
      <c r="I633">
        <v>0</v>
      </c>
      <c r="J633">
        <v>0</v>
      </c>
      <c r="K633" t="s">
        <v>46</v>
      </c>
      <c r="L633" t="s">
        <v>47</v>
      </c>
      <c r="M633" t="s">
        <v>47</v>
      </c>
      <c r="N633" t="s">
        <v>50</v>
      </c>
      <c r="O633" t="s">
        <v>48</v>
      </c>
      <c r="P633">
        <v>40</v>
      </c>
      <c r="Q633" t="s">
        <v>62</v>
      </c>
      <c r="R633" t="s">
        <v>47</v>
      </c>
      <c r="S633" t="s">
        <v>47</v>
      </c>
      <c r="T633" t="s">
        <v>47</v>
      </c>
      <c r="U633" t="s">
        <v>47</v>
      </c>
      <c r="V633" t="s">
        <v>86</v>
      </c>
      <c r="W633" t="s">
        <v>47</v>
      </c>
      <c r="X633" t="s">
        <v>47</v>
      </c>
      <c r="Y633" t="s">
        <v>47</v>
      </c>
      <c r="Z633" t="s">
        <v>47</v>
      </c>
      <c r="AA633" t="s">
        <v>47</v>
      </c>
      <c r="AB633" t="s">
        <v>47</v>
      </c>
      <c r="AC633" t="s">
        <v>46</v>
      </c>
      <c r="AD633" t="s">
        <v>47</v>
      </c>
      <c r="AE633" t="s">
        <v>46</v>
      </c>
      <c r="AF633" t="s">
        <v>47</v>
      </c>
      <c r="AG633" t="s">
        <v>52</v>
      </c>
      <c r="AH633" t="s">
        <v>53</v>
      </c>
      <c r="AI633" t="s">
        <v>80</v>
      </c>
      <c r="AJ633">
        <v>6</v>
      </c>
      <c r="AK633" t="s">
        <v>47</v>
      </c>
      <c r="AL633" t="s">
        <v>81</v>
      </c>
      <c r="AM633" t="s">
        <v>56</v>
      </c>
      <c r="AN633">
        <v>20</v>
      </c>
      <c r="AO633" t="s">
        <v>47</v>
      </c>
    </row>
    <row r="634" spans="1:41">
      <c r="A634" t="s">
        <v>786</v>
      </c>
      <c r="B634">
        <v>2019</v>
      </c>
      <c r="C634" s="1">
        <v>43544</v>
      </c>
      <c r="D634" t="s">
        <v>42</v>
      </c>
      <c r="E634" t="s">
        <v>69</v>
      </c>
      <c r="F634">
        <v>67</v>
      </c>
      <c r="G634" t="s">
        <v>44</v>
      </c>
      <c r="H634" t="s">
        <v>45</v>
      </c>
      <c r="I634">
        <v>7</v>
      </c>
      <c r="J634">
        <v>30</v>
      </c>
      <c r="K634" t="s">
        <v>46</v>
      </c>
      <c r="L634" t="s">
        <v>47</v>
      </c>
      <c r="M634" t="s">
        <v>47</v>
      </c>
      <c r="N634" t="s">
        <v>62</v>
      </c>
      <c r="O634" t="s">
        <v>49</v>
      </c>
      <c r="P634">
        <v>26.5</v>
      </c>
      <c r="Q634" t="s">
        <v>50</v>
      </c>
      <c r="R634" t="s">
        <v>46</v>
      </c>
      <c r="S634" t="s">
        <v>47</v>
      </c>
      <c r="T634" t="s">
        <v>47</v>
      </c>
      <c r="U634" t="s">
        <v>47</v>
      </c>
      <c r="V634" t="s">
        <v>51</v>
      </c>
      <c r="W634" t="s">
        <v>46</v>
      </c>
      <c r="X634" t="s">
        <v>46</v>
      </c>
      <c r="Y634" t="s">
        <v>46</v>
      </c>
      <c r="Z634" t="s">
        <v>46</v>
      </c>
      <c r="AA634" t="s">
        <v>46</v>
      </c>
      <c r="AB634" t="s">
        <v>46</v>
      </c>
      <c r="AC634" t="s">
        <v>47</v>
      </c>
      <c r="AD634" t="s">
        <v>47</v>
      </c>
      <c r="AE634" t="s">
        <v>47</v>
      </c>
      <c r="AF634" t="s">
        <v>47</v>
      </c>
      <c r="AG634" t="s">
        <v>52</v>
      </c>
      <c r="AH634" t="s">
        <v>53</v>
      </c>
      <c r="AI634" t="s">
        <v>54</v>
      </c>
      <c r="AJ634">
        <v>9</v>
      </c>
      <c r="AK634" t="s">
        <v>46</v>
      </c>
      <c r="AL634" t="s">
        <v>66</v>
      </c>
      <c r="AM634" t="s">
        <v>118</v>
      </c>
      <c r="AN634">
        <v>15</v>
      </c>
      <c r="AO634" t="s">
        <v>47</v>
      </c>
    </row>
    <row r="635" spans="1:41">
      <c r="A635" t="s">
        <v>787</v>
      </c>
      <c r="B635">
        <v>2025</v>
      </c>
      <c r="C635" s="1">
        <v>45795</v>
      </c>
      <c r="D635" t="s">
        <v>58</v>
      </c>
      <c r="E635" t="s">
        <v>229</v>
      </c>
      <c r="F635">
        <v>49</v>
      </c>
      <c r="G635" t="s">
        <v>44</v>
      </c>
      <c r="H635" t="s">
        <v>70</v>
      </c>
      <c r="I635">
        <v>0</v>
      </c>
      <c r="J635">
        <v>0</v>
      </c>
      <c r="K635" t="s">
        <v>46</v>
      </c>
      <c r="L635" t="s">
        <v>47</v>
      </c>
      <c r="M635" t="s">
        <v>47</v>
      </c>
      <c r="N635" t="s">
        <v>48</v>
      </c>
      <c r="O635" t="s">
        <v>49</v>
      </c>
      <c r="P635">
        <v>25.1</v>
      </c>
      <c r="Q635" t="s">
        <v>50</v>
      </c>
      <c r="R635" t="s">
        <v>47</v>
      </c>
      <c r="S635" t="s">
        <v>47</v>
      </c>
      <c r="T635" t="s">
        <v>47</v>
      </c>
      <c r="U635" t="s">
        <v>47</v>
      </c>
      <c r="V635" t="s">
        <v>51</v>
      </c>
      <c r="W635" t="s">
        <v>47</v>
      </c>
      <c r="X635" t="s">
        <v>47</v>
      </c>
      <c r="Y635" t="s">
        <v>46</v>
      </c>
      <c r="Z635" t="s">
        <v>46</v>
      </c>
      <c r="AA635" t="s">
        <v>46</v>
      </c>
      <c r="AB635" t="s">
        <v>46</v>
      </c>
      <c r="AC635" t="s">
        <v>47</v>
      </c>
      <c r="AD635" t="s">
        <v>47</v>
      </c>
      <c r="AE635" t="s">
        <v>47</v>
      </c>
      <c r="AF635" t="s">
        <v>47</v>
      </c>
      <c r="AG635" t="s">
        <v>121</v>
      </c>
      <c r="AH635" t="s">
        <v>122</v>
      </c>
      <c r="AI635" t="s">
        <v>54</v>
      </c>
      <c r="AJ635">
        <v>5.9</v>
      </c>
      <c r="AK635" t="s">
        <v>46</v>
      </c>
      <c r="AL635" t="s">
        <v>76</v>
      </c>
      <c r="AM635" t="s">
        <v>82</v>
      </c>
      <c r="AN635">
        <v>4</v>
      </c>
      <c r="AO635" t="s">
        <v>47</v>
      </c>
    </row>
    <row r="636" spans="1:41">
      <c r="A636" t="s">
        <v>788</v>
      </c>
      <c r="B636">
        <v>2022</v>
      </c>
      <c r="C636" s="1">
        <v>44891</v>
      </c>
      <c r="D636" t="s">
        <v>58</v>
      </c>
      <c r="E636" t="s">
        <v>138</v>
      </c>
      <c r="F636">
        <v>66</v>
      </c>
      <c r="G636" t="s">
        <v>44</v>
      </c>
      <c r="H636" t="s">
        <v>70</v>
      </c>
      <c r="I636">
        <v>0</v>
      </c>
      <c r="J636">
        <v>0</v>
      </c>
      <c r="K636" t="s">
        <v>46</v>
      </c>
      <c r="L636" t="s">
        <v>47</v>
      </c>
      <c r="M636" t="s">
        <v>47</v>
      </c>
      <c r="N636" t="s">
        <v>50</v>
      </c>
      <c r="O636" t="s">
        <v>63</v>
      </c>
      <c r="P636">
        <v>25.5</v>
      </c>
      <c r="Q636" t="s">
        <v>50</v>
      </c>
      <c r="R636" t="s">
        <v>47</v>
      </c>
      <c r="S636" t="s">
        <v>47</v>
      </c>
      <c r="T636" t="s">
        <v>47</v>
      </c>
      <c r="U636" t="s">
        <v>46</v>
      </c>
      <c r="V636" t="s">
        <v>117</v>
      </c>
      <c r="W636" t="s">
        <v>47</v>
      </c>
      <c r="X636" t="s">
        <v>47</v>
      </c>
      <c r="Y636" t="s">
        <v>47</v>
      </c>
      <c r="Z636" t="s">
        <v>47</v>
      </c>
      <c r="AA636" t="s">
        <v>47</v>
      </c>
      <c r="AB636" t="s">
        <v>47</v>
      </c>
      <c r="AC636" t="s">
        <v>47</v>
      </c>
      <c r="AD636" t="s">
        <v>46</v>
      </c>
      <c r="AE636" t="s">
        <v>46</v>
      </c>
      <c r="AF636" t="s">
        <v>47</v>
      </c>
      <c r="AG636" t="s">
        <v>52</v>
      </c>
      <c r="AH636" t="s">
        <v>71</v>
      </c>
      <c r="AI636" t="s">
        <v>80</v>
      </c>
      <c r="AJ636">
        <v>7.7</v>
      </c>
      <c r="AK636" t="s">
        <v>47</v>
      </c>
      <c r="AL636" t="s">
        <v>156</v>
      </c>
      <c r="AM636" t="s">
        <v>67</v>
      </c>
      <c r="AN636">
        <v>16</v>
      </c>
      <c r="AO636" t="s">
        <v>47</v>
      </c>
    </row>
    <row r="637" spans="1:41">
      <c r="A637" t="s">
        <v>789</v>
      </c>
      <c r="B637">
        <v>2021</v>
      </c>
      <c r="C637" s="1">
        <v>44277</v>
      </c>
      <c r="D637" t="s">
        <v>84</v>
      </c>
      <c r="E637" t="s">
        <v>89</v>
      </c>
      <c r="F637">
        <v>57</v>
      </c>
      <c r="G637" t="s">
        <v>60</v>
      </c>
      <c r="H637" t="s">
        <v>70</v>
      </c>
      <c r="I637">
        <v>0</v>
      </c>
      <c r="J637">
        <v>0</v>
      </c>
      <c r="K637" t="s">
        <v>46</v>
      </c>
      <c r="L637" t="s">
        <v>47</v>
      </c>
      <c r="M637" t="s">
        <v>46</v>
      </c>
      <c r="N637" t="s">
        <v>62</v>
      </c>
      <c r="O637" t="s">
        <v>48</v>
      </c>
      <c r="P637">
        <v>34.700000000000003</v>
      </c>
      <c r="Q637" t="s">
        <v>50</v>
      </c>
      <c r="R637" t="s">
        <v>46</v>
      </c>
      <c r="S637" t="s">
        <v>47</v>
      </c>
      <c r="T637" t="s">
        <v>47</v>
      </c>
      <c r="U637" t="s">
        <v>47</v>
      </c>
      <c r="V637" t="s">
        <v>151</v>
      </c>
      <c r="W637" t="s">
        <v>46</v>
      </c>
      <c r="X637" t="s">
        <v>47</v>
      </c>
      <c r="Y637" t="s">
        <v>47</v>
      </c>
      <c r="Z637" t="s">
        <v>47</v>
      </c>
      <c r="AA637" t="s">
        <v>46</v>
      </c>
      <c r="AB637" t="s">
        <v>47</v>
      </c>
      <c r="AC637" t="s">
        <v>47</v>
      </c>
      <c r="AD637" t="s">
        <v>47</v>
      </c>
      <c r="AE637" t="s">
        <v>46</v>
      </c>
      <c r="AF637" t="s">
        <v>47</v>
      </c>
      <c r="AG637" t="s">
        <v>52</v>
      </c>
      <c r="AH637" t="s">
        <v>53</v>
      </c>
      <c r="AI637" t="s">
        <v>65</v>
      </c>
      <c r="AJ637">
        <v>2.9</v>
      </c>
      <c r="AK637" t="s">
        <v>47</v>
      </c>
      <c r="AL637" t="s">
        <v>76</v>
      </c>
      <c r="AM637" t="s">
        <v>73</v>
      </c>
      <c r="AN637">
        <v>31</v>
      </c>
      <c r="AO637" t="s">
        <v>46</v>
      </c>
    </row>
    <row r="638" spans="1:41">
      <c r="A638" t="s">
        <v>790</v>
      </c>
      <c r="B638">
        <v>2020</v>
      </c>
      <c r="C638" s="1">
        <v>43882</v>
      </c>
      <c r="D638" t="s">
        <v>58</v>
      </c>
      <c r="E638" t="s">
        <v>229</v>
      </c>
      <c r="F638">
        <v>38</v>
      </c>
      <c r="G638" t="s">
        <v>44</v>
      </c>
      <c r="H638" t="s">
        <v>70</v>
      </c>
      <c r="I638">
        <v>0</v>
      </c>
      <c r="J638">
        <v>0</v>
      </c>
      <c r="K638" t="s">
        <v>47</v>
      </c>
      <c r="L638" t="s">
        <v>47</v>
      </c>
      <c r="M638" t="s">
        <v>47</v>
      </c>
      <c r="N638" t="s">
        <v>50</v>
      </c>
      <c r="O638" t="s">
        <v>63</v>
      </c>
      <c r="P638">
        <v>22</v>
      </c>
      <c r="Q638" t="s">
        <v>62</v>
      </c>
      <c r="R638" t="s">
        <v>47</v>
      </c>
      <c r="S638" t="s">
        <v>47</v>
      </c>
      <c r="T638" t="s">
        <v>47</v>
      </c>
      <c r="U638" t="s">
        <v>47</v>
      </c>
      <c r="V638" t="s">
        <v>86</v>
      </c>
      <c r="W638" t="s">
        <v>47</v>
      </c>
      <c r="X638" t="s">
        <v>47</v>
      </c>
      <c r="Y638" t="s">
        <v>46</v>
      </c>
      <c r="Z638" t="s">
        <v>47</v>
      </c>
      <c r="AA638" t="s">
        <v>47</v>
      </c>
      <c r="AB638" t="s">
        <v>46</v>
      </c>
      <c r="AC638" t="s">
        <v>46</v>
      </c>
      <c r="AD638" t="s">
        <v>47</v>
      </c>
      <c r="AE638" t="s">
        <v>47</v>
      </c>
      <c r="AF638" t="s">
        <v>47</v>
      </c>
      <c r="AG638" t="s">
        <v>52</v>
      </c>
      <c r="AH638" t="s">
        <v>53</v>
      </c>
      <c r="AI638" t="s">
        <v>54</v>
      </c>
      <c r="AJ638">
        <v>7.1</v>
      </c>
      <c r="AK638" t="s">
        <v>46</v>
      </c>
      <c r="AL638" t="s">
        <v>66</v>
      </c>
      <c r="AM638" t="s">
        <v>82</v>
      </c>
      <c r="AN638">
        <v>11</v>
      </c>
      <c r="AO638" t="s">
        <v>47</v>
      </c>
    </row>
    <row r="639" spans="1:41">
      <c r="A639" t="s">
        <v>791</v>
      </c>
      <c r="B639">
        <v>2018</v>
      </c>
      <c r="C639" s="1">
        <v>43355</v>
      </c>
      <c r="D639" t="s">
        <v>42</v>
      </c>
      <c r="E639" t="s">
        <v>43</v>
      </c>
      <c r="F639">
        <v>54</v>
      </c>
      <c r="G639" t="s">
        <v>44</v>
      </c>
      <c r="H639" t="s">
        <v>70</v>
      </c>
      <c r="I639">
        <v>0</v>
      </c>
      <c r="J639">
        <v>0</v>
      </c>
      <c r="K639" t="s">
        <v>46</v>
      </c>
      <c r="L639" t="s">
        <v>47</v>
      </c>
      <c r="M639" t="s">
        <v>46</v>
      </c>
      <c r="N639" t="s">
        <v>50</v>
      </c>
      <c r="O639" t="s">
        <v>48</v>
      </c>
      <c r="P639">
        <v>25.4</v>
      </c>
      <c r="Q639" t="s">
        <v>62</v>
      </c>
      <c r="R639" t="s">
        <v>47</v>
      </c>
      <c r="S639" t="s">
        <v>47</v>
      </c>
      <c r="T639" t="s">
        <v>47</v>
      </c>
      <c r="U639" t="s">
        <v>47</v>
      </c>
      <c r="V639" t="s">
        <v>92</v>
      </c>
      <c r="W639" t="s">
        <v>47</v>
      </c>
      <c r="X639" t="s">
        <v>46</v>
      </c>
      <c r="Y639" t="s">
        <v>47</v>
      </c>
      <c r="Z639" t="s">
        <v>47</v>
      </c>
      <c r="AA639" t="s">
        <v>46</v>
      </c>
      <c r="AB639" t="s">
        <v>46</v>
      </c>
      <c r="AC639" t="s">
        <v>47</v>
      </c>
      <c r="AD639" t="s">
        <v>47</v>
      </c>
      <c r="AE639" t="s">
        <v>46</v>
      </c>
      <c r="AF639" t="s">
        <v>47</v>
      </c>
      <c r="AG639" t="s">
        <v>121</v>
      </c>
      <c r="AH639" t="s">
        <v>122</v>
      </c>
      <c r="AI639" t="s">
        <v>87</v>
      </c>
      <c r="AJ639">
        <v>3.9</v>
      </c>
      <c r="AK639" t="s">
        <v>47</v>
      </c>
      <c r="AL639" t="s">
        <v>76</v>
      </c>
      <c r="AM639" t="s">
        <v>77</v>
      </c>
      <c r="AN639">
        <v>36</v>
      </c>
      <c r="AO639" t="s">
        <v>47</v>
      </c>
    </row>
    <row r="640" spans="1:41">
      <c r="A640" t="s">
        <v>792</v>
      </c>
      <c r="B640">
        <v>2023</v>
      </c>
      <c r="C640" s="1">
        <v>45087</v>
      </c>
      <c r="D640" t="s">
        <v>58</v>
      </c>
      <c r="E640" t="s">
        <v>142</v>
      </c>
      <c r="F640">
        <v>54</v>
      </c>
      <c r="G640" t="s">
        <v>44</v>
      </c>
      <c r="H640" t="s">
        <v>70</v>
      </c>
      <c r="I640">
        <v>0</v>
      </c>
      <c r="J640">
        <v>0</v>
      </c>
      <c r="K640" t="s">
        <v>46</v>
      </c>
      <c r="L640" t="s">
        <v>47</v>
      </c>
      <c r="M640" t="s">
        <v>46</v>
      </c>
      <c r="N640" t="s">
        <v>48</v>
      </c>
      <c r="O640" t="s">
        <v>49</v>
      </c>
      <c r="P640">
        <v>23</v>
      </c>
      <c r="Q640" t="s">
        <v>48</v>
      </c>
      <c r="R640" t="s">
        <v>46</v>
      </c>
      <c r="S640" t="s">
        <v>47</v>
      </c>
      <c r="T640" t="s">
        <v>47</v>
      </c>
      <c r="U640" t="s">
        <v>47</v>
      </c>
      <c r="V640" t="s">
        <v>86</v>
      </c>
      <c r="W640" t="s">
        <v>47</v>
      </c>
      <c r="X640" t="s">
        <v>46</v>
      </c>
      <c r="Y640" t="s">
        <v>46</v>
      </c>
      <c r="Z640" t="s">
        <v>47</v>
      </c>
      <c r="AA640" t="s">
        <v>47</v>
      </c>
      <c r="AB640" t="s">
        <v>46</v>
      </c>
      <c r="AC640" t="s">
        <v>46</v>
      </c>
      <c r="AD640" t="s">
        <v>47</v>
      </c>
      <c r="AE640" t="s">
        <v>47</v>
      </c>
      <c r="AF640" t="s">
        <v>47</v>
      </c>
      <c r="AG640" t="s">
        <v>52</v>
      </c>
      <c r="AH640" t="s">
        <v>53</v>
      </c>
      <c r="AI640" t="s">
        <v>65</v>
      </c>
      <c r="AJ640">
        <v>3.3</v>
      </c>
      <c r="AK640" t="s">
        <v>47</v>
      </c>
      <c r="AL640" t="s">
        <v>76</v>
      </c>
      <c r="AM640" t="s">
        <v>67</v>
      </c>
      <c r="AN640">
        <v>61</v>
      </c>
      <c r="AO640" t="s">
        <v>47</v>
      </c>
    </row>
    <row r="641" spans="1:41">
      <c r="A641" t="s">
        <v>793</v>
      </c>
      <c r="B641">
        <v>2018</v>
      </c>
      <c r="C641" s="1">
        <v>43201</v>
      </c>
      <c r="D641" t="s">
        <v>84</v>
      </c>
      <c r="E641" t="s">
        <v>571</v>
      </c>
      <c r="F641">
        <v>59</v>
      </c>
      <c r="G641" t="s">
        <v>44</v>
      </c>
      <c r="H641" t="s">
        <v>70</v>
      </c>
      <c r="I641">
        <v>0</v>
      </c>
      <c r="J641">
        <v>0</v>
      </c>
      <c r="K641" t="s">
        <v>47</v>
      </c>
      <c r="L641" t="s">
        <v>47</v>
      </c>
      <c r="M641" t="s">
        <v>47</v>
      </c>
      <c r="N641" t="s">
        <v>50</v>
      </c>
      <c r="O641" t="s">
        <v>48</v>
      </c>
      <c r="P641">
        <v>24.4</v>
      </c>
      <c r="Q641" t="s">
        <v>48</v>
      </c>
      <c r="R641" t="s">
        <v>47</v>
      </c>
      <c r="S641" t="s">
        <v>47</v>
      </c>
      <c r="T641" t="s">
        <v>47</v>
      </c>
      <c r="U641" t="s">
        <v>47</v>
      </c>
      <c r="V641" t="s">
        <v>86</v>
      </c>
      <c r="W641" t="s">
        <v>46</v>
      </c>
      <c r="X641" t="s">
        <v>47</v>
      </c>
      <c r="Y641" t="s">
        <v>47</v>
      </c>
      <c r="Z641" t="s">
        <v>47</v>
      </c>
      <c r="AA641" t="s">
        <v>46</v>
      </c>
      <c r="AB641" t="s">
        <v>47</v>
      </c>
      <c r="AC641" t="s">
        <v>47</v>
      </c>
      <c r="AD641" t="s">
        <v>47</v>
      </c>
      <c r="AE641" t="s">
        <v>47</v>
      </c>
      <c r="AF641" t="s">
        <v>47</v>
      </c>
      <c r="AG641" t="s">
        <v>52</v>
      </c>
      <c r="AH641" t="s">
        <v>53</v>
      </c>
      <c r="AI641" t="s">
        <v>87</v>
      </c>
      <c r="AJ641">
        <v>4.4000000000000004</v>
      </c>
      <c r="AK641" t="s">
        <v>47</v>
      </c>
      <c r="AL641" t="s">
        <v>55</v>
      </c>
      <c r="AM641" t="s">
        <v>67</v>
      </c>
      <c r="AN641">
        <v>28</v>
      </c>
      <c r="AO641" t="s">
        <v>46</v>
      </c>
    </row>
    <row r="642" spans="1:41">
      <c r="A642" t="s">
        <v>794</v>
      </c>
      <c r="B642">
        <v>2022</v>
      </c>
      <c r="C642" s="1">
        <v>44659</v>
      </c>
      <c r="D642" t="s">
        <v>42</v>
      </c>
      <c r="E642" t="s">
        <v>166</v>
      </c>
      <c r="F642">
        <v>70</v>
      </c>
      <c r="G642" t="s">
        <v>60</v>
      </c>
      <c r="H642" t="s">
        <v>61</v>
      </c>
      <c r="I642">
        <v>16</v>
      </c>
      <c r="J642">
        <v>14</v>
      </c>
      <c r="K642" t="s">
        <v>46</v>
      </c>
      <c r="L642" t="s">
        <v>47</v>
      </c>
      <c r="M642" t="s">
        <v>46</v>
      </c>
      <c r="N642" t="s">
        <v>50</v>
      </c>
      <c r="O642" t="s">
        <v>49</v>
      </c>
      <c r="P642">
        <v>24.6</v>
      </c>
      <c r="Q642" t="s">
        <v>48</v>
      </c>
      <c r="R642" t="s">
        <v>46</v>
      </c>
      <c r="S642" t="s">
        <v>47</v>
      </c>
      <c r="T642" t="s">
        <v>47</v>
      </c>
      <c r="U642" t="s">
        <v>47</v>
      </c>
      <c r="V642" t="s">
        <v>64</v>
      </c>
      <c r="W642" t="s">
        <v>47</v>
      </c>
      <c r="X642" t="s">
        <v>46</v>
      </c>
      <c r="Y642" t="s">
        <v>47</v>
      </c>
      <c r="Z642" t="s">
        <v>47</v>
      </c>
      <c r="AA642" t="s">
        <v>47</v>
      </c>
      <c r="AB642" t="s">
        <v>47</v>
      </c>
      <c r="AC642" t="s">
        <v>47</v>
      </c>
      <c r="AD642" t="s">
        <v>46</v>
      </c>
      <c r="AE642" t="s">
        <v>47</v>
      </c>
      <c r="AF642" t="s">
        <v>46</v>
      </c>
      <c r="AG642" t="s">
        <v>52</v>
      </c>
      <c r="AH642" t="s">
        <v>71</v>
      </c>
      <c r="AI642" t="s">
        <v>54</v>
      </c>
      <c r="AJ642">
        <v>7.8</v>
      </c>
      <c r="AK642" t="s">
        <v>46</v>
      </c>
      <c r="AL642" t="s">
        <v>66</v>
      </c>
      <c r="AM642" t="s">
        <v>118</v>
      </c>
      <c r="AN642">
        <v>1</v>
      </c>
      <c r="AO642" t="s">
        <v>47</v>
      </c>
    </row>
    <row r="643" spans="1:41">
      <c r="A643" t="s">
        <v>795</v>
      </c>
      <c r="B643">
        <v>2022</v>
      </c>
      <c r="C643" s="1">
        <v>44623</v>
      </c>
      <c r="D643" t="s">
        <v>42</v>
      </c>
      <c r="E643" t="s">
        <v>247</v>
      </c>
      <c r="F643">
        <v>41</v>
      </c>
      <c r="G643" t="s">
        <v>60</v>
      </c>
      <c r="H643" t="s">
        <v>70</v>
      </c>
      <c r="I643">
        <v>0</v>
      </c>
      <c r="J643">
        <v>0</v>
      </c>
      <c r="K643" t="s">
        <v>46</v>
      </c>
      <c r="L643" t="s">
        <v>46</v>
      </c>
      <c r="M643" t="s">
        <v>47</v>
      </c>
      <c r="N643" t="s">
        <v>62</v>
      </c>
      <c r="O643" t="s">
        <v>49</v>
      </c>
      <c r="P643">
        <v>27.6</v>
      </c>
      <c r="Q643" t="s">
        <v>48</v>
      </c>
      <c r="R643" t="s">
        <v>47</v>
      </c>
      <c r="S643" t="s">
        <v>47</v>
      </c>
      <c r="T643" t="s">
        <v>47</v>
      </c>
      <c r="U643" t="s">
        <v>47</v>
      </c>
      <c r="V643" t="s">
        <v>171</v>
      </c>
      <c r="W643" t="s">
        <v>46</v>
      </c>
      <c r="X643" t="s">
        <v>47</v>
      </c>
      <c r="Y643" t="s">
        <v>47</v>
      </c>
      <c r="Z643" t="s">
        <v>47</v>
      </c>
      <c r="AA643" t="s">
        <v>46</v>
      </c>
      <c r="AB643" t="s">
        <v>46</v>
      </c>
      <c r="AC643" t="s">
        <v>47</v>
      </c>
      <c r="AD643" t="s">
        <v>47</v>
      </c>
      <c r="AE643" t="s">
        <v>46</v>
      </c>
      <c r="AF643" t="s">
        <v>47</v>
      </c>
      <c r="AG643" t="s">
        <v>52</v>
      </c>
      <c r="AH643" t="s">
        <v>53</v>
      </c>
      <c r="AI643" t="s">
        <v>80</v>
      </c>
      <c r="AJ643">
        <v>4.3</v>
      </c>
      <c r="AK643" t="s">
        <v>47</v>
      </c>
      <c r="AL643" t="s">
        <v>76</v>
      </c>
      <c r="AM643" t="s">
        <v>82</v>
      </c>
      <c r="AN643">
        <v>18</v>
      </c>
      <c r="AO643" t="s">
        <v>47</v>
      </c>
    </row>
    <row r="644" spans="1:41">
      <c r="A644" t="s">
        <v>796</v>
      </c>
      <c r="B644">
        <v>2023</v>
      </c>
      <c r="C644" s="1">
        <v>44974</v>
      </c>
      <c r="D644" t="s">
        <v>110</v>
      </c>
      <c r="E644" t="s">
        <v>116</v>
      </c>
      <c r="F644">
        <v>77</v>
      </c>
      <c r="G644" t="s">
        <v>44</v>
      </c>
      <c r="H644" t="s">
        <v>61</v>
      </c>
      <c r="I644">
        <v>25</v>
      </c>
      <c r="J644">
        <v>23</v>
      </c>
      <c r="K644" t="s">
        <v>47</v>
      </c>
      <c r="L644" t="s">
        <v>46</v>
      </c>
      <c r="M644" t="s">
        <v>47</v>
      </c>
      <c r="N644" t="s">
        <v>62</v>
      </c>
      <c r="O644" t="s">
        <v>49</v>
      </c>
      <c r="P644">
        <v>24.8</v>
      </c>
      <c r="Q644" t="s">
        <v>50</v>
      </c>
      <c r="R644" t="s">
        <v>46</v>
      </c>
      <c r="S644" t="s">
        <v>47</v>
      </c>
      <c r="T644" t="s">
        <v>47</v>
      </c>
      <c r="U644" t="s">
        <v>47</v>
      </c>
      <c r="V644" t="s">
        <v>151</v>
      </c>
      <c r="W644" t="s">
        <v>47</v>
      </c>
      <c r="X644" t="s">
        <v>47</v>
      </c>
      <c r="Y644" t="s">
        <v>46</v>
      </c>
      <c r="Z644" t="s">
        <v>47</v>
      </c>
      <c r="AA644" t="s">
        <v>46</v>
      </c>
      <c r="AB644" t="s">
        <v>47</v>
      </c>
      <c r="AC644" t="s">
        <v>47</v>
      </c>
      <c r="AD644" t="s">
        <v>47</v>
      </c>
      <c r="AE644" t="s">
        <v>47</v>
      </c>
      <c r="AF644" t="s">
        <v>47</v>
      </c>
      <c r="AG644" t="s">
        <v>52</v>
      </c>
      <c r="AH644" t="s">
        <v>71</v>
      </c>
      <c r="AI644" t="s">
        <v>54</v>
      </c>
      <c r="AJ644">
        <v>7.2</v>
      </c>
      <c r="AK644" t="s">
        <v>46</v>
      </c>
      <c r="AL644" t="s">
        <v>100</v>
      </c>
      <c r="AM644" t="s">
        <v>56</v>
      </c>
      <c r="AN644">
        <v>10</v>
      </c>
      <c r="AO644" t="s">
        <v>47</v>
      </c>
    </row>
    <row r="645" spans="1:41">
      <c r="A645" t="s">
        <v>797</v>
      </c>
      <c r="B645">
        <v>2025</v>
      </c>
      <c r="C645" s="1">
        <v>46008</v>
      </c>
      <c r="D645" t="s">
        <v>42</v>
      </c>
      <c r="E645" t="s">
        <v>43</v>
      </c>
      <c r="F645">
        <v>51</v>
      </c>
      <c r="G645" t="s">
        <v>44</v>
      </c>
      <c r="H645" t="s">
        <v>70</v>
      </c>
      <c r="I645">
        <v>0</v>
      </c>
      <c r="J645">
        <v>0</v>
      </c>
      <c r="K645" t="s">
        <v>46</v>
      </c>
      <c r="L645" t="s">
        <v>47</v>
      </c>
      <c r="M645" t="s">
        <v>47</v>
      </c>
      <c r="N645" t="s">
        <v>48</v>
      </c>
      <c r="O645" t="s">
        <v>48</v>
      </c>
      <c r="P645">
        <v>27.5</v>
      </c>
      <c r="Q645" t="s">
        <v>62</v>
      </c>
      <c r="R645" t="s">
        <v>47</v>
      </c>
      <c r="S645" t="s">
        <v>47</v>
      </c>
      <c r="T645" t="s">
        <v>47</v>
      </c>
      <c r="U645" t="s">
        <v>47</v>
      </c>
      <c r="V645" t="s">
        <v>86</v>
      </c>
      <c r="W645" t="s">
        <v>47</v>
      </c>
      <c r="X645" t="s">
        <v>46</v>
      </c>
      <c r="Y645" t="s">
        <v>47</v>
      </c>
      <c r="Z645" t="s">
        <v>47</v>
      </c>
      <c r="AA645" t="s">
        <v>46</v>
      </c>
      <c r="AB645" t="s">
        <v>47</v>
      </c>
      <c r="AC645" t="s">
        <v>47</v>
      </c>
      <c r="AD645" t="s">
        <v>46</v>
      </c>
      <c r="AE645" t="s">
        <v>47</v>
      </c>
      <c r="AF645" t="s">
        <v>47</v>
      </c>
      <c r="AG645" t="s">
        <v>52</v>
      </c>
      <c r="AH645" t="s">
        <v>53</v>
      </c>
      <c r="AI645" t="s">
        <v>80</v>
      </c>
      <c r="AJ645">
        <v>4.0999999999999996</v>
      </c>
      <c r="AK645" t="s">
        <v>47</v>
      </c>
      <c r="AL645" t="s">
        <v>76</v>
      </c>
      <c r="AM645" t="s">
        <v>56</v>
      </c>
      <c r="AN645">
        <v>3</v>
      </c>
      <c r="AO645" t="s">
        <v>47</v>
      </c>
    </row>
    <row r="646" spans="1:41">
      <c r="A646" t="s">
        <v>798</v>
      </c>
      <c r="B646">
        <v>2020</v>
      </c>
      <c r="C646" s="1">
        <v>44146</v>
      </c>
      <c r="D646" t="s">
        <v>42</v>
      </c>
      <c r="E646" t="s">
        <v>154</v>
      </c>
      <c r="F646">
        <v>64</v>
      </c>
      <c r="G646" t="s">
        <v>60</v>
      </c>
      <c r="H646" t="s">
        <v>45</v>
      </c>
      <c r="I646">
        <v>48</v>
      </c>
      <c r="J646">
        <v>31</v>
      </c>
      <c r="K646" t="s">
        <v>47</v>
      </c>
      <c r="L646" t="s">
        <v>47</v>
      </c>
      <c r="M646" t="s">
        <v>47</v>
      </c>
      <c r="N646" t="s">
        <v>62</v>
      </c>
      <c r="O646" t="s">
        <v>48</v>
      </c>
      <c r="P646">
        <v>33.299999999999997</v>
      </c>
      <c r="Q646" t="s">
        <v>62</v>
      </c>
      <c r="R646" t="s">
        <v>46</v>
      </c>
      <c r="S646" t="s">
        <v>47</v>
      </c>
      <c r="T646" t="s">
        <v>47</v>
      </c>
      <c r="U646" t="s">
        <v>47</v>
      </c>
      <c r="V646" t="s">
        <v>151</v>
      </c>
      <c r="W646" t="s">
        <v>46</v>
      </c>
      <c r="X646" t="s">
        <v>46</v>
      </c>
      <c r="Y646" t="s">
        <v>47</v>
      </c>
      <c r="Z646" t="s">
        <v>47</v>
      </c>
      <c r="AA646" t="s">
        <v>46</v>
      </c>
      <c r="AB646" t="s">
        <v>46</v>
      </c>
      <c r="AC646" t="s">
        <v>46</v>
      </c>
      <c r="AD646" t="s">
        <v>47</v>
      </c>
      <c r="AE646" t="s">
        <v>47</v>
      </c>
      <c r="AF646" t="s">
        <v>46</v>
      </c>
      <c r="AG646" t="s">
        <v>52</v>
      </c>
      <c r="AH646" t="s">
        <v>71</v>
      </c>
      <c r="AI646" t="s">
        <v>80</v>
      </c>
      <c r="AJ646">
        <v>4.9000000000000004</v>
      </c>
      <c r="AK646" t="s">
        <v>47</v>
      </c>
      <c r="AL646" t="s">
        <v>100</v>
      </c>
      <c r="AM646" t="s">
        <v>77</v>
      </c>
      <c r="AN646">
        <v>28</v>
      </c>
      <c r="AO646" t="s">
        <v>47</v>
      </c>
    </row>
    <row r="647" spans="1:41">
      <c r="A647" t="s">
        <v>799</v>
      </c>
      <c r="B647">
        <v>2015</v>
      </c>
      <c r="C647" s="1">
        <v>42083</v>
      </c>
      <c r="D647" t="s">
        <v>84</v>
      </c>
      <c r="E647" t="s">
        <v>102</v>
      </c>
      <c r="F647">
        <v>53</v>
      </c>
      <c r="G647" t="s">
        <v>60</v>
      </c>
      <c r="H647" t="s">
        <v>70</v>
      </c>
      <c r="I647">
        <v>0</v>
      </c>
      <c r="J647">
        <v>0</v>
      </c>
      <c r="K647" t="s">
        <v>47</v>
      </c>
      <c r="L647" t="s">
        <v>47</v>
      </c>
      <c r="M647" t="s">
        <v>47</v>
      </c>
      <c r="N647" t="s">
        <v>48</v>
      </c>
      <c r="O647" t="s">
        <v>48</v>
      </c>
      <c r="P647">
        <v>24.1</v>
      </c>
      <c r="Q647" t="s">
        <v>48</v>
      </c>
      <c r="R647" t="s">
        <v>47</v>
      </c>
      <c r="S647" t="s">
        <v>47</v>
      </c>
      <c r="T647" t="s">
        <v>47</v>
      </c>
      <c r="U647" t="s">
        <v>47</v>
      </c>
      <c r="V647" t="s">
        <v>64</v>
      </c>
      <c r="W647" t="s">
        <v>47</v>
      </c>
      <c r="X647" t="s">
        <v>47</v>
      </c>
      <c r="Y647" t="s">
        <v>47</v>
      </c>
      <c r="Z647" t="s">
        <v>47</v>
      </c>
      <c r="AA647" t="s">
        <v>47</v>
      </c>
      <c r="AB647" t="s">
        <v>47</v>
      </c>
      <c r="AC647" t="s">
        <v>46</v>
      </c>
      <c r="AD647" t="s">
        <v>46</v>
      </c>
      <c r="AE647" t="s">
        <v>47</v>
      </c>
      <c r="AF647" t="s">
        <v>47</v>
      </c>
      <c r="AG647" t="s">
        <v>52</v>
      </c>
      <c r="AH647" t="s">
        <v>90</v>
      </c>
      <c r="AI647" t="s">
        <v>80</v>
      </c>
      <c r="AJ647">
        <v>5.7</v>
      </c>
      <c r="AK647" t="s">
        <v>47</v>
      </c>
      <c r="AL647" t="s">
        <v>76</v>
      </c>
      <c r="AM647" t="s">
        <v>82</v>
      </c>
      <c r="AN647">
        <v>27</v>
      </c>
      <c r="AO647" t="s">
        <v>47</v>
      </c>
    </row>
    <row r="648" spans="1:41">
      <c r="A648" t="s">
        <v>800</v>
      </c>
      <c r="B648">
        <v>2018</v>
      </c>
      <c r="C648" s="1">
        <v>43165</v>
      </c>
      <c r="D648" t="s">
        <v>84</v>
      </c>
      <c r="E648" t="s">
        <v>182</v>
      </c>
      <c r="F648">
        <v>64</v>
      </c>
      <c r="G648" t="s">
        <v>60</v>
      </c>
      <c r="H648" t="s">
        <v>45</v>
      </c>
      <c r="I648">
        <v>21</v>
      </c>
      <c r="J648">
        <v>38</v>
      </c>
      <c r="K648" t="s">
        <v>46</v>
      </c>
      <c r="L648" t="s">
        <v>46</v>
      </c>
      <c r="M648" t="s">
        <v>47</v>
      </c>
      <c r="N648" t="s">
        <v>62</v>
      </c>
      <c r="O648" t="s">
        <v>48</v>
      </c>
      <c r="P648">
        <v>27.6</v>
      </c>
      <c r="Q648" t="s">
        <v>48</v>
      </c>
      <c r="R648" t="s">
        <v>46</v>
      </c>
      <c r="S648" t="s">
        <v>46</v>
      </c>
      <c r="T648" t="s">
        <v>47</v>
      </c>
      <c r="U648" t="s">
        <v>47</v>
      </c>
      <c r="V648" t="s">
        <v>51</v>
      </c>
      <c r="W648" t="s">
        <v>46</v>
      </c>
      <c r="X648" t="s">
        <v>46</v>
      </c>
      <c r="Y648" t="s">
        <v>47</v>
      </c>
      <c r="Z648" t="s">
        <v>47</v>
      </c>
      <c r="AA648" t="s">
        <v>46</v>
      </c>
      <c r="AB648" t="s">
        <v>47</v>
      </c>
      <c r="AC648" t="s">
        <v>47</v>
      </c>
      <c r="AD648" t="s">
        <v>47</v>
      </c>
      <c r="AE648" t="s">
        <v>47</v>
      </c>
      <c r="AF648" t="s">
        <v>47</v>
      </c>
      <c r="AG648" t="s">
        <v>52</v>
      </c>
      <c r="AH648" t="s">
        <v>53</v>
      </c>
      <c r="AI648" t="s">
        <v>87</v>
      </c>
      <c r="AJ648">
        <v>3.8</v>
      </c>
      <c r="AK648" t="s">
        <v>47</v>
      </c>
      <c r="AL648" t="s">
        <v>76</v>
      </c>
      <c r="AM648" t="s">
        <v>67</v>
      </c>
      <c r="AN648">
        <v>20</v>
      </c>
      <c r="AO648" t="s">
        <v>47</v>
      </c>
    </row>
    <row r="649" spans="1:41">
      <c r="A649" t="s">
        <v>801</v>
      </c>
      <c r="B649">
        <v>2016</v>
      </c>
      <c r="C649" s="1">
        <v>42729</v>
      </c>
      <c r="D649" t="s">
        <v>110</v>
      </c>
      <c r="E649" t="s">
        <v>124</v>
      </c>
      <c r="F649">
        <v>43</v>
      </c>
      <c r="G649" t="s">
        <v>44</v>
      </c>
      <c r="H649" t="s">
        <v>70</v>
      </c>
      <c r="I649">
        <v>0</v>
      </c>
      <c r="J649">
        <v>0</v>
      </c>
      <c r="K649" t="s">
        <v>46</v>
      </c>
      <c r="L649" t="s">
        <v>47</v>
      </c>
      <c r="M649" t="s">
        <v>47</v>
      </c>
      <c r="N649" t="s">
        <v>62</v>
      </c>
      <c r="O649" t="s">
        <v>49</v>
      </c>
      <c r="P649">
        <v>24.3</v>
      </c>
      <c r="Q649" t="s">
        <v>48</v>
      </c>
      <c r="R649" t="s">
        <v>47</v>
      </c>
      <c r="S649" t="s">
        <v>47</v>
      </c>
      <c r="T649" t="s">
        <v>47</v>
      </c>
      <c r="U649" t="s">
        <v>47</v>
      </c>
      <c r="V649" t="s">
        <v>51</v>
      </c>
      <c r="W649" t="s">
        <v>47</v>
      </c>
      <c r="X649" t="s">
        <v>47</v>
      </c>
      <c r="Y649" t="s">
        <v>47</v>
      </c>
      <c r="Z649" t="s">
        <v>47</v>
      </c>
      <c r="AA649" t="s">
        <v>46</v>
      </c>
      <c r="AB649" t="s">
        <v>47</v>
      </c>
      <c r="AC649" t="s">
        <v>47</v>
      </c>
      <c r="AD649" t="s">
        <v>46</v>
      </c>
      <c r="AE649" t="s">
        <v>47</v>
      </c>
      <c r="AF649" t="s">
        <v>47</v>
      </c>
      <c r="AG649" t="s">
        <v>52</v>
      </c>
      <c r="AH649" t="s">
        <v>53</v>
      </c>
      <c r="AI649" t="s">
        <v>65</v>
      </c>
      <c r="AJ649">
        <v>2.1</v>
      </c>
      <c r="AK649" t="s">
        <v>47</v>
      </c>
      <c r="AL649" t="s">
        <v>72</v>
      </c>
      <c r="AM649" t="s">
        <v>73</v>
      </c>
      <c r="AN649">
        <v>50</v>
      </c>
      <c r="AO649" t="s">
        <v>46</v>
      </c>
    </row>
    <row r="650" spans="1:41">
      <c r="A650" t="s">
        <v>802</v>
      </c>
      <c r="B650">
        <v>2015</v>
      </c>
      <c r="C650" s="1">
        <v>42087</v>
      </c>
      <c r="D650" t="s">
        <v>58</v>
      </c>
      <c r="E650" t="s">
        <v>252</v>
      </c>
      <c r="F650">
        <v>67</v>
      </c>
      <c r="G650" t="s">
        <v>60</v>
      </c>
      <c r="H650" t="s">
        <v>70</v>
      </c>
      <c r="I650">
        <v>0</v>
      </c>
      <c r="J650">
        <v>0</v>
      </c>
      <c r="K650" t="s">
        <v>46</v>
      </c>
      <c r="L650" t="s">
        <v>46</v>
      </c>
      <c r="M650" t="s">
        <v>47</v>
      </c>
      <c r="N650" t="s">
        <v>48</v>
      </c>
      <c r="O650" t="s">
        <v>49</v>
      </c>
      <c r="P650">
        <v>24.4</v>
      </c>
      <c r="Q650" t="s">
        <v>50</v>
      </c>
      <c r="R650" t="s">
        <v>47</v>
      </c>
      <c r="S650" t="s">
        <v>47</v>
      </c>
      <c r="T650" t="s">
        <v>46</v>
      </c>
      <c r="U650" t="s">
        <v>47</v>
      </c>
      <c r="V650" t="s">
        <v>92</v>
      </c>
      <c r="W650" t="s">
        <v>46</v>
      </c>
      <c r="X650" t="s">
        <v>47</v>
      </c>
      <c r="Y650" t="s">
        <v>47</v>
      </c>
      <c r="Z650" t="s">
        <v>47</v>
      </c>
      <c r="AA650" t="s">
        <v>46</v>
      </c>
      <c r="AB650" t="s">
        <v>47</v>
      </c>
      <c r="AC650" t="s">
        <v>47</v>
      </c>
      <c r="AD650" t="s">
        <v>47</v>
      </c>
      <c r="AE650" t="s">
        <v>47</v>
      </c>
      <c r="AF650" t="s">
        <v>46</v>
      </c>
      <c r="AG650" t="s">
        <v>52</v>
      </c>
      <c r="AH650" t="s">
        <v>53</v>
      </c>
      <c r="AI650" t="s">
        <v>87</v>
      </c>
      <c r="AJ650">
        <v>3.5</v>
      </c>
      <c r="AK650" t="s">
        <v>47</v>
      </c>
      <c r="AL650" t="s">
        <v>156</v>
      </c>
      <c r="AM650" t="s">
        <v>103</v>
      </c>
      <c r="AN650">
        <v>59</v>
      </c>
      <c r="AO650" t="s">
        <v>47</v>
      </c>
    </row>
    <row r="651" spans="1:41">
      <c r="A651" t="s">
        <v>803</v>
      </c>
      <c r="B651">
        <v>2020</v>
      </c>
      <c r="C651" s="1">
        <v>43844</v>
      </c>
      <c r="D651" t="s">
        <v>42</v>
      </c>
      <c r="E651" t="s">
        <v>136</v>
      </c>
      <c r="F651">
        <v>55</v>
      </c>
      <c r="G651" t="s">
        <v>60</v>
      </c>
      <c r="H651" t="s">
        <v>70</v>
      </c>
      <c r="I651">
        <v>0</v>
      </c>
      <c r="J651">
        <v>0</v>
      </c>
      <c r="K651" t="s">
        <v>47</v>
      </c>
      <c r="L651" t="s">
        <v>46</v>
      </c>
      <c r="M651" t="s">
        <v>47</v>
      </c>
      <c r="N651" t="s">
        <v>48</v>
      </c>
      <c r="O651" t="s">
        <v>63</v>
      </c>
      <c r="P651">
        <v>21.2</v>
      </c>
      <c r="Q651" t="s">
        <v>48</v>
      </c>
      <c r="R651" t="s">
        <v>46</v>
      </c>
      <c r="S651" t="s">
        <v>47</v>
      </c>
      <c r="T651" t="s">
        <v>47</v>
      </c>
      <c r="U651" t="s">
        <v>47</v>
      </c>
      <c r="V651" t="s">
        <v>51</v>
      </c>
      <c r="W651" t="s">
        <v>46</v>
      </c>
      <c r="X651" t="s">
        <v>47</v>
      </c>
      <c r="Y651" t="s">
        <v>47</v>
      </c>
      <c r="Z651" t="s">
        <v>47</v>
      </c>
      <c r="AA651" t="s">
        <v>46</v>
      </c>
      <c r="AB651" t="s">
        <v>47</v>
      </c>
      <c r="AC651" t="s">
        <v>47</v>
      </c>
      <c r="AD651" t="s">
        <v>47</v>
      </c>
      <c r="AE651" t="s">
        <v>47</v>
      </c>
      <c r="AF651" t="s">
        <v>47</v>
      </c>
      <c r="AG651" t="s">
        <v>52</v>
      </c>
      <c r="AH651" t="s">
        <v>71</v>
      </c>
      <c r="AI651" t="s">
        <v>54</v>
      </c>
      <c r="AJ651">
        <v>9.1</v>
      </c>
      <c r="AK651" t="s">
        <v>46</v>
      </c>
      <c r="AL651" t="s">
        <v>66</v>
      </c>
      <c r="AM651" t="s">
        <v>82</v>
      </c>
      <c r="AN651">
        <v>1</v>
      </c>
      <c r="AO651" t="s">
        <v>47</v>
      </c>
    </row>
    <row r="652" spans="1:41">
      <c r="A652" t="s">
        <v>804</v>
      </c>
      <c r="B652">
        <v>2021</v>
      </c>
      <c r="C652" s="1">
        <v>44524</v>
      </c>
      <c r="D652" t="s">
        <v>58</v>
      </c>
      <c r="E652" t="s">
        <v>59</v>
      </c>
      <c r="F652">
        <v>74</v>
      </c>
      <c r="G652" t="s">
        <v>60</v>
      </c>
      <c r="H652" t="s">
        <v>70</v>
      </c>
      <c r="I652">
        <v>0</v>
      </c>
      <c r="J652">
        <v>0</v>
      </c>
      <c r="K652" t="s">
        <v>47</v>
      </c>
      <c r="L652" t="s">
        <v>47</v>
      </c>
      <c r="M652" t="s">
        <v>46</v>
      </c>
      <c r="N652" t="s">
        <v>50</v>
      </c>
      <c r="O652" t="s">
        <v>49</v>
      </c>
      <c r="P652">
        <v>24.4</v>
      </c>
      <c r="Q652" t="s">
        <v>62</v>
      </c>
      <c r="R652" t="s">
        <v>47</v>
      </c>
      <c r="S652" t="s">
        <v>47</v>
      </c>
      <c r="T652" t="s">
        <v>47</v>
      </c>
      <c r="U652" t="s">
        <v>47</v>
      </c>
      <c r="V652" t="s">
        <v>86</v>
      </c>
      <c r="W652" t="s">
        <v>46</v>
      </c>
      <c r="X652" t="s">
        <v>47</v>
      </c>
      <c r="Y652" t="s">
        <v>47</v>
      </c>
      <c r="Z652" t="s">
        <v>47</v>
      </c>
      <c r="AA652" t="s">
        <v>47</v>
      </c>
      <c r="AB652" t="s">
        <v>47</v>
      </c>
      <c r="AC652" t="s">
        <v>47</v>
      </c>
      <c r="AD652" t="s">
        <v>46</v>
      </c>
      <c r="AE652" t="s">
        <v>47</v>
      </c>
      <c r="AF652" t="s">
        <v>47</v>
      </c>
      <c r="AG652" t="s">
        <v>52</v>
      </c>
      <c r="AH652" t="s">
        <v>53</v>
      </c>
      <c r="AI652" t="s">
        <v>80</v>
      </c>
      <c r="AJ652">
        <v>6.9</v>
      </c>
      <c r="AK652" t="s">
        <v>46</v>
      </c>
      <c r="AL652" t="s">
        <v>72</v>
      </c>
      <c r="AM652" t="s">
        <v>77</v>
      </c>
      <c r="AN652">
        <v>7</v>
      </c>
      <c r="AO652" t="s">
        <v>47</v>
      </c>
    </row>
    <row r="653" spans="1:41">
      <c r="A653" t="s">
        <v>805</v>
      </c>
      <c r="B653">
        <v>2017</v>
      </c>
      <c r="C653" s="1">
        <v>42967</v>
      </c>
      <c r="D653" t="s">
        <v>95</v>
      </c>
      <c r="E653" t="s">
        <v>130</v>
      </c>
      <c r="F653">
        <v>83</v>
      </c>
      <c r="G653" t="s">
        <v>44</v>
      </c>
      <c r="H653" t="s">
        <v>70</v>
      </c>
      <c r="I653">
        <v>0</v>
      </c>
      <c r="J653">
        <v>0</v>
      </c>
      <c r="K653" t="s">
        <v>46</v>
      </c>
      <c r="L653" t="s">
        <v>47</v>
      </c>
      <c r="M653" t="s">
        <v>47</v>
      </c>
      <c r="N653" t="s">
        <v>50</v>
      </c>
      <c r="O653" t="s">
        <v>49</v>
      </c>
      <c r="P653">
        <v>24.1</v>
      </c>
      <c r="Q653" t="s">
        <v>62</v>
      </c>
      <c r="R653" t="s">
        <v>47</v>
      </c>
      <c r="S653" t="s">
        <v>47</v>
      </c>
      <c r="T653" t="s">
        <v>46</v>
      </c>
      <c r="U653" t="s">
        <v>47</v>
      </c>
      <c r="V653" t="s">
        <v>92</v>
      </c>
      <c r="W653" t="s">
        <v>47</v>
      </c>
      <c r="X653" t="s">
        <v>47</v>
      </c>
      <c r="Y653" t="s">
        <v>47</v>
      </c>
      <c r="Z653" t="s">
        <v>47</v>
      </c>
      <c r="AA653" t="s">
        <v>47</v>
      </c>
      <c r="AB653" t="s">
        <v>46</v>
      </c>
      <c r="AC653" t="s">
        <v>46</v>
      </c>
      <c r="AD653" t="s">
        <v>47</v>
      </c>
      <c r="AE653" t="s">
        <v>46</v>
      </c>
      <c r="AF653" t="s">
        <v>47</v>
      </c>
      <c r="AG653" t="s">
        <v>52</v>
      </c>
      <c r="AH653" t="s">
        <v>53</v>
      </c>
      <c r="AI653" t="s">
        <v>80</v>
      </c>
      <c r="AJ653">
        <v>5.8</v>
      </c>
      <c r="AK653" t="s">
        <v>47</v>
      </c>
      <c r="AL653" t="s">
        <v>100</v>
      </c>
      <c r="AM653" t="s">
        <v>77</v>
      </c>
      <c r="AN653">
        <v>27</v>
      </c>
      <c r="AO653" t="s">
        <v>47</v>
      </c>
    </row>
    <row r="654" spans="1:41">
      <c r="A654" t="s">
        <v>806</v>
      </c>
      <c r="B654">
        <v>2025</v>
      </c>
      <c r="C654" s="1">
        <v>46017</v>
      </c>
      <c r="D654" t="s">
        <v>42</v>
      </c>
      <c r="E654" t="s">
        <v>210</v>
      </c>
      <c r="F654">
        <v>63</v>
      </c>
      <c r="G654" t="s">
        <v>60</v>
      </c>
      <c r="H654" t="s">
        <v>70</v>
      </c>
      <c r="I654">
        <v>0</v>
      </c>
      <c r="J654">
        <v>0</v>
      </c>
      <c r="K654" t="s">
        <v>46</v>
      </c>
      <c r="L654" t="s">
        <v>46</v>
      </c>
      <c r="M654" t="s">
        <v>47</v>
      </c>
      <c r="N654" t="s">
        <v>48</v>
      </c>
      <c r="O654" t="s">
        <v>48</v>
      </c>
      <c r="P654">
        <v>33.5</v>
      </c>
      <c r="Q654" t="s">
        <v>62</v>
      </c>
      <c r="R654" t="s">
        <v>47</v>
      </c>
      <c r="S654" t="s">
        <v>47</v>
      </c>
      <c r="T654" t="s">
        <v>47</v>
      </c>
      <c r="U654" t="s">
        <v>47</v>
      </c>
      <c r="V654" t="s">
        <v>64</v>
      </c>
      <c r="W654" t="s">
        <v>47</v>
      </c>
      <c r="X654" t="s">
        <v>47</v>
      </c>
      <c r="Y654" t="s">
        <v>47</v>
      </c>
      <c r="Z654" t="s">
        <v>47</v>
      </c>
      <c r="AA654" t="s">
        <v>46</v>
      </c>
      <c r="AB654" t="s">
        <v>47</v>
      </c>
      <c r="AC654" t="s">
        <v>47</v>
      </c>
      <c r="AD654" t="s">
        <v>46</v>
      </c>
      <c r="AE654" t="s">
        <v>46</v>
      </c>
      <c r="AF654" t="s">
        <v>47</v>
      </c>
      <c r="AG654" t="s">
        <v>52</v>
      </c>
      <c r="AH654" t="s">
        <v>53</v>
      </c>
      <c r="AI654" t="s">
        <v>80</v>
      </c>
      <c r="AJ654">
        <v>5.4</v>
      </c>
      <c r="AK654" t="s">
        <v>46</v>
      </c>
      <c r="AL654" t="s">
        <v>100</v>
      </c>
      <c r="AM654" t="s">
        <v>67</v>
      </c>
      <c r="AN654">
        <v>7</v>
      </c>
      <c r="AO654" t="s">
        <v>47</v>
      </c>
    </row>
    <row r="655" spans="1:41">
      <c r="A655" t="s">
        <v>807</v>
      </c>
      <c r="B655">
        <v>2020</v>
      </c>
      <c r="C655" s="1">
        <v>43939</v>
      </c>
      <c r="D655" t="s">
        <v>42</v>
      </c>
      <c r="E655" t="s">
        <v>160</v>
      </c>
      <c r="F655">
        <v>60</v>
      </c>
      <c r="G655" t="s">
        <v>60</v>
      </c>
      <c r="H655" t="s">
        <v>70</v>
      </c>
      <c r="I655">
        <v>0</v>
      </c>
      <c r="J655">
        <v>0</v>
      </c>
      <c r="K655" t="s">
        <v>46</v>
      </c>
      <c r="L655" t="s">
        <v>47</v>
      </c>
      <c r="M655" t="s">
        <v>47</v>
      </c>
      <c r="N655" t="s">
        <v>62</v>
      </c>
      <c r="O655" t="s">
        <v>49</v>
      </c>
      <c r="P655">
        <v>24.2</v>
      </c>
      <c r="Q655" t="s">
        <v>50</v>
      </c>
      <c r="R655" t="s">
        <v>47</v>
      </c>
      <c r="S655" t="s">
        <v>47</v>
      </c>
      <c r="T655" t="s">
        <v>47</v>
      </c>
      <c r="U655" t="s">
        <v>47</v>
      </c>
      <c r="V655" t="s">
        <v>51</v>
      </c>
      <c r="W655" t="s">
        <v>46</v>
      </c>
      <c r="X655" t="s">
        <v>47</v>
      </c>
      <c r="Y655" t="s">
        <v>46</v>
      </c>
      <c r="Z655" t="s">
        <v>47</v>
      </c>
      <c r="AA655" t="s">
        <v>46</v>
      </c>
      <c r="AB655" t="s">
        <v>46</v>
      </c>
      <c r="AC655" t="s">
        <v>47</v>
      </c>
      <c r="AD655" t="s">
        <v>47</v>
      </c>
      <c r="AE655" t="s">
        <v>47</v>
      </c>
      <c r="AF655" t="s">
        <v>47</v>
      </c>
      <c r="AG655" t="s">
        <v>52</v>
      </c>
      <c r="AH655" t="s">
        <v>53</v>
      </c>
      <c r="AI655" t="s">
        <v>65</v>
      </c>
      <c r="AJ655">
        <v>2.1</v>
      </c>
      <c r="AK655" t="s">
        <v>47</v>
      </c>
      <c r="AL655" t="s">
        <v>76</v>
      </c>
      <c r="AM655" t="s">
        <v>82</v>
      </c>
      <c r="AN655">
        <v>70</v>
      </c>
      <c r="AO655" t="s">
        <v>46</v>
      </c>
    </row>
    <row r="656" spans="1:41">
      <c r="A656" t="s">
        <v>808</v>
      </c>
      <c r="B656">
        <v>2021</v>
      </c>
      <c r="C656" s="1">
        <v>44342</v>
      </c>
      <c r="D656" t="s">
        <v>42</v>
      </c>
      <c r="E656" t="s">
        <v>210</v>
      </c>
      <c r="F656">
        <v>68</v>
      </c>
      <c r="G656" t="s">
        <v>60</v>
      </c>
      <c r="H656" t="s">
        <v>70</v>
      </c>
      <c r="I656">
        <v>0</v>
      </c>
      <c r="J656">
        <v>0</v>
      </c>
      <c r="K656" t="s">
        <v>46</v>
      </c>
      <c r="L656" t="s">
        <v>47</v>
      </c>
      <c r="M656" t="s">
        <v>47</v>
      </c>
      <c r="N656" t="s">
        <v>62</v>
      </c>
      <c r="O656" t="s">
        <v>48</v>
      </c>
      <c r="P656">
        <v>16</v>
      </c>
      <c r="Q656" t="s">
        <v>48</v>
      </c>
      <c r="R656" t="s">
        <v>47</v>
      </c>
      <c r="S656" t="s">
        <v>47</v>
      </c>
      <c r="T656" t="s">
        <v>47</v>
      </c>
      <c r="U656" t="s">
        <v>47</v>
      </c>
      <c r="V656" t="s">
        <v>86</v>
      </c>
      <c r="W656" t="s">
        <v>46</v>
      </c>
      <c r="X656" t="s">
        <v>47</v>
      </c>
      <c r="Y656" t="s">
        <v>47</v>
      </c>
      <c r="Z656" t="s">
        <v>47</v>
      </c>
      <c r="AA656" t="s">
        <v>47</v>
      </c>
      <c r="AB656" t="s">
        <v>47</v>
      </c>
      <c r="AC656" t="s">
        <v>47</v>
      </c>
      <c r="AD656" t="s">
        <v>46</v>
      </c>
      <c r="AE656" t="s">
        <v>46</v>
      </c>
      <c r="AF656" t="s">
        <v>47</v>
      </c>
      <c r="AG656" t="s">
        <v>52</v>
      </c>
      <c r="AH656" t="s">
        <v>53</v>
      </c>
      <c r="AI656" t="s">
        <v>80</v>
      </c>
      <c r="AJ656">
        <v>6.4</v>
      </c>
      <c r="AK656" t="s">
        <v>47</v>
      </c>
      <c r="AL656" t="s">
        <v>81</v>
      </c>
      <c r="AM656" t="s">
        <v>77</v>
      </c>
      <c r="AN656">
        <v>21</v>
      </c>
      <c r="AO656" t="s">
        <v>47</v>
      </c>
    </row>
    <row r="657" spans="1:41">
      <c r="A657" t="s">
        <v>809</v>
      </c>
      <c r="B657">
        <v>2023</v>
      </c>
      <c r="C657" s="1">
        <v>45028</v>
      </c>
      <c r="D657" t="s">
        <v>42</v>
      </c>
      <c r="E657" t="s">
        <v>154</v>
      </c>
      <c r="F657">
        <v>55</v>
      </c>
      <c r="G657" t="s">
        <v>44</v>
      </c>
      <c r="H657" t="s">
        <v>45</v>
      </c>
      <c r="I657">
        <v>39</v>
      </c>
      <c r="J657">
        <v>11</v>
      </c>
      <c r="K657" t="s">
        <v>46</v>
      </c>
      <c r="L657" t="s">
        <v>46</v>
      </c>
      <c r="M657" t="s">
        <v>47</v>
      </c>
      <c r="N657" t="s">
        <v>62</v>
      </c>
      <c r="O657" t="s">
        <v>48</v>
      </c>
      <c r="P657">
        <v>28.2</v>
      </c>
      <c r="Q657" t="s">
        <v>50</v>
      </c>
      <c r="R657" t="s">
        <v>47</v>
      </c>
      <c r="S657" t="s">
        <v>47</v>
      </c>
      <c r="T657" t="s">
        <v>47</v>
      </c>
      <c r="U657" t="s">
        <v>47</v>
      </c>
      <c r="V657" t="s">
        <v>51</v>
      </c>
      <c r="W657" t="s">
        <v>46</v>
      </c>
      <c r="X657" t="s">
        <v>46</v>
      </c>
      <c r="Y657" t="s">
        <v>47</v>
      </c>
      <c r="Z657" t="s">
        <v>47</v>
      </c>
      <c r="AA657" t="s">
        <v>46</v>
      </c>
      <c r="AB657" t="s">
        <v>46</v>
      </c>
      <c r="AC657" t="s">
        <v>46</v>
      </c>
      <c r="AD657" t="s">
        <v>47</v>
      </c>
      <c r="AE657" t="s">
        <v>46</v>
      </c>
      <c r="AF657" t="s">
        <v>47</v>
      </c>
      <c r="AG657" t="s">
        <v>52</v>
      </c>
      <c r="AH657" t="s">
        <v>71</v>
      </c>
      <c r="AI657" t="s">
        <v>80</v>
      </c>
      <c r="AJ657">
        <v>4.3</v>
      </c>
      <c r="AK657" t="s">
        <v>47</v>
      </c>
      <c r="AL657" t="s">
        <v>55</v>
      </c>
      <c r="AM657" t="s">
        <v>82</v>
      </c>
      <c r="AN657">
        <v>10</v>
      </c>
      <c r="AO657" t="s">
        <v>46</v>
      </c>
    </row>
    <row r="658" spans="1:41">
      <c r="A658" t="s">
        <v>810</v>
      </c>
      <c r="B658">
        <v>2023</v>
      </c>
      <c r="C658" s="1">
        <v>45153</v>
      </c>
      <c r="D658" t="s">
        <v>84</v>
      </c>
      <c r="E658" t="s">
        <v>184</v>
      </c>
      <c r="F658">
        <v>69</v>
      </c>
      <c r="G658" t="s">
        <v>60</v>
      </c>
      <c r="H658" t="s">
        <v>70</v>
      </c>
      <c r="I658">
        <v>0</v>
      </c>
      <c r="J658">
        <v>0</v>
      </c>
      <c r="K658" t="s">
        <v>47</v>
      </c>
      <c r="L658" t="s">
        <v>47</v>
      </c>
      <c r="M658" t="s">
        <v>47</v>
      </c>
      <c r="N658" t="s">
        <v>48</v>
      </c>
      <c r="O658" t="s">
        <v>48</v>
      </c>
      <c r="P658">
        <v>31.6</v>
      </c>
      <c r="Q658" t="s">
        <v>48</v>
      </c>
      <c r="R658" t="s">
        <v>47</v>
      </c>
      <c r="S658" t="s">
        <v>47</v>
      </c>
      <c r="T658" t="s">
        <v>46</v>
      </c>
      <c r="U658" t="s">
        <v>47</v>
      </c>
      <c r="V658" t="s">
        <v>86</v>
      </c>
      <c r="W658" t="s">
        <v>46</v>
      </c>
      <c r="X658" t="s">
        <v>46</v>
      </c>
      <c r="Y658" t="s">
        <v>47</v>
      </c>
      <c r="Z658" t="s">
        <v>47</v>
      </c>
      <c r="AA658" t="s">
        <v>47</v>
      </c>
      <c r="AB658" t="s">
        <v>46</v>
      </c>
      <c r="AC658" t="s">
        <v>47</v>
      </c>
      <c r="AD658" t="s">
        <v>47</v>
      </c>
      <c r="AE658" t="s">
        <v>47</v>
      </c>
      <c r="AF658" t="s">
        <v>47</v>
      </c>
      <c r="AG658" t="s">
        <v>52</v>
      </c>
      <c r="AH658" t="s">
        <v>53</v>
      </c>
      <c r="AI658" t="s">
        <v>65</v>
      </c>
      <c r="AJ658">
        <v>3.4</v>
      </c>
      <c r="AK658" t="s">
        <v>47</v>
      </c>
      <c r="AL658" t="s">
        <v>72</v>
      </c>
      <c r="AM658" t="s">
        <v>103</v>
      </c>
      <c r="AN658">
        <v>54</v>
      </c>
      <c r="AO658" t="s">
        <v>46</v>
      </c>
    </row>
    <row r="659" spans="1:41">
      <c r="A659" t="s">
        <v>811</v>
      </c>
      <c r="B659">
        <v>2022</v>
      </c>
      <c r="C659" s="1">
        <v>44759</v>
      </c>
      <c r="D659" t="s">
        <v>84</v>
      </c>
      <c r="E659" t="s">
        <v>89</v>
      </c>
      <c r="F659">
        <v>51</v>
      </c>
      <c r="G659" t="s">
        <v>44</v>
      </c>
      <c r="H659" t="s">
        <v>70</v>
      </c>
      <c r="I659">
        <v>0</v>
      </c>
      <c r="J659">
        <v>0</v>
      </c>
      <c r="K659" t="s">
        <v>46</v>
      </c>
      <c r="L659" t="s">
        <v>47</v>
      </c>
      <c r="M659" t="s">
        <v>47</v>
      </c>
      <c r="N659" t="s">
        <v>48</v>
      </c>
      <c r="O659" t="s">
        <v>49</v>
      </c>
      <c r="P659">
        <v>23.2</v>
      </c>
      <c r="Q659" t="s">
        <v>50</v>
      </c>
      <c r="R659" t="s">
        <v>47</v>
      </c>
      <c r="S659" t="s">
        <v>47</v>
      </c>
      <c r="T659" t="s">
        <v>47</v>
      </c>
      <c r="U659" t="s">
        <v>47</v>
      </c>
      <c r="V659" t="s">
        <v>51</v>
      </c>
      <c r="W659" t="s">
        <v>47</v>
      </c>
      <c r="X659" t="s">
        <v>47</v>
      </c>
      <c r="Y659" t="s">
        <v>47</v>
      </c>
      <c r="Z659" t="s">
        <v>47</v>
      </c>
      <c r="AA659" t="s">
        <v>47</v>
      </c>
      <c r="AB659" t="s">
        <v>47</v>
      </c>
      <c r="AC659" t="s">
        <v>47</v>
      </c>
      <c r="AD659" t="s">
        <v>47</v>
      </c>
      <c r="AE659" t="s">
        <v>47</v>
      </c>
      <c r="AF659" t="s">
        <v>47</v>
      </c>
      <c r="AG659" t="s">
        <v>52</v>
      </c>
      <c r="AH659" t="s">
        <v>53</v>
      </c>
      <c r="AI659" t="s">
        <v>54</v>
      </c>
      <c r="AJ659">
        <v>3.9</v>
      </c>
      <c r="AK659" t="s">
        <v>46</v>
      </c>
      <c r="AL659" t="s">
        <v>76</v>
      </c>
      <c r="AM659" t="s">
        <v>118</v>
      </c>
      <c r="AN659">
        <v>1</v>
      </c>
      <c r="AO659" t="s">
        <v>47</v>
      </c>
    </row>
    <row r="660" spans="1:41">
      <c r="A660" t="s">
        <v>812</v>
      </c>
      <c r="B660">
        <v>2024</v>
      </c>
      <c r="C660" s="1">
        <v>45479</v>
      </c>
      <c r="D660" t="s">
        <v>84</v>
      </c>
      <c r="E660" t="s">
        <v>126</v>
      </c>
      <c r="F660">
        <v>38</v>
      </c>
      <c r="G660" t="s">
        <v>60</v>
      </c>
      <c r="H660" t="s">
        <v>70</v>
      </c>
      <c r="I660">
        <v>0</v>
      </c>
      <c r="J660">
        <v>0</v>
      </c>
      <c r="K660" t="s">
        <v>46</v>
      </c>
      <c r="L660" t="s">
        <v>47</v>
      </c>
      <c r="M660" t="s">
        <v>47</v>
      </c>
      <c r="N660" t="s">
        <v>62</v>
      </c>
      <c r="O660" t="s">
        <v>49</v>
      </c>
      <c r="P660">
        <v>23.8</v>
      </c>
      <c r="Q660" t="s">
        <v>48</v>
      </c>
      <c r="R660" t="s">
        <v>46</v>
      </c>
      <c r="S660" t="s">
        <v>47</v>
      </c>
      <c r="T660" t="s">
        <v>47</v>
      </c>
      <c r="U660" t="s">
        <v>46</v>
      </c>
      <c r="V660" t="s">
        <v>151</v>
      </c>
      <c r="W660" t="s">
        <v>47</v>
      </c>
      <c r="X660" t="s">
        <v>47</v>
      </c>
      <c r="Y660" t="s">
        <v>47</v>
      </c>
      <c r="Z660" t="s">
        <v>46</v>
      </c>
      <c r="AA660" t="s">
        <v>47</v>
      </c>
      <c r="AB660" t="s">
        <v>47</v>
      </c>
      <c r="AC660" t="s">
        <v>47</v>
      </c>
      <c r="AD660" t="s">
        <v>47</v>
      </c>
      <c r="AE660" t="s">
        <v>47</v>
      </c>
      <c r="AF660" t="s">
        <v>47</v>
      </c>
      <c r="AG660" t="s">
        <v>52</v>
      </c>
      <c r="AH660" t="s">
        <v>53</v>
      </c>
      <c r="AI660" t="s">
        <v>65</v>
      </c>
      <c r="AJ660">
        <v>1.8</v>
      </c>
      <c r="AK660" t="s">
        <v>47</v>
      </c>
      <c r="AL660" t="s">
        <v>76</v>
      </c>
      <c r="AM660" t="s">
        <v>118</v>
      </c>
      <c r="AN660">
        <v>68</v>
      </c>
      <c r="AO660" t="s">
        <v>47</v>
      </c>
    </row>
    <row r="661" spans="1:41">
      <c r="A661" t="s">
        <v>813</v>
      </c>
      <c r="B661">
        <v>2022</v>
      </c>
      <c r="C661" s="1">
        <v>44839</v>
      </c>
      <c r="D661" t="s">
        <v>110</v>
      </c>
      <c r="E661" t="s">
        <v>410</v>
      </c>
      <c r="F661">
        <v>85</v>
      </c>
      <c r="G661" t="s">
        <v>60</v>
      </c>
      <c r="H661" t="s">
        <v>45</v>
      </c>
      <c r="I661">
        <v>22</v>
      </c>
      <c r="J661">
        <v>59</v>
      </c>
      <c r="K661" t="s">
        <v>47</v>
      </c>
      <c r="L661" t="s">
        <v>46</v>
      </c>
      <c r="M661" t="s">
        <v>47</v>
      </c>
      <c r="N661" t="s">
        <v>62</v>
      </c>
      <c r="O661" t="s">
        <v>63</v>
      </c>
      <c r="P661">
        <v>29.2</v>
      </c>
      <c r="Q661" t="s">
        <v>50</v>
      </c>
      <c r="R661" t="s">
        <v>47</v>
      </c>
      <c r="S661" t="s">
        <v>47</v>
      </c>
      <c r="T661" t="s">
        <v>47</v>
      </c>
      <c r="U661" t="s">
        <v>47</v>
      </c>
      <c r="V661" t="s">
        <v>64</v>
      </c>
      <c r="W661" t="s">
        <v>46</v>
      </c>
      <c r="X661" t="s">
        <v>46</v>
      </c>
      <c r="Y661" t="s">
        <v>47</v>
      </c>
      <c r="Z661" t="s">
        <v>46</v>
      </c>
      <c r="AA661" t="s">
        <v>46</v>
      </c>
      <c r="AB661" t="s">
        <v>46</v>
      </c>
      <c r="AC661" t="s">
        <v>47</v>
      </c>
      <c r="AD661" t="s">
        <v>46</v>
      </c>
      <c r="AE661" t="s">
        <v>46</v>
      </c>
      <c r="AF661" t="s">
        <v>47</v>
      </c>
      <c r="AG661" t="s">
        <v>121</v>
      </c>
      <c r="AH661" t="s">
        <v>122</v>
      </c>
      <c r="AI661" t="s">
        <v>65</v>
      </c>
      <c r="AJ661">
        <v>2.2999999999999998</v>
      </c>
      <c r="AK661" t="s">
        <v>47</v>
      </c>
      <c r="AL661" t="s">
        <v>72</v>
      </c>
      <c r="AM661" t="s">
        <v>73</v>
      </c>
      <c r="AN661">
        <v>61</v>
      </c>
      <c r="AO661" t="s">
        <v>47</v>
      </c>
    </row>
    <row r="662" spans="1:41">
      <c r="A662" t="s">
        <v>814</v>
      </c>
      <c r="B662">
        <v>2017</v>
      </c>
      <c r="C662" s="1">
        <v>42756</v>
      </c>
      <c r="D662" t="s">
        <v>84</v>
      </c>
      <c r="E662" t="s">
        <v>571</v>
      </c>
      <c r="F662">
        <v>76</v>
      </c>
      <c r="G662" t="s">
        <v>60</v>
      </c>
      <c r="H662" t="s">
        <v>70</v>
      </c>
      <c r="I662">
        <v>0</v>
      </c>
      <c r="J662">
        <v>0</v>
      </c>
      <c r="K662" t="s">
        <v>46</v>
      </c>
      <c r="L662" t="s">
        <v>46</v>
      </c>
      <c r="M662" t="s">
        <v>47</v>
      </c>
      <c r="N662" t="s">
        <v>62</v>
      </c>
      <c r="O662" t="s">
        <v>49</v>
      </c>
      <c r="P662">
        <v>18.7</v>
      </c>
      <c r="Q662" t="s">
        <v>50</v>
      </c>
      <c r="R662" t="s">
        <v>47</v>
      </c>
      <c r="S662" t="s">
        <v>47</v>
      </c>
      <c r="T662" t="s">
        <v>47</v>
      </c>
      <c r="U662" t="s">
        <v>47</v>
      </c>
      <c r="V662" t="s">
        <v>64</v>
      </c>
      <c r="W662" t="s">
        <v>46</v>
      </c>
      <c r="X662" t="s">
        <v>47</v>
      </c>
      <c r="Y662" t="s">
        <v>46</v>
      </c>
      <c r="Z662" t="s">
        <v>46</v>
      </c>
      <c r="AA662" t="s">
        <v>46</v>
      </c>
      <c r="AB662" t="s">
        <v>47</v>
      </c>
      <c r="AC662" t="s">
        <v>47</v>
      </c>
      <c r="AD662" t="s">
        <v>47</v>
      </c>
      <c r="AE662" t="s">
        <v>47</v>
      </c>
      <c r="AF662" t="s">
        <v>47</v>
      </c>
      <c r="AG662" t="s">
        <v>52</v>
      </c>
      <c r="AH662" t="s">
        <v>90</v>
      </c>
      <c r="AI662" t="s">
        <v>87</v>
      </c>
      <c r="AJ662">
        <v>3.5</v>
      </c>
      <c r="AK662" t="s">
        <v>47</v>
      </c>
      <c r="AL662" t="s">
        <v>76</v>
      </c>
      <c r="AM662" t="s">
        <v>82</v>
      </c>
      <c r="AN662">
        <v>36</v>
      </c>
      <c r="AO662" t="s">
        <v>46</v>
      </c>
    </row>
    <row r="663" spans="1:41">
      <c r="A663" t="s">
        <v>815</v>
      </c>
      <c r="B663">
        <v>2022</v>
      </c>
      <c r="C663" s="1">
        <v>44730</v>
      </c>
      <c r="D663" t="s">
        <v>110</v>
      </c>
      <c r="E663" t="s">
        <v>227</v>
      </c>
      <c r="F663">
        <v>54</v>
      </c>
      <c r="G663" t="s">
        <v>60</v>
      </c>
      <c r="H663" t="s">
        <v>61</v>
      </c>
      <c r="I663">
        <v>22</v>
      </c>
      <c r="J663">
        <v>18</v>
      </c>
      <c r="K663" t="s">
        <v>47</v>
      </c>
      <c r="L663" t="s">
        <v>47</v>
      </c>
      <c r="M663" t="s">
        <v>46</v>
      </c>
      <c r="N663" t="s">
        <v>50</v>
      </c>
      <c r="O663" t="s">
        <v>49</v>
      </c>
      <c r="P663">
        <v>24.2</v>
      </c>
      <c r="Q663" t="s">
        <v>50</v>
      </c>
      <c r="R663" t="s">
        <v>47</v>
      </c>
      <c r="S663" t="s">
        <v>47</v>
      </c>
      <c r="T663" t="s">
        <v>47</v>
      </c>
      <c r="U663" t="s">
        <v>47</v>
      </c>
      <c r="V663" t="s">
        <v>86</v>
      </c>
      <c r="W663" t="s">
        <v>47</v>
      </c>
      <c r="X663" t="s">
        <v>46</v>
      </c>
      <c r="Y663" t="s">
        <v>47</v>
      </c>
      <c r="Z663" t="s">
        <v>46</v>
      </c>
      <c r="AA663" t="s">
        <v>47</v>
      </c>
      <c r="AB663" t="s">
        <v>46</v>
      </c>
      <c r="AC663" t="s">
        <v>46</v>
      </c>
      <c r="AD663" t="s">
        <v>47</v>
      </c>
      <c r="AE663" t="s">
        <v>47</v>
      </c>
      <c r="AF663" t="s">
        <v>47</v>
      </c>
      <c r="AG663" t="s">
        <v>121</v>
      </c>
      <c r="AH663" t="s">
        <v>122</v>
      </c>
      <c r="AI663" t="s">
        <v>80</v>
      </c>
      <c r="AJ663">
        <v>8.6999999999999993</v>
      </c>
      <c r="AK663" t="s">
        <v>47</v>
      </c>
      <c r="AL663" t="s">
        <v>81</v>
      </c>
      <c r="AM663" t="s">
        <v>77</v>
      </c>
      <c r="AN663">
        <v>11</v>
      </c>
      <c r="AO663" t="s">
        <v>47</v>
      </c>
    </row>
    <row r="664" spans="1:41">
      <c r="A664" t="s">
        <v>816</v>
      </c>
      <c r="B664">
        <v>2023</v>
      </c>
      <c r="C664" s="1">
        <v>45288</v>
      </c>
      <c r="D664" t="s">
        <v>58</v>
      </c>
      <c r="E664" t="s">
        <v>220</v>
      </c>
      <c r="F664">
        <v>48</v>
      </c>
      <c r="G664" t="s">
        <v>60</v>
      </c>
      <c r="H664" t="s">
        <v>45</v>
      </c>
      <c r="I664">
        <v>15</v>
      </c>
      <c r="J664">
        <v>22</v>
      </c>
      <c r="K664" t="s">
        <v>47</v>
      </c>
      <c r="L664" t="s">
        <v>47</v>
      </c>
      <c r="M664" t="s">
        <v>47</v>
      </c>
      <c r="N664" t="s">
        <v>48</v>
      </c>
      <c r="O664" t="s">
        <v>48</v>
      </c>
      <c r="P664">
        <v>38</v>
      </c>
      <c r="Q664" t="s">
        <v>50</v>
      </c>
      <c r="R664" t="s">
        <v>47</v>
      </c>
      <c r="S664" t="s">
        <v>47</v>
      </c>
      <c r="T664" t="s">
        <v>47</v>
      </c>
      <c r="U664" t="s">
        <v>47</v>
      </c>
      <c r="V664" t="s">
        <v>51</v>
      </c>
      <c r="W664" t="s">
        <v>46</v>
      </c>
      <c r="X664" t="s">
        <v>46</v>
      </c>
      <c r="Y664" t="s">
        <v>47</v>
      </c>
      <c r="Z664" t="s">
        <v>46</v>
      </c>
      <c r="AA664" t="s">
        <v>46</v>
      </c>
      <c r="AB664" t="s">
        <v>46</v>
      </c>
      <c r="AC664" t="s">
        <v>47</v>
      </c>
      <c r="AD664" t="s">
        <v>47</v>
      </c>
      <c r="AE664" t="s">
        <v>47</v>
      </c>
      <c r="AF664" t="s">
        <v>47</v>
      </c>
      <c r="AG664" t="s">
        <v>52</v>
      </c>
      <c r="AH664" t="s">
        <v>53</v>
      </c>
      <c r="AI664" t="s">
        <v>80</v>
      </c>
      <c r="AJ664">
        <v>3.7</v>
      </c>
      <c r="AK664" t="s">
        <v>47</v>
      </c>
      <c r="AL664" t="s">
        <v>55</v>
      </c>
      <c r="AM664" t="s">
        <v>56</v>
      </c>
      <c r="AN664">
        <v>11</v>
      </c>
      <c r="AO664" t="s">
        <v>46</v>
      </c>
    </row>
    <row r="665" spans="1:41">
      <c r="A665" t="s">
        <v>817</v>
      </c>
      <c r="B665">
        <v>2021</v>
      </c>
      <c r="C665" s="1">
        <v>44237</v>
      </c>
      <c r="D665" t="s">
        <v>84</v>
      </c>
      <c r="E665" t="s">
        <v>85</v>
      </c>
      <c r="F665">
        <v>64</v>
      </c>
      <c r="G665" t="s">
        <v>60</v>
      </c>
      <c r="H665" t="s">
        <v>70</v>
      </c>
      <c r="I665">
        <v>0</v>
      </c>
      <c r="J665">
        <v>0</v>
      </c>
      <c r="K665" t="s">
        <v>46</v>
      </c>
      <c r="L665" t="s">
        <v>47</v>
      </c>
      <c r="M665" t="s">
        <v>47</v>
      </c>
      <c r="N665" t="s">
        <v>50</v>
      </c>
      <c r="O665" t="s">
        <v>49</v>
      </c>
      <c r="P665">
        <v>24.1</v>
      </c>
      <c r="Q665" t="s">
        <v>48</v>
      </c>
      <c r="R665" t="s">
        <v>47</v>
      </c>
      <c r="S665" t="s">
        <v>47</v>
      </c>
      <c r="T665" t="s">
        <v>47</v>
      </c>
      <c r="U665" t="s">
        <v>47</v>
      </c>
      <c r="V665" t="s">
        <v>51</v>
      </c>
      <c r="W665" t="s">
        <v>46</v>
      </c>
      <c r="X665" t="s">
        <v>46</v>
      </c>
      <c r="Y665" t="s">
        <v>47</v>
      </c>
      <c r="Z665" t="s">
        <v>47</v>
      </c>
      <c r="AA665" t="s">
        <v>46</v>
      </c>
      <c r="AB665" t="s">
        <v>47</v>
      </c>
      <c r="AC665" t="s">
        <v>47</v>
      </c>
      <c r="AD665" t="s">
        <v>47</v>
      </c>
      <c r="AE665" t="s">
        <v>47</v>
      </c>
      <c r="AF665" t="s">
        <v>47</v>
      </c>
      <c r="AG665" t="s">
        <v>52</v>
      </c>
      <c r="AH665" t="s">
        <v>71</v>
      </c>
      <c r="AI665" t="s">
        <v>54</v>
      </c>
      <c r="AJ665">
        <v>5</v>
      </c>
      <c r="AK665" t="s">
        <v>46</v>
      </c>
      <c r="AL665" t="s">
        <v>66</v>
      </c>
      <c r="AM665" t="s">
        <v>118</v>
      </c>
      <c r="AN665">
        <v>1</v>
      </c>
      <c r="AO665" t="s">
        <v>47</v>
      </c>
    </row>
    <row r="666" spans="1:41">
      <c r="A666" t="s">
        <v>818</v>
      </c>
      <c r="B666">
        <v>2021</v>
      </c>
      <c r="C666" s="1">
        <v>44264</v>
      </c>
      <c r="D666" t="s">
        <v>84</v>
      </c>
      <c r="E666" t="s">
        <v>571</v>
      </c>
      <c r="F666">
        <v>64</v>
      </c>
      <c r="G666" t="s">
        <v>60</v>
      </c>
      <c r="H666" t="s">
        <v>45</v>
      </c>
      <c r="I666">
        <v>5</v>
      </c>
      <c r="J666">
        <v>27</v>
      </c>
      <c r="K666" t="s">
        <v>47</v>
      </c>
      <c r="L666" t="s">
        <v>47</v>
      </c>
      <c r="M666" t="s">
        <v>47</v>
      </c>
      <c r="N666" t="s">
        <v>48</v>
      </c>
      <c r="O666" t="s">
        <v>49</v>
      </c>
      <c r="P666">
        <v>23.5</v>
      </c>
      <c r="Q666" t="s">
        <v>62</v>
      </c>
      <c r="R666" t="s">
        <v>47</v>
      </c>
      <c r="S666" t="s">
        <v>47</v>
      </c>
      <c r="T666" t="s">
        <v>47</v>
      </c>
      <c r="U666" t="s">
        <v>47</v>
      </c>
      <c r="V666" t="s">
        <v>51</v>
      </c>
      <c r="W666" t="s">
        <v>46</v>
      </c>
      <c r="X666" t="s">
        <v>47</v>
      </c>
      <c r="Y666" t="s">
        <v>46</v>
      </c>
      <c r="Z666" t="s">
        <v>47</v>
      </c>
      <c r="AA666" t="s">
        <v>46</v>
      </c>
      <c r="AB666" t="s">
        <v>46</v>
      </c>
      <c r="AC666" t="s">
        <v>47</v>
      </c>
      <c r="AD666" t="s">
        <v>47</v>
      </c>
      <c r="AE666" t="s">
        <v>47</v>
      </c>
      <c r="AF666" t="s">
        <v>47</v>
      </c>
      <c r="AG666" t="s">
        <v>121</v>
      </c>
      <c r="AH666" t="s">
        <v>122</v>
      </c>
      <c r="AI666" t="s">
        <v>80</v>
      </c>
      <c r="AJ666">
        <v>5.0999999999999996</v>
      </c>
      <c r="AK666" t="s">
        <v>47</v>
      </c>
      <c r="AL666" t="s">
        <v>81</v>
      </c>
      <c r="AM666" t="s">
        <v>67</v>
      </c>
      <c r="AN666">
        <v>36</v>
      </c>
      <c r="AO666" t="s">
        <v>47</v>
      </c>
    </row>
    <row r="667" spans="1:41">
      <c r="A667" t="s">
        <v>819</v>
      </c>
      <c r="B667">
        <v>2025</v>
      </c>
      <c r="C667" s="1">
        <v>45905</v>
      </c>
      <c r="D667" t="s">
        <v>110</v>
      </c>
      <c r="E667" t="s">
        <v>231</v>
      </c>
      <c r="F667">
        <v>48</v>
      </c>
      <c r="G667" t="s">
        <v>60</v>
      </c>
      <c r="H667" t="s">
        <v>70</v>
      </c>
      <c r="I667">
        <v>0</v>
      </c>
      <c r="J667">
        <v>0</v>
      </c>
      <c r="K667" t="s">
        <v>47</v>
      </c>
      <c r="L667" t="s">
        <v>47</v>
      </c>
      <c r="M667" t="s">
        <v>47</v>
      </c>
      <c r="N667" t="s">
        <v>48</v>
      </c>
      <c r="O667" t="s">
        <v>63</v>
      </c>
      <c r="P667">
        <v>25.6</v>
      </c>
      <c r="Q667" t="s">
        <v>48</v>
      </c>
      <c r="R667" t="s">
        <v>46</v>
      </c>
      <c r="S667" t="s">
        <v>47</v>
      </c>
      <c r="T667" t="s">
        <v>47</v>
      </c>
      <c r="U667" t="s">
        <v>47</v>
      </c>
      <c r="V667" t="s">
        <v>193</v>
      </c>
      <c r="W667" t="s">
        <v>47</v>
      </c>
      <c r="X667" t="s">
        <v>46</v>
      </c>
      <c r="Y667" t="s">
        <v>47</v>
      </c>
      <c r="Z667" t="s">
        <v>47</v>
      </c>
      <c r="AA667" t="s">
        <v>46</v>
      </c>
      <c r="AB667" t="s">
        <v>47</v>
      </c>
      <c r="AC667" t="s">
        <v>46</v>
      </c>
      <c r="AD667" t="s">
        <v>47</v>
      </c>
      <c r="AE667" t="s">
        <v>46</v>
      </c>
      <c r="AF667" t="s">
        <v>47</v>
      </c>
      <c r="AG667" t="s">
        <v>52</v>
      </c>
      <c r="AH667" t="s">
        <v>53</v>
      </c>
      <c r="AI667" t="s">
        <v>65</v>
      </c>
      <c r="AJ667">
        <v>2.9</v>
      </c>
      <c r="AK667" t="s">
        <v>47</v>
      </c>
      <c r="AL667" t="s">
        <v>66</v>
      </c>
      <c r="AM667" t="s">
        <v>82</v>
      </c>
      <c r="AN667">
        <v>61</v>
      </c>
      <c r="AO667" t="s">
        <v>47</v>
      </c>
    </row>
    <row r="668" spans="1:41">
      <c r="A668" t="s">
        <v>820</v>
      </c>
      <c r="B668">
        <v>2020</v>
      </c>
      <c r="C668" s="1">
        <v>43869</v>
      </c>
      <c r="D668" t="s">
        <v>110</v>
      </c>
      <c r="E668" t="s">
        <v>225</v>
      </c>
      <c r="F668">
        <v>69</v>
      </c>
      <c r="G668" t="s">
        <v>60</v>
      </c>
      <c r="H668" t="s">
        <v>70</v>
      </c>
      <c r="I668">
        <v>0</v>
      </c>
      <c r="J668">
        <v>0</v>
      </c>
      <c r="K668" t="s">
        <v>47</v>
      </c>
      <c r="L668" t="s">
        <v>46</v>
      </c>
      <c r="M668" t="s">
        <v>46</v>
      </c>
      <c r="N668" t="s">
        <v>62</v>
      </c>
      <c r="O668" t="s">
        <v>63</v>
      </c>
      <c r="P668">
        <v>26.4</v>
      </c>
      <c r="Q668" t="s">
        <v>50</v>
      </c>
      <c r="R668" t="s">
        <v>47</v>
      </c>
      <c r="S668" t="s">
        <v>46</v>
      </c>
      <c r="T668" t="s">
        <v>47</v>
      </c>
      <c r="U668" t="s">
        <v>47</v>
      </c>
      <c r="V668" t="s">
        <v>51</v>
      </c>
      <c r="W668" t="s">
        <v>46</v>
      </c>
      <c r="X668" t="s">
        <v>46</v>
      </c>
      <c r="Y668" t="s">
        <v>46</v>
      </c>
      <c r="Z668" t="s">
        <v>47</v>
      </c>
      <c r="AA668" t="s">
        <v>46</v>
      </c>
      <c r="AB668" t="s">
        <v>46</v>
      </c>
      <c r="AC668" t="s">
        <v>47</v>
      </c>
      <c r="AD668" t="s">
        <v>47</v>
      </c>
      <c r="AE668" t="s">
        <v>47</v>
      </c>
      <c r="AF668" t="s">
        <v>47</v>
      </c>
      <c r="AG668" t="s">
        <v>52</v>
      </c>
      <c r="AH668" t="s">
        <v>90</v>
      </c>
      <c r="AI668" t="s">
        <v>80</v>
      </c>
      <c r="AJ668">
        <v>8.1</v>
      </c>
      <c r="AK668" t="s">
        <v>47</v>
      </c>
      <c r="AL668" t="s">
        <v>76</v>
      </c>
      <c r="AM668" t="s">
        <v>67</v>
      </c>
      <c r="AN668">
        <v>10</v>
      </c>
      <c r="AO668" t="s">
        <v>47</v>
      </c>
    </row>
    <row r="669" spans="1:41">
      <c r="A669" t="s">
        <v>821</v>
      </c>
      <c r="B669">
        <v>2016</v>
      </c>
      <c r="C669" s="1">
        <v>42522</v>
      </c>
      <c r="D669" t="s">
        <v>42</v>
      </c>
      <c r="E669" t="s">
        <v>79</v>
      </c>
      <c r="F669">
        <v>49</v>
      </c>
      <c r="G669" t="s">
        <v>44</v>
      </c>
      <c r="H669" t="s">
        <v>70</v>
      </c>
      <c r="I669">
        <v>0</v>
      </c>
      <c r="J669">
        <v>0</v>
      </c>
      <c r="K669" t="s">
        <v>46</v>
      </c>
      <c r="L669" t="s">
        <v>47</v>
      </c>
      <c r="M669" t="s">
        <v>47</v>
      </c>
      <c r="N669" t="s">
        <v>50</v>
      </c>
      <c r="O669" t="s">
        <v>48</v>
      </c>
      <c r="P669">
        <v>29.5</v>
      </c>
      <c r="Q669" t="s">
        <v>48</v>
      </c>
      <c r="R669" t="s">
        <v>47</v>
      </c>
      <c r="S669" t="s">
        <v>47</v>
      </c>
      <c r="T669" t="s">
        <v>47</v>
      </c>
      <c r="U669" t="s">
        <v>47</v>
      </c>
      <c r="V669" t="s">
        <v>51</v>
      </c>
      <c r="W669" t="s">
        <v>47</v>
      </c>
      <c r="X669" t="s">
        <v>47</v>
      </c>
      <c r="Y669" t="s">
        <v>47</v>
      </c>
      <c r="Z669" t="s">
        <v>47</v>
      </c>
      <c r="AA669" t="s">
        <v>46</v>
      </c>
      <c r="AB669" t="s">
        <v>47</v>
      </c>
      <c r="AC669" t="s">
        <v>47</v>
      </c>
      <c r="AD669" t="s">
        <v>47</v>
      </c>
      <c r="AE669" t="s">
        <v>47</v>
      </c>
      <c r="AF669" t="s">
        <v>47</v>
      </c>
      <c r="AG669" t="s">
        <v>52</v>
      </c>
      <c r="AH669" t="s">
        <v>90</v>
      </c>
      <c r="AI669" t="s">
        <v>65</v>
      </c>
      <c r="AJ669">
        <v>1.9</v>
      </c>
      <c r="AK669" t="s">
        <v>47</v>
      </c>
      <c r="AL669" t="s">
        <v>72</v>
      </c>
      <c r="AM669" t="s">
        <v>103</v>
      </c>
      <c r="AN669">
        <v>53</v>
      </c>
      <c r="AO669" t="s">
        <v>46</v>
      </c>
    </row>
    <row r="670" spans="1:41">
      <c r="A670" t="s">
        <v>822</v>
      </c>
      <c r="B670">
        <v>2024</v>
      </c>
      <c r="C670" s="1">
        <v>45304</v>
      </c>
      <c r="D670" t="s">
        <v>95</v>
      </c>
      <c r="E670" t="s">
        <v>147</v>
      </c>
      <c r="F670">
        <v>48</v>
      </c>
      <c r="G670" t="s">
        <v>60</v>
      </c>
      <c r="H670" t="s">
        <v>61</v>
      </c>
      <c r="I670">
        <v>18</v>
      </c>
      <c r="J670">
        <v>11</v>
      </c>
      <c r="K670" t="s">
        <v>46</v>
      </c>
      <c r="L670" t="s">
        <v>47</v>
      </c>
      <c r="M670" t="s">
        <v>47</v>
      </c>
      <c r="N670" t="s">
        <v>48</v>
      </c>
      <c r="O670" t="s">
        <v>49</v>
      </c>
      <c r="P670">
        <v>25.3</v>
      </c>
      <c r="Q670" t="s">
        <v>50</v>
      </c>
      <c r="R670" t="s">
        <v>47</v>
      </c>
      <c r="S670" t="s">
        <v>47</v>
      </c>
      <c r="T670" t="s">
        <v>47</v>
      </c>
      <c r="U670" t="s">
        <v>47</v>
      </c>
      <c r="V670" t="s">
        <v>51</v>
      </c>
      <c r="W670" t="s">
        <v>46</v>
      </c>
      <c r="X670" t="s">
        <v>47</v>
      </c>
      <c r="Y670" t="s">
        <v>47</v>
      </c>
      <c r="Z670" t="s">
        <v>47</v>
      </c>
      <c r="AA670" t="s">
        <v>46</v>
      </c>
      <c r="AB670" t="s">
        <v>47</v>
      </c>
      <c r="AC670" t="s">
        <v>47</v>
      </c>
      <c r="AD670" t="s">
        <v>47</v>
      </c>
      <c r="AE670" t="s">
        <v>47</v>
      </c>
      <c r="AF670" t="s">
        <v>47</v>
      </c>
      <c r="AG670" t="s">
        <v>52</v>
      </c>
      <c r="AH670" t="s">
        <v>53</v>
      </c>
      <c r="AI670" t="s">
        <v>54</v>
      </c>
      <c r="AJ670">
        <v>6.8</v>
      </c>
      <c r="AK670" t="s">
        <v>46</v>
      </c>
      <c r="AL670" t="s">
        <v>76</v>
      </c>
      <c r="AM670" t="s">
        <v>77</v>
      </c>
      <c r="AN670">
        <v>11</v>
      </c>
      <c r="AO670" t="s">
        <v>47</v>
      </c>
    </row>
    <row r="671" spans="1:41">
      <c r="A671" t="s">
        <v>823</v>
      </c>
      <c r="B671">
        <v>2022</v>
      </c>
      <c r="C671" s="1">
        <v>44720</v>
      </c>
      <c r="D671" t="s">
        <v>84</v>
      </c>
      <c r="E671" t="s">
        <v>102</v>
      </c>
      <c r="F671">
        <v>78</v>
      </c>
      <c r="G671" t="s">
        <v>60</v>
      </c>
      <c r="H671" t="s">
        <v>70</v>
      </c>
      <c r="I671">
        <v>0</v>
      </c>
      <c r="J671">
        <v>0</v>
      </c>
      <c r="K671" t="s">
        <v>46</v>
      </c>
      <c r="L671" t="s">
        <v>47</v>
      </c>
      <c r="M671" t="s">
        <v>46</v>
      </c>
      <c r="N671" t="s">
        <v>48</v>
      </c>
      <c r="O671" t="s">
        <v>49</v>
      </c>
      <c r="P671">
        <v>23.2</v>
      </c>
      <c r="Q671" t="s">
        <v>48</v>
      </c>
      <c r="R671" t="s">
        <v>47</v>
      </c>
      <c r="S671" t="s">
        <v>47</v>
      </c>
      <c r="T671" t="s">
        <v>47</v>
      </c>
      <c r="U671" t="s">
        <v>47</v>
      </c>
      <c r="V671" t="s">
        <v>117</v>
      </c>
      <c r="W671" t="s">
        <v>47</v>
      </c>
      <c r="X671" t="s">
        <v>46</v>
      </c>
      <c r="Y671" t="s">
        <v>47</v>
      </c>
      <c r="Z671" t="s">
        <v>47</v>
      </c>
      <c r="AA671" t="s">
        <v>47</v>
      </c>
      <c r="AB671" t="s">
        <v>46</v>
      </c>
      <c r="AC671" t="s">
        <v>47</v>
      </c>
      <c r="AD671" t="s">
        <v>47</v>
      </c>
      <c r="AE671" t="s">
        <v>47</v>
      </c>
      <c r="AF671" t="s">
        <v>47</v>
      </c>
      <c r="AG671" t="s">
        <v>52</v>
      </c>
      <c r="AH671" t="s">
        <v>71</v>
      </c>
      <c r="AI671" t="s">
        <v>65</v>
      </c>
      <c r="AJ671">
        <v>1.2</v>
      </c>
      <c r="AK671" t="s">
        <v>47</v>
      </c>
      <c r="AL671" t="s">
        <v>76</v>
      </c>
      <c r="AM671" t="s">
        <v>73</v>
      </c>
      <c r="AN671">
        <v>66</v>
      </c>
      <c r="AO671" t="s">
        <v>46</v>
      </c>
    </row>
    <row r="672" spans="1:41">
      <c r="A672" t="s">
        <v>824</v>
      </c>
      <c r="B672">
        <v>2019</v>
      </c>
      <c r="C672" s="1">
        <v>43508</v>
      </c>
      <c r="D672" t="s">
        <v>84</v>
      </c>
      <c r="E672" t="s">
        <v>126</v>
      </c>
      <c r="F672">
        <v>61</v>
      </c>
      <c r="G672" t="s">
        <v>60</v>
      </c>
      <c r="H672" t="s">
        <v>70</v>
      </c>
      <c r="I672">
        <v>0</v>
      </c>
      <c r="J672">
        <v>0</v>
      </c>
      <c r="K672" t="s">
        <v>46</v>
      </c>
      <c r="L672" t="s">
        <v>47</v>
      </c>
      <c r="M672" t="s">
        <v>47</v>
      </c>
      <c r="N672" t="s">
        <v>48</v>
      </c>
      <c r="O672" t="s">
        <v>48</v>
      </c>
      <c r="P672">
        <v>27.8</v>
      </c>
      <c r="Q672" t="s">
        <v>50</v>
      </c>
      <c r="R672" t="s">
        <v>46</v>
      </c>
      <c r="S672" t="s">
        <v>47</v>
      </c>
      <c r="T672" t="s">
        <v>47</v>
      </c>
      <c r="U672" t="s">
        <v>47</v>
      </c>
      <c r="V672" t="s">
        <v>117</v>
      </c>
      <c r="W672" t="s">
        <v>47</v>
      </c>
      <c r="X672" t="s">
        <v>46</v>
      </c>
      <c r="Y672" t="s">
        <v>46</v>
      </c>
      <c r="Z672" t="s">
        <v>47</v>
      </c>
      <c r="AA672" t="s">
        <v>46</v>
      </c>
      <c r="AB672" t="s">
        <v>46</v>
      </c>
      <c r="AC672" t="s">
        <v>47</v>
      </c>
      <c r="AD672" t="s">
        <v>47</v>
      </c>
      <c r="AE672" t="s">
        <v>47</v>
      </c>
      <c r="AF672" t="s">
        <v>47</v>
      </c>
      <c r="AG672" t="s">
        <v>52</v>
      </c>
      <c r="AH672" t="s">
        <v>53</v>
      </c>
      <c r="AI672" t="s">
        <v>87</v>
      </c>
      <c r="AJ672">
        <v>4.5999999999999996</v>
      </c>
      <c r="AK672" t="s">
        <v>47</v>
      </c>
      <c r="AL672" t="s">
        <v>156</v>
      </c>
      <c r="AM672" t="s">
        <v>67</v>
      </c>
      <c r="AN672">
        <v>26</v>
      </c>
      <c r="AO672" t="s">
        <v>47</v>
      </c>
    </row>
    <row r="673" spans="1:41">
      <c r="A673" t="s">
        <v>825</v>
      </c>
      <c r="B673">
        <v>2021</v>
      </c>
      <c r="C673" s="1">
        <v>44207</v>
      </c>
      <c r="D673" t="s">
        <v>42</v>
      </c>
      <c r="E673" t="s">
        <v>69</v>
      </c>
      <c r="F673">
        <v>62</v>
      </c>
      <c r="G673" t="s">
        <v>44</v>
      </c>
      <c r="H673" t="s">
        <v>70</v>
      </c>
      <c r="I673">
        <v>0</v>
      </c>
      <c r="J673">
        <v>0</v>
      </c>
      <c r="K673" t="s">
        <v>47</v>
      </c>
      <c r="L673" t="s">
        <v>46</v>
      </c>
      <c r="M673" t="s">
        <v>46</v>
      </c>
      <c r="N673" t="s">
        <v>48</v>
      </c>
      <c r="O673" t="s">
        <v>49</v>
      </c>
      <c r="P673">
        <v>23.6</v>
      </c>
      <c r="Q673" t="s">
        <v>48</v>
      </c>
      <c r="R673" t="s">
        <v>46</v>
      </c>
      <c r="S673" t="s">
        <v>47</v>
      </c>
      <c r="T673" t="s">
        <v>47</v>
      </c>
      <c r="U673" t="s">
        <v>47</v>
      </c>
      <c r="V673" t="s">
        <v>151</v>
      </c>
      <c r="W673" t="s">
        <v>47</v>
      </c>
      <c r="X673" t="s">
        <v>46</v>
      </c>
      <c r="Y673" t="s">
        <v>46</v>
      </c>
      <c r="Z673" t="s">
        <v>46</v>
      </c>
      <c r="AA673" t="s">
        <v>46</v>
      </c>
      <c r="AB673" t="s">
        <v>46</v>
      </c>
      <c r="AC673" t="s">
        <v>47</v>
      </c>
      <c r="AD673" t="s">
        <v>46</v>
      </c>
      <c r="AE673" t="s">
        <v>47</v>
      </c>
      <c r="AF673" t="s">
        <v>47</v>
      </c>
      <c r="AG673" t="s">
        <v>52</v>
      </c>
      <c r="AH673" t="s">
        <v>71</v>
      </c>
      <c r="AI673" t="s">
        <v>80</v>
      </c>
      <c r="AJ673">
        <v>5</v>
      </c>
      <c r="AK673" t="s">
        <v>47</v>
      </c>
      <c r="AL673" t="s">
        <v>66</v>
      </c>
      <c r="AM673" t="s">
        <v>103</v>
      </c>
      <c r="AN673">
        <v>28</v>
      </c>
      <c r="AO673" t="s">
        <v>47</v>
      </c>
    </row>
    <row r="674" spans="1:41">
      <c r="A674" t="s">
        <v>826</v>
      </c>
      <c r="B674">
        <v>2018</v>
      </c>
      <c r="C674" s="1">
        <v>43455</v>
      </c>
      <c r="D674" t="s">
        <v>110</v>
      </c>
      <c r="E674" t="s">
        <v>111</v>
      </c>
      <c r="F674">
        <v>51</v>
      </c>
      <c r="G674" t="s">
        <v>44</v>
      </c>
      <c r="H674" t="s">
        <v>70</v>
      </c>
      <c r="I674">
        <v>0</v>
      </c>
      <c r="J674">
        <v>0</v>
      </c>
      <c r="K674" t="s">
        <v>47</v>
      </c>
      <c r="L674" t="s">
        <v>47</v>
      </c>
      <c r="M674" t="s">
        <v>47</v>
      </c>
      <c r="N674" t="s">
        <v>62</v>
      </c>
      <c r="O674" t="s">
        <v>48</v>
      </c>
      <c r="P674">
        <v>23.7</v>
      </c>
      <c r="Q674" t="s">
        <v>50</v>
      </c>
      <c r="R674" t="s">
        <v>47</v>
      </c>
      <c r="S674" t="s">
        <v>47</v>
      </c>
      <c r="T674" t="s">
        <v>47</v>
      </c>
      <c r="U674" t="s">
        <v>47</v>
      </c>
      <c r="V674" t="s">
        <v>64</v>
      </c>
      <c r="W674" t="s">
        <v>47</v>
      </c>
      <c r="X674" t="s">
        <v>47</v>
      </c>
      <c r="Y674" t="s">
        <v>47</v>
      </c>
      <c r="Z674" t="s">
        <v>47</v>
      </c>
      <c r="AA674" t="s">
        <v>47</v>
      </c>
      <c r="AB674" t="s">
        <v>47</v>
      </c>
      <c r="AC674" t="s">
        <v>47</v>
      </c>
      <c r="AD674" t="s">
        <v>47</v>
      </c>
      <c r="AE674" t="s">
        <v>47</v>
      </c>
      <c r="AF674" t="s">
        <v>47</v>
      </c>
      <c r="AG674" t="s">
        <v>52</v>
      </c>
      <c r="AH674" t="s">
        <v>53</v>
      </c>
      <c r="AI674" t="s">
        <v>87</v>
      </c>
      <c r="AJ674">
        <v>4.3</v>
      </c>
      <c r="AK674" t="s">
        <v>47</v>
      </c>
      <c r="AL674" t="s">
        <v>76</v>
      </c>
      <c r="AM674" t="s">
        <v>82</v>
      </c>
      <c r="AN674">
        <v>40</v>
      </c>
      <c r="AO674" t="s">
        <v>47</v>
      </c>
    </row>
    <row r="675" spans="1:41">
      <c r="A675" t="s">
        <v>827</v>
      </c>
      <c r="B675">
        <v>2015</v>
      </c>
      <c r="C675" s="1">
        <v>42068</v>
      </c>
      <c r="D675" t="s">
        <v>42</v>
      </c>
      <c r="E675" t="s">
        <v>43</v>
      </c>
      <c r="F675">
        <v>67</v>
      </c>
      <c r="G675" t="s">
        <v>60</v>
      </c>
      <c r="H675" t="s">
        <v>61</v>
      </c>
      <c r="I675">
        <v>3</v>
      </c>
      <c r="J675">
        <v>15</v>
      </c>
      <c r="K675" t="s">
        <v>47</v>
      </c>
      <c r="L675" t="s">
        <v>47</v>
      </c>
      <c r="M675" t="s">
        <v>46</v>
      </c>
      <c r="N675" t="s">
        <v>48</v>
      </c>
      <c r="O675" t="s">
        <v>48</v>
      </c>
      <c r="P675">
        <v>35.200000000000003</v>
      </c>
      <c r="Q675" t="s">
        <v>62</v>
      </c>
      <c r="R675" t="s">
        <v>47</v>
      </c>
      <c r="S675" t="s">
        <v>47</v>
      </c>
      <c r="T675" t="s">
        <v>47</v>
      </c>
      <c r="U675" t="s">
        <v>47</v>
      </c>
      <c r="V675" t="s">
        <v>51</v>
      </c>
      <c r="W675" t="s">
        <v>47</v>
      </c>
      <c r="X675" t="s">
        <v>47</v>
      </c>
      <c r="Y675" t="s">
        <v>47</v>
      </c>
      <c r="Z675" t="s">
        <v>46</v>
      </c>
      <c r="AA675" t="s">
        <v>47</v>
      </c>
      <c r="AB675" t="s">
        <v>47</v>
      </c>
      <c r="AC675" t="s">
        <v>47</v>
      </c>
      <c r="AD675" t="s">
        <v>46</v>
      </c>
      <c r="AE675" t="s">
        <v>47</v>
      </c>
      <c r="AF675" t="s">
        <v>47</v>
      </c>
      <c r="AG675" t="s">
        <v>52</v>
      </c>
      <c r="AH675" t="s">
        <v>53</v>
      </c>
      <c r="AI675" t="s">
        <v>87</v>
      </c>
      <c r="AJ675">
        <v>4.5999999999999996</v>
      </c>
      <c r="AK675" t="s">
        <v>47</v>
      </c>
      <c r="AL675" t="s">
        <v>81</v>
      </c>
      <c r="AM675" t="s">
        <v>73</v>
      </c>
      <c r="AN675">
        <v>17</v>
      </c>
      <c r="AO675" t="s">
        <v>46</v>
      </c>
    </row>
    <row r="676" spans="1:41">
      <c r="A676" t="s">
        <v>828</v>
      </c>
      <c r="B676">
        <v>2022</v>
      </c>
      <c r="C676" s="1">
        <v>44708</v>
      </c>
      <c r="D676" t="s">
        <v>42</v>
      </c>
      <c r="E676" t="s">
        <v>210</v>
      </c>
      <c r="F676">
        <v>56</v>
      </c>
      <c r="G676" t="s">
        <v>44</v>
      </c>
      <c r="H676" t="s">
        <v>70</v>
      </c>
      <c r="I676">
        <v>0</v>
      </c>
      <c r="J676">
        <v>0</v>
      </c>
      <c r="K676" t="s">
        <v>46</v>
      </c>
      <c r="L676" t="s">
        <v>46</v>
      </c>
      <c r="M676" t="s">
        <v>47</v>
      </c>
      <c r="N676" t="s">
        <v>48</v>
      </c>
      <c r="O676" t="s">
        <v>48</v>
      </c>
      <c r="P676">
        <v>24.6</v>
      </c>
      <c r="Q676" t="s">
        <v>50</v>
      </c>
      <c r="R676" t="s">
        <v>47</v>
      </c>
      <c r="S676" t="s">
        <v>47</v>
      </c>
      <c r="T676" t="s">
        <v>47</v>
      </c>
      <c r="U676" t="s">
        <v>47</v>
      </c>
      <c r="V676" t="s">
        <v>64</v>
      </c>
      <c r="W676" t="s">
        <v>46</v>
      </c>
      <c r="X676" t="s">
        <v>47</v>
      </c>
      <c r="Y676" t="s">
        <v>47</v>
      </c>
      <c r="Z676" t="s">
        <v>47</v>
      </c>
      <c r="AA676" t="s">
        <v>46</v>
      </c>
      <c r="AB676" t="s">
        <v>47</v>
      </c>
      <c r="AC676" t="s">
        <v>47</v>
      </c>
      <c r="AD676" t="s">
        <v>46</v>
      </c>
      <c r="AE676" t="s">
        <v>47</v>
      </c>
      <c r="AF676" t="s">
        <v>47</v>
      </c>
      <c r="AG676" t="s">
        <v>52</v>
      </c>
      <c r="AH676" t="s">
        <v>53</v>
      </c>
      <c r="AI676" t="s">
        <v>87</v>
      </c>
      <c r="AJ676">
        <v>3.4</v>
      </c>
      <c r="AK676" t="s">
        <v>47</v>
      </c>
      <c r="AL676" t="s">
        <v>76</v>
      </c>
      <c r="AM676" t="s">
        <v>67</v>
      </c>
      <c r="AN676">
        <v>42</v>
      </c>
      <c r="AO676" t="s">
        <v>47</v>
      </c>
    </row>
    <row r="677" spans="1:41">
      <c r="A677" t="s">
        <v>829</v>
      </c>
      <c r="B677">
        <v>2020</v>
      </c>
      <c r="C677" s="1">
        <v>44192</v>
      </c>
      <c r="D677" t="s">
        <v>95</v>
      </c>
      <c r="E677" t="s">
        <v>105</v>
      </c>
      <c r="F677">
        <v>73</v>
      </c>
      <c r="G677" t="s">
        <v>44</v>
      </c>
      <c r="H677" t="s">
        <v>70</v>
      </c>
      <c r="I677">
        <v>0</v>
      </c>
      <c r="J677">
        <v>0</v>
      </c>
      <c r="K677" t="s">
        <v>46</v>
      </c>
      <c r="L677" t="s">
        <v>47</v>
      </c>
      <c r="M677" t="s">
        <v>47</v>
      </c>
      <c r="N677" t="s">
        <v>50</v>
      </c>
      <c r="O677" t="s">
        <v>48</v>
      </c>
      <c r="P677">
        <v>28</v>
      </c>
      <c r="Q677" t="s">
        <v>62</v>
      </c>
      <c r="R677" t="s">
        <v>46</v>
      </c>
      <c r="S677" t="s">
        <v>47</v>
      </c>
      <c r="T677" t="s">
        <v>47</v>
      </c>
      <c r="U677" t="s">
        <v>46</v>
      </c>
      <c r="V677" t="s">
        <v>86</v>
      </c>
      <c r="W677" t="s">
        <v>46</v>
      </c>
      <c r="X677" t="s">
        <v>46</v>
      </c>
      <c r="Y677" t="s">
        <v>47</v>
      </c>
      <c r="Z677" t="s">
        <v>47</v>
      </c>
      <c r="AA677" t="s">
        <v>47</v>
      </c>
      <c r="AB677" t="s">
        <v>47</v>
      </c>
      <c r="AC677" t="s">
        <v>47</v>
      </c>
      <c r="AD677" t="s">
        <v>47</v>
      </c>
      <c r="AE677" t="s">
        <v>47</v>
      </c>
      <c r="AF677" t="s">
        <v>47</v>
      </c>
      <c r="AG677" t="s">
        <v>52</v>
      </c>
      <c r="AH677" t="s">
        <v>90</v>
      </c>
      <c r="AI677" t="s">
        <v>87</v>
      </c>
      <c r="AJ677">
        <v>5</v>
      </c>
      <c r="AK677" t="s">
        <v>47</v>
      </c>
      <c r="AL677" t="s">
        <v>76</v>
      </c>
      <c r="AM677" t="s">
        <v>73</v>
      </c>
      <c r="AN677">
        <v>17</v>
      </c>
      <c r="AO677" t="s">
        <v>47</v>
      </c>
    </row>
    <row r="678" spans="1:41">
      <c r="A678" t="s">
        <v>830</v>
      </c>
      <c r="B678">
        <v>2023</v>
      </c>
      <c r="C678" s="1">
        <v>45276</v>
      </c>
      <c r="D678" t="s">
        <v>95</v>
      </c>
      <c r="E678" t="s">
        <v>96</v>
      </c>
      <c r="F678">
        <v>63</v>
      </c>
      <c r="G678" t="s">
        <v>44</v>
      </c>
      <c r="H678" t="s">
        <v>70</v>
      </c>
      <c r="I678">
        <v>0</v>
      </c>
      <c r="J678">
        <v>0</v>
      </c>
      <c r="K678" t="s">
        <v>47</v>
      </c>
      <c r="L678" t="s">
        <v>46</v>
      </c>
      <c r="M678" t="s">
        <v>46</v>
      </c>
      <c r="N678" t="s">
        <v>62</v>
      </c>
      <c r="O678" t="s">
        <v>48</v>
      </c>
      <c r="P678">
        <v>20</v>
      </c>
      <c r="Q678" t="s">
        <v>50</v>
      </c>
      <c r="R678" t="s">
        <v>47</v>
      </c>
      <c r="S678" t="s">
        <v>47</v>
      </c>
      <c r="T678" t="s">
        <v>47</v>
      </c>
      <c r="U678" t="s">
        <v>47</v>
      </c>
      <c r="V678" t="s">
        <v>51</v>
      </c>
      <c r="W678" t="s">
        <v>47</v>
      </c>
      <c r="X678" t="s">
        <v>47</v>
      </c>
      <c r="Y678" t="s">
        <v>47</v>
      </c>
      <c r="Z678" t="s">
        <v>47</v>
      </c>
      <c r="AA678" t="s">
        <v>46</v>
      </c>
      <c r="AB678" t="s">
        <v>46</v>
      </c>
      <c r="AC678" t="s">
        <v>47</v>
      </c>
      <c r="AD678" t="s">
        <v>47</v>
      </c>
      <c r="AE678" t="s">
        <v>46</v>
      </c>
      <c r="AF678" t="s">
        <v>47</v>
      </c>
      <c r="AG678" t="s">
        <v>52</v>
      </c>
      <c r="AH678" t="s">
        <v>53</v>
      </c>
      <c r="AI678" t="s">
        <v>80</v>
      </c>
      <c r="AJ678">
        <v>5.0999999999999996</v>
      </c>
      <c r="AK678" t="s">
        <v>47</v>
      </c>
      <c r="AL678" t="s">
        <v>76</v>
      </c>
      <c r="AM678" t="s">
        <v>82</v>
      </c>
      <c r="AN678">
        <v>11</v>
      </c>
      <c r="AO678" t="s">
        <v>47</v>
      </c>
    </row>
    <row r="679" spans="1:41">
      <c r="A679" t="s">
        <v>831</v>
      </c>
      <c r="B679">
        <v>2023</v>
      </c>
      <c r="C679" s="1">
        <v>45200</v>
      </c>
      <c r="D679" t="s">
        <v>84</v>
      </c>
      <c r="E679" t="s">
        <v>85</v>
      </c>
      <c r="F679">
        <v>85</v>
      </c>
      <c r="G679" t="s">
        <v>60</v>
      </c>
      <c r="H679" t="s">
        <v>70</v>
      </c>
      <c r="I679">
        <v>0</v>
      </c>
      <c r="J679">
        <v>0</v>
      </c>
      <c r="K679" t="s">
        <v>47</v>
      </c>
      <c r="L679" t="s">
        <v>47</v>
      </c>
      <c r="M679" t="s">
        <v>46</v>
      </c>
      <c r="N679" t="s">
        <v>48</v>
      </c>
      <c r="O679" t="s">
        <v>49</v>
      </c>
      <c r="P679">
        <v>27.8</v>
      </c>
      <c r="Q679" t="s">
        <v>62</v>
      </c>
      <c r="R679" t="s">
        <v>47</v>
      </c>
      <c r="S679" t="s">
        <v>47</v>
      </c>
      <c r="T679" t="s">
        <v>47</v>
      </c>
      <c r="U679" t="s">
        <v>47</v>
      </c>
      <c r="V679" t="s">
        <v>51</v>
      </c>
      <c r="W679" t="s">
        <v>47</v>
      </c>
      <c r="X679" t="s">
        <v>46</v>
      </c>
      <c r="Y679" t="s">
        <v>47</v>
      </c>
      <c r="Z679" t="s">
        <v>47</v>
      </c>
      <c r="AA679" t="s">
        <v>46</v>
      </c>
      <c r="AB679" t="s">
        <v>47</v>
      </c>
      <c r="AC679" t="s">
        <v>47</v>
      </c>
      <c r="AD679" t="s">
        <v>47</v>
      </c>
      <c r="AE679" t="s">
        <v>46</v>
      </c>
      <c r="AF679" t="s">
        <v>47</v>
      </c>
      <c r="AG679" t="s">
        <v>52</v>
      </c>
      <c r="AH679" t="s">
        <v>53</v>
      </c>
      <c r="AI679" t="s">
        <v>87</v>
      </c>
      <c r="AJ679">
        <v>3.1</v>
      </c>
      <c r="AK679" t="s">
        <v>47</v>
      </c>
      <c r="AL679" t="s">
        <v>100</v>
      </c>
      <c r="AM679" t="s">
        <v>73</v>
      </c>
      <c r="AN679">
        <v>55</v>
      </c>
      <c r="AO679" t="s">
        <v>47</v>
      </c>
    </row>
    <row r="680" spans="1:41">
      <c r="A680" t="s">
        <v>832</v>
      </c>
      <c r="B680">
        <v>2018</v>
      </c>
      <c r="C680" s="1">
        <v>43109</v>
      </c>
      <c r="D680" t="s">
        <v>110</v>
      </c>
      <c r="E680" t="s">
        <v>236</v>
      </c>
      <c r="F680">
        <v>59</v>
      </c>
      <c r="G680" t="s">
        <v>60</v>
      </c>
      <c r="H680" t="s">
        <v>45</v>
      </c>
      <c r="I680">
        <v>19</v>
      </c>
      <c r="J680">
        <v>29</v>
      </c>
      <c r="K680" t="s">
        <v>47</v>
      </c>
      <c r="L680" t="s">
        <v>47</v>
      </c>
      <c r="M680" t="s">
        <v>46</v>
      </c>
      <c r="N680" t="s">
        <v>48</v>
      </c>
      <c r="O680" t="s">
        <v>49</v>
      </c>
      <c r="P680">
        <v>23.4</v>
      </c>
      <c r="Q680" t="s">
        <v>48</v>
      </c>
      <c r="R680" t="s">
        <v>47</v>
      </c>
      <c r="S680" t="s">
        <v>47</v>
      </c>
      <c r="T680" t="s">
        <v>47</v>
      </c>
      <c r="U680" t="s">
        <v>47</v>
      </c>
      <c r="V680" t="s">
        <v>51</v>
      </c>
      <c r="W680" t="s">
        <v>46</v>
      </c>
      <c r="X680" t="s">
        <v>46</v>
      </c>
      <c r="Y680" t="s">
        <v>47</v>
      </c>
      <c r="Z680" t="s">
        <v>46</v>
      </c>
      <c r="AA680" t="s">
        <v>46</v>
      </c>
      <c r="AB680" t="s">
        <v>46</v>
      </c>
      <c r="AC680" t="s">
        <v>47</v>
      </c>
      <c r="AD680" t="s">
        <v>47</v>
      </c>
      <c r="AE680" t="s">
        <v>47</v>
      </c>
      <c r="AF680" t="s">
        <v>47</v>
      </c>
      <c r="AG680" t="s">
        <v>121</v>
      </c>
      <c r="AH680" t="s">
        <v>122</v>
      </c>
      <c r="AI680" t="s">
        <v>54</v>
      </c>
      <c r="AJ680">
        <v>8.6999999999999993</v>
      </c>
      <c r="AK680" t="s">
        <v>46</v>
      </c>
      <c r="AL680" t="s">
        <v>66</v>
      </c>
      <c r="AM680" t="s">
        <v>56</v>
      </c>
      <c r="AN680">
        <v>3</v>
      </c>
      <c r="AO680" t="s">
        <v>47</v>
      </c>
    </row>
    <row r="681" spans="1:41">
      <c r="A681" t="s">
        <v>833</v>
      </c>
      <c r="B681">
        <v>2021</v>
      </c>
      <c r="C681" s="1">
        <v>44273</v>
      </c>
      <c r="D681" t="s">
        <v>98</v>
      </c>
      <c r="E681" t="s">
        <v>484</v>
      </c>
      <c r="F681">
        <v>53</v>
      </c>
      <c r="G681" t="s">
        <v>60</v>
      </c>
      <c r="H681" t="s">
        <v>45</v>
      </c>
      <c r="I681">
        <v>24</v>
      </c>
      <c r="J681">
        <v>35</v>
      </c>
      <c r="K681" t="s">
        <v>47</v>
      </c>
      <c r="L681" t="s">
        <v>47</v>
      </c>
      <c r="M681" t="s">
        <v>47</v>
      </c>
      <c r="N681" t="s">
        <v>48</v>
      </c>
      <c r="O681" t="s">
        <v>49</v>
      </c>
      <c r="P681">
        <v>25.4</v>
      </c>
      <c r="Q681" t="s">
        <v>50</v>
      </c>
      <c r="R681" t="s">
        <v>47</v>
      </c>
      <c r="S681" t="s">
        <v>47</v>
      </c>
      <c r="T681" t="s">
        <v>47</v>
      </c>
      <c r="U681" t="s">
        <v>47</v>
      </c>
      <c r="V681" t="s">
        <v>64</v>
      </c>
      <c r="W681" t="s">
        <v>46</v>
      </c>
      <c r="X681" t="s">
        <v>46</v>
      </c>
      <c r="Y681" t="s">
        <v>46</v>
      </c>
      <c r="Z681" t="s">
        <v>47</v>
      </c>
      <c r="AA681" t="s">
        <v>47</v>
      </c>
      <c r="AB681" t="s">
        <v>47</v>
      </c>
      <c r="AC681" t="s">
        <v>47</v>
      </c>
      <c r="AD681" t="s">
        <v>46</v>
      </c>
      <c r="AE681" t="s">
        <v>46</v>
      </c>
      <c r="AF681" t="s">
        <v>46</v>
      </c>
      <c r="AG681" t="s">
        <v>52</v>
      </c>
      <c r="AH681" t="s">
        <v>53</v>
      </c>
      <c r="AI681" t="s">
        <v>54</v>
      </c>
      <c r="AJ681">
        <v>9.4</v>
      </c>
      <c r="AK681" t="s">
        <v>46</v>
      </c>
      <c r="AL681" t="s">
        <v>66</v>
      </c>
      <c r="AM681" t="s">
        <v>265</v>
      </c>
      <c r="AN681">
        <v>7</v>
      </c>
      <c r="AO681" t="s">
        <v>47</v>
      </c>
    </row>
    <row r="682" spans="1:41">
      <c r="A682" t="s">
        <v>834</v>
      </c>
      <c r="B682">
        <v>2024</v>
      </c>
      <c r="C682" s="1">
        <v>45549</v>
      </c>
      <c r="D682" t="s">
        <v>58</v>
      </c>
      <c r="E682" t="s">
        <v>169</v>
      </c>
      <c r="F682">
        <v>65</v>
      </c>
      <c r="G682" t="s">
        <v>44</v>
      </c>
      <c r="H682" t="s">
        <v>70</v>
      </c>
      <c r="I682">
        <v>0</v>
      </c>
      <c r="J682">
        <v>0</v>
      </c>
      <c r="K682" t="s">
        <v>46</v>
      </c>
      <c r="L682" t="s">
        <v>46</v>
      </c>
      <c r="M682" t="s">
        <v>46</v>
      </c>
      <c r="N682" t="s">
        <v>50</v>
      </c>
      <c r="O682" t="s">
        <v>49</v>
      </c>
      <c r="P682">
        <v>28</v>
      </c>
      <c r="Q682" t="s">
        <v>62</v>
      </c>
      <c r="R682" t="s">
        <v>47</v>
      </c>
      <c r="S682" t="s">
        <v>47</v>
      </c>
      <c r="T682" t="s">
        <v>47</v>
      </c>
      <c r="U682" t="s">
        <v>47</v>
      </c>
      <c r="V682" t="s">
        <v>64</v>
      </c>
      <c r="W682" t="s">
        <v>47</v>
      </c>
      <c r="X682" t="s">
        <v>47</v>
      </c>
      <c r="Y682" t="s">
        <v>47</v>
      </c>
      <c r="Z682" t="s">
        <v>46</v>
      </c>
      <c r="AA682" t="s">
        <v>47</v>
      </c>
      <c r="AB682" t="s">
        <v>47</v>
      </c>
      <c r="AC682" t="s">
        <v>47</v>
      </c>
      <c r="AD682" t="s">
        <v>47</v>
      </c>
      <c r="AE682" t="s">
        <v>47</v>
      </c>
      <c r="AF682" t="s">
        <v>46</v>
      </c>
      <c r="AG682" t="s">
        <v>52</v>
      </c>
      <c r="AH682" t="s">
        <v>90</v>
      </c>
      <c r="AI682" t="s">
        <v>87</v>
      </c>
      <c r="AJ682">
        <v>2.6</v>
      </c>
      <c r="AK682" t="s">
        <v>47</v>
      </c>
      <c r="AL682" t="s">
        <v>76</v>
      </c>
      <c r="AM682" t="s">
        <v>67</v>
      </c>
      <c r="AN682">
        <v>22</v>
      </c>
      <c r="AO682" t="s">
        <v>46</v>
      </c>
    </row>
    <row r="683" spans="1:41">
      <c r="A683" t="s">
        <v>835</v>
      </c>
      <c r="B683">
        <v>2018</v>
      </c>
      <c r="C683" s="1">
        <v>43228</v>
      </c>
      <c r="D683" t="s">
        <v>98</v>
      </c>
      <c r="E683" t="s">
        <v>196</v>
      </c>
      <c r="F683">
        <v>62</v>
      </c>
      <c r="G683" t="s">
        <v>60</v>
      </c>
      <c r="H683" t="s">
        <v>70</v>
      </c>
      <c r="I683">
        <v>0</v>
      </c>
      <c r="J683">
        <v>0</v>
      </c>
      <c r="K683" t="s">
        <v>46</v>
      </c>
      <c r="L683" t="s">
        <v>47</v>
      </c>
      <c r="M683" t="s">
        <v>46</v>
      </c>
      <c r="N683" t="s">
        <v>62</v>
      </c>
      <c r="O683" t="s">
        <v>48</v>
      </c>
      <c r="P683">
        <v>31.2</v>
      </c>
      <c r="Q683" t="s">
        <v>48</v>
      </c>
      <c r="R683" t="s">
        <v>47</v>
      </c>
      <c r="S683" t="s">
        <v>47</v>
      </c>
      <c r="T683" t="s">
        <v>46</v>
      </c>
      <c r="U683" t="s">
        <v>47</v>
      </c>
      <c r="V683" t="s">
        <v>151</v>
      </c>
      <c r="W683" t="s">
        <v>47</v>
      </c>
      <c r="X683" t="s">
        <v>47</v>
      </c>
      <c r="Y683" t="s">
        <v>47</v>
      </c>
      <c r="Z683" t="s">
        <v>47</v>
      </c>
      <c r="AA683" t="s">
        <v>46</v>
      </c>
      <c r="AB683" t="s">
        <v>47</v>
      </c>
      <c r="AC683" t="s">
        <v>47</v>
      </c>
      <c r="AD683" t="s">
        <v>46</v>
      </c>
      <c r="AE683" t="s">
        <v>47</v>
      </c>
      <c r="AF683" t="s">
        <v>47</v>
      </c>
      <c r="AG683" t="s">
        <v>52</v>
      </c>
      <c r="AH683" t="s">
        <v>90</v>
      </c>
      <c r="AI683" t="s">
        <v>65</v>
      </c>
      <c r="AJ683">
        <v>1.5</v>
      </c>
      <c r="AK683" t="s">
        <v>47</v>
      </c>
      <c r="AL683" t="s">
        <v>76</v>
      </c>
      <c r="AM683" t="s">
        <v>73</v>
      </c>
      <c r="AN683">
        <v>49</v>
      </c>
      <c r="AO683" t="s">
        <v>47</v>
      </c>
    </row>
    <row r="684" spans="1:41">
      <c r="A684" t="s">
        <v>836</v>
      </c>
      <c r="B684">
        <v>2017</v>
      </c>
      <c r="C684" s="1">
        <v>42768</v>
      </c>
      <c r="D684" t="s">
        <v>110</v>
      </c>
      <c r="E684" t="s">
        <v>236</v>
      </c>
      <c r="F684">
        <v>65</v>
      </c>
      <c r="G684" t="s">
        <v>60</v>
      </c>
      <c r="H684" t="s">
        <v>70</v>
      </c>
      <c r="I684">
        <v>0</v>
      </c>
      <c r="J684">
        <v>0</v>
      </c>
      <c r="K684" t="s">
        <v>47</v>
      </c>
      <c r="L684" t="s">
        <v>47</v>
      </c>
      <c r="M684" t="s">
        <v>47</v>
      </c>
      <c r="N684" t="s">
        <v>48</v>
      </c>
      <c r="O684" t="s">
        <v>49</v>
      </c>
      <c r="P684">
        <v>25.2</v>
      </c>
      <c r="Q684" t="s">
        <v>48</v>
      </c>
      <c r="R684" t="s">
        <v>47</v>
      </c>
      <c r="S684" t="s">
        <v>47</v>
      </c>
      <c r="T684" t="s">
        <v>47</v>
      </c>
      <c r="U684" t="s">
        <v>47</v>
      </c>
      <c r="V684" t="s">
        <v>51</v>
      </c>
      <c r="W684" t="s">
        <v>46</v>
      </c>
      <c r="X684" t="s">
        <v>47</v>
      </c>
      <c r="Y684" t="s">
        <v>47</v>
      </c>
      <c r="Z684" t="s">
        <v>47</v>
      </c>
      <c r="AA684" t="s">
        <v>46</v>
      </c>
      <c r="AB684" t="s">
        <v>47</v>
      </c>
      <c r="AC684" t="s">
        <v>47</v>
      </c>
      <c r="AD684" t="s">
        <v>46</v>
      </c>
      <c r="AE684" t="s">
        <v>47</v>
      </c>
      <c r="AF684" t="s">
        <v>47</v>
      </c>
      <c r="AG684" t="s">
        <v>121</v>
      </c>
      <c r="AH684" t="s">
        <v>122</v>
      </c>
      <c r="AI684" t="s">
        <v>65</v>
      </c>
      <c r="AJ684">
        <v>2.6</v>
      </c>
      <c r="AK684" t="s">
        <v>47</v>
      </c>
      <c r="AL684" t="s">
        <v>66</v>
      </c>
      <c r="AM684" t="s">
        <v>73</v>
      </c>
      <c r="AN684">
        <v>66</v>
      </c>
      <c r="AO684" t="s">
        <v>46</v>
      </c>
    </row>
    <row r="685" spans="1:41">
      <c r="A685" t="s">
        <v>837</v>
      </c>
      <c r="B685">
        <v>2024</v>
      </c>
      <c r="C685" s="1">
        <v>45494</v>
      </c>
      <c r="D685" t="s">
        <v>84</v>
      </c>
      <c r="E685" t="s">
        <v>449</v>
      </c>
      <c r="F685">
        <v>75</v>
      </c>
      <c r="G685" t="s">
        <v>60</v>
      </c>
      <c r="H685" t="s">
        <v>61</v>
      </c>
      <c r="I685">
        <v>13</v>
      </c>
      <c r="J685">
        <v>9</v>
      </c>
      <c r="K685" t="s">
        <v>46</v>
      </c>
      <c r="L685" t="s">
        <v>47</v>
      </c>
      <c r="M685" t="s">
        <v>46</v>
      </c>
      <c r="N685" t="s">
        <v>62</v>
      </c>
      <c r="O685" t="s">
        <v>63</v>
      </c>
      <c r="P685">
        <v>21.8</v>
      </c>
      <c r="Q685" t="s">
        <v>50</v>
      </c>
      <c r="R685" t="s">
        <v>47</v>
      </c>
      <c r="S685" t="s">
        <v>47</v>
      </c>
      <c r="T685" t="s">
        <v>47</v>
      </c>
      <c r="U685" t="s">
        <v>47</v>
      </c>
      <c r="V685" t="s">
        <v>51</v>
      </c>
      <c r="W685" t="s">
        <v>46</v>
      </c>
      <c r="X685" t="s">
        <v>46</v>
      </c>
      <c r="Y685" t="s">
        <v>47</v>
      </c>
      <c r="Z685" t="s">
        <v>46</v>
      </c>
      <c r="AA685" t="s">
        <v>47</v>
      </c>
      <c r="AB685" t="s">
        <v>46</v>
      </c>
      <c r="AC685" t="s">
        <v>47</v>
      </c>
      <c r="AD685" t="s">
        <v>47</v>
      </c>
      <c r="AE685" t="s">
        <v>47</v>
      </c>
      <c r="AF685" t="s">
        <v>47</v>
      </c>
      <c r="AG685" t="s">
        <v>52</v>
      </c>
      <c r="AH685" t="s">
        <v>53</v>
      </c>
      <c r="AI685" t="s">
        <v>80</v>
      </c>
      <c r="AJ685">
        <v>7.2</v>
      </c>
      <c r="AK685" t="s">
        <v>47</v>
      </c>
      <c r="AL685" t="s">
        <v>100</v>
      </c>
      <c r="AM685" t="s">
        <v>56</v>
      </c>
      <c r="AN685">
        <v>10</v>
      </c>
      <c r="AO685" t="s">
        <v>47</v>
      </c>
    </row>
    <row r="686" spans="1:41">
      <c r="A686" t="s">
        <v>838</v>
      </c>
      <c r="B686">
        <v>2024</v>
      </c>
      <c r="C686" s="1">
        <v>45507</v>
      </c>
      <c r="D686" t="s">
        <v>95</v>
      </c>
      <c r="E686" t="s">
        <v>120</v>
      </c>
      <c r="F686">
        <v>63</v>
      </c>
      <c r="G686" t="s">
        <v>60</v>
      </c>
      <c r="H686" t="s">
        <v>61</v>
      </c>
      <c r="I686">
        <v>30</v>
      </c>
      <c r="J686">
        <v>21</v>
      </c>
      <c r="K686" t="s">
        <v>47</v>
      </c>
      <c r="L686" t="s">
        <v>47</v>
      </c>
      <c r="M686" t="s">
        <v>47</v>
      </c>
      <c r="N686" t="s">
        <v>50</v>
      </c>
      <c r="O686" t="s">
        <v>63</v>
      </c>
      <c r="P686">
        <v>27.4</v>
      </c>
      <c r="Q686" t="s">
        <v>50</v>
      </c>
      <c r="R686" t="s">
        <v>47</v>
      </c>
      <c r="S686" t="s">
        <v>47</v>
      </c>
      <c r="T686" t="s">
        <v>47</v>
      </c>
      <c r="U686" t="s">
        <v>47</v>
      </c>
      <c r="V686" t="s">
        <v>64</v>
      </c>
      <c r="W686" t="s">
        <v>46</v>
      </c>
      <c r="X686" t="s">
        <v>47</v>
      </c>
      <c r="Y686" t="s">
        <v>46</v>
      </c>
      <c r="Z686" t="s">
        <v>47</v>
      </c>
      <c r="AA686" t="s">
        <v>46</v>
      </c>
      <c r="AB686" t="s">
        <v>46</v>
      </c>
      <c r="AC686" t="s">
        <v>47</v>
      </c>
      <c r="AD686" t="s">
        <v>47</v>
      </c>
      <c r="AE686" t="s">
        <v>47</v>
      </c>
      <c r="AF686" t="s">
        <v>47</v>
      </c>
      <c r="AG686" t="s">
        <v>52</v>
      </c>
      <c r="AH686" t="s">
        <v>90</v>
      </c>
      <c r="AI686" t="s">
        <v>65</v>
      </c>
      <c r="AJ686">
        <v>3.3</v>
      </c>
      <c r="AK686" t="s">
        <v>47</v>
      </c>
      <c r="AL686" t="s">
        <v>76</v>
      </c>
      <c r="AM686" t="s">
        <v>73</v>
      </c>
      <c r="AN686">
        <v>54</v>
      </c>
      <c r="AO686" t="s">
        <v>47</v>
      </c>
    </row>
    <row r="687" spans="1:41">
      <c r="A687" t="s">
        <v>839</v>
      </c>
      <c r="B687">
        <v>2024</v>
      </c>
      <c r="C687" s="1">
        <v>45524</v>
      </c>
      <c r="D687" t="s">
        <v>95</v>
      </c>
      <c r="E687" t="s">
        <v>147</v>
      </c>
      <c r="F687">
        <v>58</v>
      </c>
      <c r="G687" t="s">
        <v>44</v>
      </c>
      <c r="H687" t="s">
        <v>70</v>
      </c>
      <c r="I687">
        <v>0</v>
      </c>
      <c r="J687">
        <v>0</v>
      </c>
      <c r="K687" t="s">
        <v>47</v>
      </c>
      <c r="L687" t="s">
        <v>46</v>
      </c>
      <c r="M687" t="s">
        <v>47</v>
      </c>
      <c r="N687" t="s">
        <v>50</v>
      </c>
      <c r="O687" t="s">
        <v>49</v>
      </c>
      <c r="P687">
        <v>23.2</v>
      </c>
      <c r="Q687" t="s">
        <v>48</v>
      </c>
      <c r="R687" t="s">
        <v>47</v>
      </c>
      <c r="S687" t="s">
        <v>47</v>
      </c>
      <c r="T687" t="s">
        <v>47</v>
      </c>
      <c r="U687" t="s">
        <v>47</v>
      </c>
      <c r="V687" t="s">
        <v>151</v>
      </c>
      <c r="W687" t="s">
        <v>47</v>
      </c>
      <c r="X687" t="s">
        <v>47</v>
      </c>
      <c r="Y687" t="s">
        <v>47</v>
      </c>
      <c r="Z687" t="s">
        <v>47</v>
      </c>
      <c r="AA687" t="s">
        <v>46</v>
      </c>
      <c r="AB687" t="s">
        <v>47</v>
      </c>
      <c r="AC687" t="s">
        <v>46</v>
      </c>
      <c r="AD687" t="s">
        <v>46</v>
      </c>
      <c r="AE687" t="s">
        <v>47</v>
      </c>
      <c r="AF687" t="s">
        <v>47</v>
      </c>
      <c r="AG687" t="s">
        <v>52</v>
      </c>
      <c r="AH687" t="s">
        <v>53</v>
      </c>
      <c r="AI687" t="s">
        <v>54</v>
      </c>
      <c r="AJ687">
        <v>8.1999999999999993</v>
      </c>
      <c r="AK687" t="s">
        <v>46</v>
      </c>
      <c r="AL687" t="s">
        <v>76</v>
      </c>
      <c r="AM687" t="s">
        <v>82</v>
      </c>
      <c r="AN687">
        <v>3</v>
      </c>
      <c r="AO687" t="s">
        <v>47</v>
      </c>
    </row>
    <row r="688" spans="1:41">
      <c r="A688" t="s">
        <v>840</v>
      </c>
      <c r="B688">
        <v>2019</v>
      </c>
      <c r="C688" s="1">
        <v>43486</v>
      </c>
      <c r="D688" t="s">
        <v>95</v>
      </c>
      <c r="E688" t="s">
        <v>147</v>
      </c>
      <c r="F688">
        <v>77</v>
      </c>
      <c r="G688" t="s">
        <v>60</v>
      </c>
      <c r="H688" t="s">
        <v>70</v>
      </c>
      <c r="I688">
        <v>0</v>
      </c>
      <c r="J688">
        <v>0</v>
      </c>
      <c r="K688" t="s">
        <v>46</v>
      </c>
      <c r="L688" t="s">
        <v>47</v>
      </c>
      <c r="M688" t="s">
        <v>47</v>
      </c>
      <c r="N688" t="s">
        <v>50</v>
      </c>
      <c r="O688" t="s">
        <v>49</v>
      </c>
      <c r="P688">
        <v>29.4</v>
      </c>
      <c r="Q688" t="s">
        <v>50</v>
      </c>
      <c r="R688" t="s">
        <v>47</v>
      </c>
      <c r="S688" t="s">
        <v>47</v>
      </c>
      <c r="T688" t="s">
        <v>47</v>
      </c>
      <c r="U688" t="s">
        <v>47</v>
      </c>
      <c r="V688" t="s">
        <v>51</v>
      </c>
      <c r="W688" t="s">
        <v>46</v>
      </c>
      <c r="X688" t="s">
        <v>47</v>
      </c>
      <c r="Y688" t="s">
        <v>47</v>
      </c>
      <c r="Z688" t="s">
        <v>47</v>
      </c>
      <c r="AA688" t="s">
        <v>46</v>
      </c>
      <c r="AB688" t="s">
        <v>46</v>
      </c>
      <c r="AC688" t="s">
        <v>47</v>
      </c>
      <c r="AD688" t="s">
        <v>47</v>
      </c>
      <c r="AE688" t="s">
        <v>47</v>
      </c>
      <c r="AF688" t="s">
        <v>46</v>
      </c>
      <c r="AG688" t="s">
        <v>52</v>
      </c>
      <c r="AH688" t="s">
        <v>53</v>
      </c>
      <c r="AI688" t="s">
        <v>54</v>
      </c>
      <c r="AJ688">
        <v>4.5999999999999996</v>
      </c>
      <c r="AK688" t="s">
        <v>46</v>
      </c>
      <c r="AL688" t="s">
        <v>81</v>
      </c>
      <c r="AM688" t="s">
        <v>82</v>
      </c>
      <c r="AN688">
        <v>10</v>
      </c>
      <c r="AO688" t="s">
        <v>47</v>
      </c>
    </row>
    <row r="689" spans="1:41">
      <c r="A689" t="s">
        <v>841</v>
      </c>
      <c r="B689">
        <v>2017</v>
      </c>
      <c r="C689" s="1">
        <v>43016</v>
      </c>
      <c r="D689" t="s">
        <v>84</v>
      </c>
      <c r="E689" t="s">
        <v>182</v>
      </c>
      <c r="F689">
        <v>60</v>
      </c>
      <c r="G689" t="s">
        <v>44</v>
      </c>
      <c r="H689" t="s">
        <v>70</v>
      </c>
      <c r="I689">
        <v>0</v>
      </c>
      <c r="J689">
        <v>0</v>
      </c>
      <c r="K689" t="s">
        <v>47</v>
      </c>
      <c r="L689" t="s">
        <v>47</v>
      </c>
      <c r="M689" t="s">
        <v>47</v>
      </c>
      <c r="N689" t="s">
        <v>62</v>
      </c>
      <c r="O689" t="s">
        <v>49</v>
      </c>
      <c r="P689">
        <v>30.1</v>
      </c>
      <c r="Q689" t="s">
        <v>50</v>
      </c>
      <c r="R689" t="s">
        <v>47</v>
      </c>
      <c r="S689" t="s">
        <v>47</v>
      </c>
      <c r="T689" t="s">
        <v>47</v>
      </c>
      <c r="U689" t="s">
        <v>47</v>
      </c>
      <c r="V689" t="s">
        <v>151</v>
      </c>
      <c r="W689" t="s">
        <v>47</v>
      </c>
      <c r="X689" t="s">
        <v>46</v>
      </c>
      <c r="Y689" t="s">
        <v>47</v>
      </c>
      <c r="Z689" t="s">
        <v>46</v>
      </c>
      <c r="AA689" t="s">
        <v>46</v>
      </c>
      <c r="AB689" t="s">
        <v>47</v>
      </c>
      <c r="AC689" t="s">
        <v>47</v>
      </c>
      <c r="AD689" t="s">
        <v>46</v>
      </c>
      <c r="AE689" t="s">
        <v>47</v>
      </c>
      <c r="AF689" t="s">
        <v>47</v>
      </c>
      <c r="AG689" t="s">
        <v>52</v>
      </c>
      <c r="AH689" t="s">
        <v>53</v>
      </c>
      <c r="AI689" t="s">
        <v>87</v>
      </c>
      <c r="AJ689">
        <v>4.4000000000000004</v>
      </c>
      <c r="AK689" t="s">
        <v>47</v>
      </c>
      <c r="AL689" t="s">
        <v>55</v>
      </c>
      <c r="AM689" t="s">
        <v>103</v>
      </c>
      <c r="AN689">
        <v>43</v>
      </c>
      <c r="AO689" t="s">
        <v>47</v>
      </c>
    </row>
    <row r="690" spans="1:41">
      <c r="A690" t="s">
        <v>842</v>
      </c>
      <c r="B690">
        <v>2015</v>
      </c>
      <c r="C690" s="1">
        <v>42138</v>
      </c>
      <c r="D690" t="s">
        <v>95</v>
      </c>
      <c r="E690" t="s">
        <v>114</v>
      </c>
      <c r="F690">
        <v>45</v>
      </c>
      <c r="G690" t="s">
        <v>44</v>
      </c>
      <c r="H690" t="s">
        <v>70</v>
      </c>
      <c r="I690">
        <v>0</v>
      </c>
      <c r="J690">
        <v>0</v>
      </c>
      <c r="K690" t="s">
        <v>46</v>
      </c>
      <c r="L690" t="s">
        <v>47</v>
      </c>
      <c r="M690" t="s">
        <v>47</v>
      </c>
      <c r="N690" t="s">
        <v>48</v>
      </c>
      <c r="O690" t="s">
        <v>63</v>
      </c>
      <c r="P690">
        <v>27.8</v>
      </c>
      <c r="Q690" t="s">
        <v>48</v>
      </c>
      <c r="R690" t="s">
        <v>47</v>
      </c>
      <c r="S690" t="s">
        <v>47</v>
      </c>
      <c r="T690" t="s">
        <v>47</v>
      </c>
      <c r="U690" t="s">
        <v>47</v>
      </c>
      <c r="V690" t="s">
        <v>86</v>
      </c>
      <c r="W690" t="s">
        <v>47</v>
      </c>
      <c r="X690" t="s">
        <v>46</v>
      </c>
      <c r="Y690" t="s">
        <v>47</v>
      </c>
      <c r="Z690" t="s">
        <v>47</v>
      </c>
      <c r="AA690" t="s">
        <v>47</v>
      </c>
      <c r="AB690" t="s">
        <v>47</v>
      </c>
      <c r="AC690" t="s">
        <v>47</v>
      </c>
      <c r="AD690" t="s">
        <v>46</v>
      </c>
      <c r="AE690" t="s">
        <v>47</v>
      </c>
      <c r="AF690" t="s">
        <v>47</v>
      </c>
      <c r="AG690" t="s">
        <v>121</v>
      </c>
      <c r="AH690" t="s">
        <v>122</v>
      </c>
      <c r="AI690" t="s">
        <v>87</v>
      </c>
      <c r="AJ690">
        <v>5.7</v>
      </c>
      <c r="AK690" t="s">
        <v>47</v>
      </c>
      <c r="AL690" t="s">
        <v>72</v>
      </c>
      <c r="AM690" t="s">
        <v>103</v>
      </c>
      <c r="AN690">
        <v>31</v>
      </c>
      <c r="AO690" t="s">
        <v>46</v>
      </c>
    </row>
    <row r="691" spans="1:41">
      <c r="A691" t="s">
        <v>843</v>
      </c>
      <c r="B691">
        <v>2025</v>
      </c>
      <c r="C691" s="1">
        <v>45942</v>
      </c>
      <c r="D691" t="s">
        <v>42</v>
      </c>
      <c r="E691" t="s">
        <v>160</v>
      </c>
      <c r="F691">
        <v>47</v>
      </c>
      <c r="G691" t="s">
        <v>44</v>
      </c>
      <c r="H691" t="s">
        <v>70</v>
      </c>
      <c r="I691">
        <v>0</v>
      </c>
      <c r="J691">
        <v>0</v>
      </c>
      <c r="K691" t="s">
        <v>46</v>
      </c>
      <c r="L691" t="s">
        <v>47</v>
      </c>
      <c r="M691" t="s">
        <v>47</v>
      </c>
      <c r="N691" t="s">
        <v>48</v>
      </c>
      <c r="O691" t="s">
        <v>63</v>
      </c>
      <c r="P691">
        <v>23.2</v>
      </c>
      <c r="Q691" t="s">
        <v>50</v>
      </c>
      <c r="R691" t="s">
        <v>47</v>
      </c>
      <c r="S691" t="s">
        <v>47</v>
      </c>
      <c r="T691" t="s">
        <v>47</v>
      </c>
      <c r="U691" t="s">
        <v>47</v>
      </c>
      <c r="V691" t="s">
        <v>51</v>
      </c>
      <c r="W691" t="s">
        <v>46</v>
      </c>
      <c r="X691" t="s">
        <v>46</v>
      </c>
      <c r="Y691" t="s">
        <v>47</v>
      </c>
      <c r="Z691" t="s">
        <v>47</v>
      </c>
      <c r="AA691" t="s">
        <v>46</v>
      </c>
      <c r="AB691" t="s">
        <v>47</v>
      </c>
      <c r="AC691" t="s">
        <v>46</v>
      </c>
      <c r="AD691" t="s">
        <v>47</v>
      </c>
      <c r="AE691" t="s">
        <v>46</v>
      </c>
      <c r="AF691" t="s">
        <v>46</v>
      </c>
      <c r="AG691" t="s">
        <v>52</v>
      </c>
      <c r="AH691" t="s">
        <v>71</v>
      </c>
      <c r="AI691" t="s">
        <v>65</v>
      </c>
      <c r="AJ691">
        <v>0.7</v>
      </c>
      <c r="AK691" t="s">
        <v>47</v>
      </c>
      <c r="AL691" t="s">
        <v>76</v>
      </c>
      <c r="AM691" t="s">
        <v>103</v>
      </c>
      <c r="AN691">
        <v>61</v>
      </c>
      <c r="AO691" t="s">
        <v>47</v>
      </c>
    </row>
    <row r="692" spans="1:41">
      <c r="A692" t="s">
        <v>844</v>
      </c>
      <c r="B692">
        <v>2017</v>
      </c>
      <c r="C692" s="1">
        <v>43022</v>
      </c>
      <c r="D692" t="s">
        <v>84</v>
      </c>
      <c r="E692" t="s">
        <v>182</v>
      </c>
      <c r="F692">
        <v>59</v>
      </c>
      <c r="G692" t="s">
        <v>60</v>
      </c>
      <c r="H692" t="s">
        <v>70</v>
      </c>
      <c r="I692">
        <v>0</v>
      </c>
      <c r="J692">
        <v>0</v>
      </c>
      <c r="K692" t="s">
        <v>47</v>
      </c>
      <c r="L692" t="s">
        <v>47</v>
      </c>
      <c r="M692" t="s">
        <v>47</v>
      </c>
      <c r="N692" t="s">
        <v>62</v>
      </c>
      <c r="O692" t="s">
        <v>49</v>
      </c>
      <c r="P692">
        <v>19.899999999999999</v>
      </c>
      <c r="Q692" t="s">
        <v>48</v>
      </c>
      <c r="R692" t="s">
        <v>47</v>
      </c>
      <c r="S692" t="s">
        <v>47</v>
      </c>
      <c r="T692" t="s">
        <v>47</v>
      </c>
      <c r="U692" t="s">
        <v>47</v>
      </c>
      <c r="V692" t="s">
        <v>92</v>
      </c>
      <c r="W692" t="s">
        <v>46</v>
      </c>
      <c r="X692" t="s">
        <v>46</v>
      </c>
      <c r="Y692" t="s">
        <v>46</v>
      </c>
      <c r="Z692" t="s">
        <v>47</v>
      </c>
      <c r="AA692" t="s">
        <v>46</v>
      </c>
      <c r="AB692" t="s">
        <v>47</v>
      </c>
      <c r="AC692" t="s">
        <v>47</v>
      </c>
      <c r="AD692" t="s">
        <v>47</v>
      </c>
      <c r="AE692" t="s">
        <v>47</v>
      </c>
      <c r="AF692" t="s">
        <v>47</v>
      </c>
      <c r="AG692" t="s">
        <v>52</v>
      </c>
      <c r="AH692" t="s">
        <v>53</v>
      </c>
      <c r="AI692" t="s">
        <v>87</v>
      </c>
      <c r="AJ692">
        <v>2</v>
      </c>
      <c r="AK692" t="s">
        <v>47</v>
      </c>
      <c r="AL692" t="s">
        <v>76</v>
      </c>
      <c r="AM692" t="s">
        <v>67</v>
      </c>
      <c r="AN692">
        <v>28</v>
      </c>
      <c r="AO692" t="s">
        <v>47</v>
      </c>
    </row>
    <row r="693" spans="1:41">
      <c r="A693" t="s">
        <v>845</v>
      </c>
      <c r="B693">
        <v>2025</v>
      </c>
      <c r="C693" s="1">
        <v>45983</v>
      </c>
      <c r="D693" t="s">
        <v>42</v>
      </c>
      <c r="E693" t="s">
        <v>69</v>
      </c>
      <c r="F693">
        <v>66</v>
      </c>
      <c r="G693" t="s">
        <v>44</v>
      </c>
      <c r="H693" t="s">
        <v>70</v>
      </c>
      <c r="I693">
        <v>0</v>
      </c>
      <c r="J693">
        <v>0</v>
      </c>
      <c r="K693" t="s">
        <v>47</v>
      </c>
      <c r="L693" t="s">
        <v>46</v>
      </c>
      <c r="M693" t="s">
        <v>47</v>
      </c>
      <c r="N693" t="s">
        <v>62</v>
      </c>
      <c r="O693" t="s">
        <v>49</v>
      </c>
      <c r="P693">
        <v>27.6</v>
      </c>
      <c r="Q693" t="s">
        <v>48</v>
      </c>
      <c r="R693" t="s">
        <v>46</v>
      </c>
      <c r="S693" t="s">
        <v>47</v>
      </c>
      <c r="T693" t="s">
        <v>47</v>
      </c>
      <c r="U693" t="s">
        <v>47</v>
      </c>
      <c r="V693" t="s">
        <v>86</v>
      </c>
      <c r="W693" t="s">
        <v>46</v>
      </c>
      <c r="X693" t="s">
        <v>47</v>
      </c>
      <c r="Y693" t="s">
        <v>47</v>
      </c>
      <c r="Z693" t="s">
        <v>46</v>
      </c>
      <c r="AA693" t="s">
        <v>46</v>
      </c>
      <c r="AB693" t="s">
        <v>47</v>
      </c>
      <c r="AC693" t="s">
        <v>47</v>
      </c>
      <c r="AD693" t="s">
        <v>46</v>
      </c>
      <c r="AE693" t="s">
        <v>47</v>
      </c>
      <c r="AF693" t="s">
        <v>47</v>
      </c>
      <c r="AG693" t="s">
        <v>52</v>
      </c>
      <c r="AH693" t="s">
        <v>90</v>
      </c>
      <c r="AI693" t="s">
        <v>87</v>
      </c>
      <c r="AJ693">
        <v>4.7</v>
      </c>
      <c r="AK693" t="s">
        <v>47</v>
      </c>
      <c r="AL693" t="s">
        <v>66</v>
      </c>
      <c r="AM693" t="s">
        <v>73</v>
      </c>
      <c r="AN693">
        <v>34</v>
      </c>
      <c r="AO693" t="s">
        <v>46</v>
      </c>
    </row>
    <row r="694" spans="1:41">
      <c r="A694" t="s">
        <v>846</v>
      </c>
      <c r="B694">
        <v>2024</v>
      </c>
      <c r="C694" s="1">
        <v>45547</v>
      </c>
      <c r="D694" t="s">
        <v>95</v>
      </c>
      <c r="E694" t="s">
        <v>120</v>
      </c>
      <c r="F694">
        <v>52</v>
      </c>
      <c r="G694" t="s">
        <v>60</v>
      </c>
      <c r="H694" t="s">
        <v>45</v>
      </c>
      <c r="I694">
        <v>26</v>
      </c>
      <c r="J694">
        <v>29</v>
      </c>
      <c r="K694" t="s">
        <v>47</v>
      </c>
      <c r="L694" t="s">
        <v>47</v>
      </c>
      <c r="M694" t="s">
        <v>47</v>
      </c>
      <c r="N694" t="s">
        <v>48</v>
      </c>
      <c r="O694" t="s">
        <v>48</v>
      </c>
      <c r="P694">
        <v>20.399999999999999</v>
      </c>
      <c r="Q694" t="s">
        <v>50</v>
      </c>
      <c r="R694" t="s">
        <v>46</v>
      </c>
      <c r="S694" t="s">
        <v>47</v>
      </c>
      <c r="T694" t="s">
        <v>47</v>
      </c>
      <c r="U694" t="s">
        <v>47</v>
      </c>
      <c r="V694" t="s">
        <v>64</v>
      </c>
      <c r="W694" t="s">
        <v>46</v>
      </c>
      <c r="X694" t="s">
        <v>46</v>
      </c>
      <c r="Y694" t="s">
        <v>46</v>
      </c>
      <c r="Z694" t="s">
        <v>47</v>
      </c>
      <c r="AA694" t="s">
        <v>46</v>
      </c>
      <c r="AB694" t="s">
        <v>46</v>
      </c>
      <c r="AC694" t="s">
        <v>46</v>
      </c>
      <c r="AD694" t="s">
        <v>46</v>
      </c>
      <c r="AE694" t="s">
        <v>47</v>
      </c>
      <c r="AF694" t="s">
        <v>47</v>
      </c>
      <c r="AG694" t="s">
        <v>52</v>
      </c>
      <c r="AH694" t="s">
        <v>53</v>
      </c>
      <c r="AI694" t="s">
        <v>54</v>
      </c>
      <c r="AJ694">
        <v>7</v>
      </c>
      <c r="AK694" t="s">
        <v>46</v>
      </c>
      <c r="AL694" t="s">
        <v>76</v>
      </c>
      <c r="AM694" t="s">
        <v>77</v>
      </c>
      <c r="AN694">
        <v>19</v>
      </c>
      <c r="AO694" t="s">
        <v>47</v>
      </c>
    </row>
    <row r="695" spans="1:41">
      <c r="A695" t="s">
        <v>847</v>
      </c>
      <c r="B695">
        <v>2023</v>
      </c>
      <c r="C695" s="1">
        <v>45187</v>
      </c>
      <c r="D695" t="s">
        <v>98</v>
      </c>
      <c r="E695" t="s">
        <v>175</v>
      </c>
      <c r="F695">
        <v>70</v>
      </c>
      <c r="G695" t="s">
        <v>60</v>
      </c>
      <c r="H695" t="s">
        <v>70</v>
      </c>
      <c r="I695">
        <v>0</v>
      </c>
      <c r="J695">
        <v>0</v>
      </c>
      <c r="K695" t="s">
        <v>46</v>
      </c>
      <c r="L695" t="s">
        <v>46</v>
      </c>
      <c r="M695" t="s">
        <v>47</v>
      </c>
      <c r="N695" t="s">
        <v>50</v>
      </c>
      <c r="O695" t="s">
        <v>49</v>
      </c>
      <c r="P695">
        <v>23.4</v>
      </c>
      <c r="Q695" t="s">
        <v>48</v>
      </c>
      <c r="R695" t="s">
        <v>47</v>
      </c>
      <c r="S695" t="s">
        <v>47</v>
      </c>
      <c r="T695" t="s">
        <v>47</v>
      </c>
      <c r="U695" t="s">
        <v>47</v>
      </c>
      <c r="V695" t="s">
        <v>86</v>
      </c>
      <c r="W695" t="s">
        <v>46</v>
      </c>
      <c r="X695" t="s">
        <v>47</v>
      </c>
      <c r="Y695" t="s">
        <v>46</v>
      </c>
      <c r="Z695" t="s">
        <v>47</v>
      </c>
      <c r="AA695" t="s">
        <v>46</v>
      </c>
      <c r="AB695" t="s">
        <v>47</v>
      </c>
      <c r="AC695" t="s">
        <v>47</v>
      </c>
      <c r="AD695" t="s">
        <v>47</v>
      </c>
      <c r="AE695" t="s">
        <v>47</v>
      </c>
      <c r="AF695" t="s">
        <v>47</v>
      </c>
      <c r="AG695" t="s">
        <v>52</v>
      </c>
      <c r="AH695" t="s">
        <v>90</v>
      </c>
      <c r="AI695" t="s">
        <v>65</v>
      </c>
      <c r="AJ695">
        <v>1.2</v>
      </c>
      <c r="AK695" t="s">
        <v>47</v>
      </c>
      <c r="AL695" t="s">
        <v>76</v>
      </c>
      <c r="AM695" t="s">
        <v>73</v>
      </c>
      <c r="AN695">
        <v>70</v>
      </c>
      <c r="AO695" t="s">
        <v>46</v>
      </c>
    </row>
    <row r="696" spans="1:41">
      <c r="A696" t="s">
        <v>848</v>
      </c>
      <c r="B696">
        <v>2023</v>
      </c>
      <c r="C696" s="1">
        <v>45187</v>
      </c>
      <c r="D696" t="s">
        <v>58</v>
      </c>
      <c r="E696" t="s">
        <v>150</v>
      </c>
      <c r="F696">
        <v>70</v>
      </c>
      <c r="G696" t="s">
        <v>60</v>
      </c>
      <c r="H696" t="s">
        <v>70</v>
      </c>
      <c r="I696">
        <v>0</v>
      </c>
      <c r="J696">
        <v>0</v>
      </c>
      <c r="K696" t="s">
        <v>47</v>
      </c>
      <c r="L696" t="s">
        <v>46</v>
      </c>
      <c r="M696" t="s">
        <v>47</v>
      </c>
      <c r="N696" t="s">
        <v>50</v>
      </c>
      <c r="O696" t="s">
        <v>48</v>
      </c>
      <c r="P696">
        <v>31.9</v>
      </c>
      <c r="Q696" t="s">
        <v>50</v>
      </c>
      <c r="R696" t="s">
        <v>47</v>
      </c>
      <c r="S696" t="s">
        <v>47</v>
      </c>
      <c r="T696" t="s">
        <v>47</v>
      </c>
      <c r="U696" t="s">
        <v>47</v>
      </c>
      <c r="V696" t="s">
        <v>51</v>
      </c>
      <c r="W696" t="s">
        <v>47</v>
      </c>
      <c r="X696" t="s">
        <v>46</v>
      </c>
      <c r="Y696" t="s">
        <v>47</v>
      </c>
      <c r="Z696" t="s">
        <v>47</v>
      </c>
      <c r="AA696" t="s">
        <v>46</v>
      </c>
      <c r="AB696" t="s">
        <v>47</v>
      </c>
      <c r="AC696" t="s">
        <v>47</v>
      </c>
      <c r="AD696" t="s">
        <v>46</v>
      </c>
      <c r="AE696" t="s">
        <v>47</v>
      </c>
      <c r="AF696" t="s">
        <v>47</v>
      </c>
      <c r="AG696" t="s">
        <v>52</v>
      </c>
      <c r="AH696" t="s">
        <v>53</v>
      </c>
      <c r="AI696" t="s">
        <v>87</v>
      </c>
      <c r="AJ696">
        <v>2.9</v>
      </c>
      <c r="AK696" t="s">
        <v>47</v>
      </c>
      <c r="AL696" t="s">
        <v>66</v>
      </c>
      <c r="AM696" t="s">
        <v>103</v>
      </c>
      <c r="AN696">
        <v>43</v>
      </c>
      <c r="AO696" t="s">
        <v>47</v>
      </c>
    </row>
    <row r="697" spans="1:41">
      <c r="A697" t="s">
        <v>849</v>
      </c>
      <c r="B697">
        <v>2019</v>
      </c>
      <c r="C697" s="1">
        <v>43674</v>
      </c>
      <c r="D697" t="s">
        <v>98</v>
      </c>
      <c r="E697" t="s">
        <v>202</v>
      </c>
      <c r="F697">
        <v>46</v>
      </c>
      <c r="G697" t="s">
        <v>44</v>
      </c>
      <c r="H697" t="s">
        <v>70</v>
      </c>
      <c r="I697">
        <v>0</v>
      </c>
      <c r="J697">
        <v>0</v>
      </c>
      <c r="K697" t="s">
        <v>46</v>
      </c>
      <c r="L697" t="s">
        <v>47</v>
      </c>
      <c r="M697" t="s">
        <v>47</v>
      </c>
      <c r="N697" t="s">
        <v>48</v>
      </c>
      <c r="O697" t="s">
        <v>48</v>
      </c>
      <c r="P697">
        <v>21</v>
      </c>
      <c r="Q697" t="s">
        <v>48</v>
      </c>
      <c r="R697" t="s">
        <v>47</v>
      </c>
      <c r="S697" t="s">
        <v>47</v>
      </c>
      <c r="T697" t="s">
        <v>47</v>
      </c>
      <c r="U697" t="s">
        <v>47</v>
      </c>
      <c r="V697" t="s">
        <v>51</v>
      </c>
      <c r="W697" t="s">
        <v>46</v>
      </c>
      <c r="X697" t="s">
        <v>47</v>
      </c>
      <c r="Y697" t="s">
        <v>47</v>
      </c>
      <c r="Z697" t="s">
        <v>47</v>
      </c>
      <c r="AA697" t="s">
        <v>47</v>
      </c>
      <c r="AB697" t="s">
        <v>47</v>
      </c>
      <c r="AC697" t="s">
        <v>47</v>
      </c>
      <c r="AD697" t="s">
        <v>46</v>
      </c>
      <c r="AE697" t="s">
        <v>47</v>
      </c>
      <c r="AF697" t="s">
        <v>46</v>
      </c>
      <c r="AG697" t="s">
        <v>52</v>
      </c>
      <c r="AH697" t="s">
        <v>53</v>
      </c>
      <c r="AI697" t="s">
        <v>80</v>
      </c>
      <c r="AJ697">
        <v>4.0999999999999996</v>
      </c>
      <c r="AK697" t="s">
        <v>47</v>
      </c>
      <c r="AL697" t="s">
        <v>76</v>
      </c>
      <c r="AM697" t="s">
        <v>118</v>
      </c>
      <c r="AN697">
        <v>16</v>
      </c>
      <c r="AO697" t="s">
        <v>47</v>
      </c>
    </row>
    <row r="698" spans="1:41">
      <c r="A698" t="s">
        <v>850</v>
      </c>
      <c r="B698">
        <v>2015</v>
      </c>
      <c r="C698" s="1">
        <v>42025</v>
      </c>
      <c r="D698" t="s">
        <v>95</v>
      </c>
      <c r="E698" t="s">
        <v>145</v>
      </c>
      <c r="F698">
        <v>51</v>
      </c>
      <c r="G698" t="s">
        <v>60</v>
      </c>
      <c r="H698" t="s">
        <v>45</v>
      </c>
      <c r="I698">
        <v>31</v>
      </c>
      <c r="J698">
        <v>6</v>
      </c>
      <c r="K698" t="s">
        <v>47</v>
      </c>
      <c r="L698" t="s">
        <v>47</v>
      </c>
      <c r="M698" t="s">
        <v>47</v>
      </c>
      <c r="N698" t="s">
        <v>48</v>
      </c>
      <c r="O698" t="s">
        <v>48</v>
      </c>
      <c r="P698">
        <v>31.6</v>
      </c>
      <c r="Q698" t="s">
        <v>50</v>
      </c>
      <c r="R698" t="s">
        <v>46</v>
      </c>
      <c r="S698" t="s">
        <v>47</v>
      </c>
      <c r="T698" t="s">
        <v>47</v>
      </c>
      <c r="U698" t="s">
        <v>47</v>
      </c>
      <c r="V698" t="s">
        <v>86</v>
      </c>
      <c r="W698" t="s">
        <v>46</v>
      </c>
      <c r="X698" t="s">
        <v>46</v>
      </c>
      <c r="Y698" t="s">
        <v>46</v>
      </c>
      <c r="Z698" t="s">
        <v>47</v>
      </c>
      <c r="AA698" t="s">
        <v>46</v>
      </c>
      <c r="AB698" t="s">
        <v>47</v>
      </c>
      <c r="AC698" t="s">
        <v>47</v>
      </c>
      <c r="AD698" t="s">
        <v>47</v>
      </c>
      <c r="AE698" t="s">
        <v>47</v>
      </c>
      <c r="AF698" t="s">
        <v>47</v>
      </c>
      <c r="AG698" t="s">
        <v>52</v>
      </c>
      <c r="AH698" t="s">
        <v>53</v>
      </c>
      <c r="AI698" t="s">
        <v>80</v>
      </c>
      <c r="AJ698">
        <v>3</v>
      </c>
      <c r="AK698" t="s">
        <v>47</v>
      </c>
      <c r="AL698" t="s">
        <v>100</v>
      </c>
      <c r="AM698" t="s">
        <v>67</v>
      </c>
      <c r="AN698">
        <v>24</v>
      </c>
      <c r="AO698" t="s">
        <v>47</v>
      </c>
    </row>
    <row r="699" spans="1:41">
      <c r="A699" t="s">
        <v>851</v>
      </c>
      <c r="B699">
        <v>2024</v>
      </c>
      <c r="C699" s="1">
        <v>45452</v>
      </c>
      <c r="D699" t="s">
        <v>110</v>
      </c>
      <c r="E699" t="s">
        <v>177</v>
      </c>
      <c r="F699">
        <v>63</v>
      </c>
      <c r="G699" t="s">
        <v>44</v>
      </c>
      <c r="H699" t="s">
        <v>70</v>
      </c>
      <c r="I699">
        <v>0</v>
      </c>
      <c r="J699">
        <v>0</v>
      </c>
      <c r="K699" t="s">
        <v>47</v>
      </c>
      <c r="L699" t="s">
        <v>46</v>
      </c>
      <c r="M699" t="s">
        <v>47</v>
      </c>
      <c r="N699" t="s">
        <v>62</v>
      </c>
      <c r="O699" t="s">
        <v>48</v>
      </c>
      <c r="P699">
        <v>33.6</v>
      </c>
      <c r="Q699" t="s">
        <v>62</v>
      </c>
      <c r="R699" t="s">
        <v>46</v>
      </c>
      <c r="S699" t="s">
        <v>47</v>
      </c>
      <c r="T699" t="s">
        <v>47</v>
      </c>
      <c r="U699" t="s">
        <v>46</v>
      </c>
      <c r="V699" t="s">
        <v>117</v>
      </c>
      <c r="W699" t="s">
        <v>47</v>
      </c>
      <c r="X699" t="s">
        <v>46</v>
      </c>
      <c r="Y699" t="s">
        <v>47</v>
      </c>
      <c r="Z699" t="s">
        <v>46</v>
      </c>
      <c r="AA699" t="s">
        <v>46</v>
      </c>
      <c r="AB699" t="s">
        <v>47</v>
      </c>
      <c r="AC699" t="s">
        <v>47</v>
      </c>
      <c r="AD699" t="s">
        <v>47</v>
      </c>
      <c r="AE699" t="s">
        <v>47</v>
      </c>
      <c r="AF699" t="s">
        <v>47</v>
      </c>
      <c r="AG699" t="s">
        <v>52</v>
      </c>
      <c r="AH699" t="s">
        <v>53</v>
      </c>
      <c r="AI699" t="s">
        <v>54</v>
      </c>
      <c r="AJ699">
        <v>5.0999999999999996</v>
      </c>
      <c r="AK699" t="s">
        <v>46</v>
      </c>
      <c r="AL699" t="s">
        <v>76</v>
      </c>
      <c r="AM699" t="s">
        <v>82</v>
      </c>
      <c r="AN699">
        <v>2</v>
      </c>
      <c r="AO699" t="s">
        <v>47</v>
      </c>
    </row>
    <row r="700" spans="1:41">
      <c r="A700" t="s">
        <v>852</v>
      </c>
      <c r="B700">
        <v>2020</v>
      </c>
      <c r="C700" s="1">
        <v>44008</v>
      </c>
      <c r="D700" t="s">
        <v>110</v>
      </c>
      <c r="E700" t="s">
        <v>227</v>
      </c>
      <c r="F700">
        <v>56</v>
      </c>
      <c r="G700" t="s">
        <v>60</v>
      </c>
      <c r="H700" t="s">
        <v>70</v>
      </c>
      <c r="I700">
        <v>0</v>
      </c>
      <c r="J700">
        <v>0</v>
      </c>
      <c r="K700" t="s">
        <v>46</v>
      </c>
      <c r="L700" t="s">
        <v>47</v>
      </c>
      <c r="M700" t="s">
        <v>46</v>
      </c>
      <c r="N700" t="s">
        <v>62</v>
      </c>
      <c r="O700" t="s">
        <v>63</v>
      </c>
      <c r="P700">
        <v>23.6</v>
      </c>
      <c r="Q700" t="s">
        <v>62</v>
      </c>
      <c r="R700" t="s">
        <v>47</v>
      </c>
      <c r="S700" t="s">
        <v>47</v>
      </c>
      <c r="T700" t="s">
        <v>47</v>
      </c>
      <c r="U700" t="s">
        <v>47</v>
      </c>
      <c r="V700" t="s">
        <v>51</v>
      </c>
      <c r="W700" t="s">
        <v>47</v>
      </c>
      <c r="X700" t="s">
        <v>46</v>
      </c>
      <c r="Y700" t="s">
        <v>46</v>
      </c>
      <c r="Z700" t="s">
        <v>47</v>
      </c>
      <c r="AA700" t="s">
        <v>46</v>
      </c>
      <c r="AB700" t="s">
        <v>47</v>
      </c>
      <c r="AC700" t="s">
        <v>47</v>
      </c>
      <c r="AD700" t="s">
        <v>46</v>
      </c>
      <c r="AE700" t="s">
        <v>47</v>
      </c>
      <c r="AF700" t="s">
        <v>47</v>
      </c>
      <c r="AG700" t="s">
        <v>52</v>
      </c>
      <c r="AH700" t="s">
        <v>53</v>
      </c>
      <c r="AI700" t="s">
        <v>54</v>
      </c>
      <c r="AJ700">
        <v>6.4</v>
      </c>
      <c r="AK700" t="s">
        <v>46</v>
      </c>
      <c r="AL700" t="s">
        <v>76</v>
      </c>
      <c r="AM700" t="s">
        <v>77</v>
      </c>
      <c r="AN700">
        <v>7</v>
      </c>
      <c r="AO700" t="s">
        <v>47</v>
      </c>
    </row>
    <row r="701" spans="1:41">
      <c r="A701" t="s">
        <v>853</v>
      </c>
      <c r="B701">
        <v>2020</v>
      </c>
      <c r="C701" s="1">
        <v>43990</v>
      </c>
      <c r="D701" t="s">
        <v>95</v>
      </c>
      <c r="E701" t="s">
        <v>120</v>
      </c>
      <c r="F701">
        <v>41</v>
      </c>
      <c r="G701" t="s">
        <v>44</v>
      </c>
      <c r="H701" t="s">
        <v>70</v>
      </c>
      <c r="I701">
        <v>0</v>
      </c>
      <c r="J701">
        <v>0</v>
      </c>
      <c r="K701" t="s">
        <v>47</v>
      </c>
      <c r="L701" t="s">
        <v>46</v>
      </c>
      <c r="M701" t="s">
        <v>47</v>
      </c>
      <c r="N701" t="s">
        <v>62</v>
      </c>
      <c r="O701" t="s">
        <v>49</v>
      </c>
      <c r="P701">
        <v>22.4</v>
      </c>
      <c r="Q701" t="s">
        <v>50</v>
      </c>
      <c r="R701" t="s">
        <v>47</v>
      </c>
      <c r="S701" t="s">
        <v>47</v>
      </c>
      <c r="T701" t="s">
        <v>47</v>
      </c>
      <c r="U701" t="s">
        <v>47</v>
      </c>
      <c r="V701" t="s">
        <v>51</v>
      </c>
      <c r="W701" t="s">
        <v>47</v>
      </c>
      <c r="X701" t="s">
        <v>47</v>
      </c>
      <c r="Y701" t="s">
        <v>46</v>
      </c>
      <c r="Z701" t="s">
        <v>47</v>
      </c>
      <c r="AA701" t="s">
        <v>47</v>
      </c>
      <c r="AB701" t="s">
        <v>47</v>
      </c>
      <c r="AC701" t="s">
        <v>47</v>
      </c>
      <c r="AD701" t="s">
        <v>46</v>
      </c>
      <c r="AE701" t="s">
        <v>47</v>
      </c>
      <c r="AF701" t="s">
        <v>47</v>
      </c>
      <c r="AG701" t="s">
        <v>52</v>
      </c>
      <c r="AH701" t="s">
        <v>90</v>
      </c>
      <c r="AI701" t="s">
        <v>65</v>
      </c>
      <c r="AJ701">
        <v>1.6</v>
      </c>
      <c r="AK701" t="s">
        <v>47</v>
      </c>
      <c r="AL701" t="s">
        <v>100</v>
      </c>
      <c r="AM701" t="s">
        <v>67</v>
      </c>
      <c r="AN701">
        <v>88</v>
      </c>
      <c r="AO701" t="s">
        <v>46</v>
      </c>
    </row>
    <row r="702" spans="1:41">
      <c r="A702" t="s">
        <v>854</v>
      </c>
      <c r="B702">
        <v>2019</v>
      </c>
      <c r="C702" s="1">
        <v>43762</v>
      </c>
      <c r="D702" t="s">
        <v>95</v>
      </c>
      <c r="E702" t="s">
        <v>107</v>
      </c>
      <c r="F702">
        <v>41</v>
      </c>
      <c r="G702" t="s">
        <v>44</v>
      </c>
      <c r="H702" t="s">
        <v>70</v>
      </c>
      <c r="I702">
        <v>0</v>
      </c>
      <c r="J702">
        <v>0</v>
      </c>
      <c r="K702" t="s">
        <v>46</v>
      </c>
      <c r="L702" t="s">
        <v>47</v>
      </c>
      <c r="M702" t="s">
        <v>47</v>
      </c>
      <c r="N702" t="s">
        <v>62</v>
      </c>
      <c r="O702" t="s">
        <v>48</v>
      </c>
      <c r="P702">
        <v>36.700000000000003</v>
      </c>
      <c r="Q702" t="s">
        <v>48</v>
      </c>
      <c r="R702" t="s">
        <v>47</v>
      </c>
      <c r="S702" t="s">
        <v>47</v>
      </c>
      <c r="T702" t="s">
        <v>47</v>
      </c>
      <c r="U702" t="s">
        <v>46</v>
      </c>
      <c r="V702" t="s">
        <v>51</v>
      </c>
      <c r="W702" t="s">
        <v>46</v>
      </c>
      <c r="X702" t="s">
        <v>47</v>
      </c>
      <c r="Y702" t="s">
        <v>46</v>
      </c>
      <c r="Z702" t="s">
        <v>46</v>
      </c>
      <c r="AA702" t="s">
        <v>47</v>
      </c>
      <c r="AB702" t="s">
        <v>47</v>
      </c>
      <c r="AC702" t="s">
        <v>47</v>
      </c>
      <c r="AD702" t="s">
        <v>46</v>
      </c>
      <c r="AE702" t="s">
        <v>47</v>
      </c>
      <c r="AF702" t="s">
        <v>47</v>
      </c>
      <c r="AG702" t="s">
        <v>52</v>
      </c>
      <c r="AH702" t="s">
        <v>71</v>
      </c>
      <c r="AI702" t="s">
        <v>87</v>
      </c>
      <c r="AJ702">
        <v>2.8</v>
      </c>
      <c r="AK702" t="s">
        <v>47</v>
      </c>
      <c r="AL702" t="s">
        <v>100</v>
      </c>
      <c r="AM702" t="s">
        <v>82</v>
      </c>
      <c r="AN702">
        <v>35</v>
      </c>
      <c r="AO702" t="s">
        <v>46</v>
      </c>
    </row>
    <row r="703" spans="1:41">
      <c r="A703" t="s">
        <v>855</v>
      </c>
      <c r="B703">
        <v>2018</v>
      </c>
      <c r="C703" s="1">
        <v>43161</v>
      </c>
      <c r="D703" t="s">
        <v>98</v>
      </c>
      <c r="E703" t="s">
        <v>192</v>
      </c>
      <c r="F703">
        <v>70</v>
      </c>
      <c r="G703" t="s">
        <v>44</v>
      </c>
      <c r="H703" t="s">
        <v>70</v>
      </c>
      <c r="I703">
        <v>0</v>
      </c>
      <c r="J703">
        <v>0</v>
      </c>
      <c r="K703" t="s">
        <v>47</v>
      </c>
      <c r="L703" t="s">
        <v>47</v>
      </c>
      <c r="M703" t="s">
        <v>47</v>
      </c>
      <c r="N703" t="s">
        <v>50</v>
      </c>
      <c r="O703" t="s">
        <v>49</v>
      </c>
      <c r="P703">
        <v>28.2</v>
      </c>
      <c r="Q703" t="s">
        <v>48</v>
      </c>
      <c r="R703" t="s">
        <v>47</v>
      </c>
      <c r="S703" t="s">
        <v>47</v>
      </c>
      <c r="T703" t="s">
        <v>47</v>
      </c>
      <c r="U703" t="s">
        <v>47</v>
      </c>
      <c r="V703" t="s">
        <v>86</v>
      </c>
      <c r="W703" t="s">
        <v>47</v>
      </c>
      <c r="X703" t="s">
        <v>47</v>
      </c>
      <c r="Y703" t="s">
        <v>46</v>
      </c>
      <c r="Z703" t="s">
        <v>47</v>
      </c>
      <c r="AA703" t="s">
        <v>46</v>
      </c>
      <c r="AB703" t="s">
        <v>47</v>
      </c>
      <c r="AC703" t="s">
        <v>47</v>
      </c>
      <c r="AD703" t="s">
        <v>46</v>
      </c>
      <c r="AE703" t="s">
        <v>47</v>
      </c>
      <c r="AF703" t="s">
        <v>47</v>
      </c>
      <c r="AG703" t="s">
        <v>52</v>
      </c>
      <c r="AH703" t="s">
        <v>53</v>
      </c>
      <c r="AI703" t="s">
        <v>65</v>
      </c>
      <c r="AJ703">
        <v>1.4</v>
      </c>
      <c r="AK703" t="s">
        <v>47</v>
      </c>
      <c r="AL703" t="s">
        <v>100</v>
      </c>
      <c r="AM703" t="s">
        <v>73</v>
      </c>
      <c r="AN703">
        <v>44</v>
      </c>
      <c r="AO703" t="s">
        <v>46</v>
      </c>
    </row>
    <row r="704" spans="1:41">
      <c r="A704" t="s">
        <v>856</v>
      </c>
      <c r="B704">
        <v>2019</v>
      </c>
      <c r="C704" s="1">
        <v>43719</v>
      </c>
      <c r="D704" t="s">
        <v>95</v>
      </c>
      <c r="E704" t="s">
        <v>105</v>
      </c>
      <c r="F704">
        <v>44</v>
      </c>
      <c r="G704" t="s">
        <v>44</v>
      </c>
      <c r="H704" t="s">
        <v>70</v>
      </c>
      <c r="I704">
        <v>0</v>
      </c>
      <c r="J704">
        <v>0</v>
      </c>
      <c r="K704" t="s">
        <v>47</v>
      </c>
      <c r="L704" t="s">
        <v>46</v>
      </c>
      <c r="M704" t="s">
        <v>47</v>
      </c>
      <c r="N704" t="s">
        <v>62</v>
      </c>
      <c r="O704" t="s">
        <v>48</v>
      </c>
      <c r="P704">
        <v>32.200000000000003</v>
      </c>
      <c r="Q704" t="s">
        <v>48</v>
      </c>
      <c r="R704" t="s">
        <v>47</v>
      </c>
      <c r="S704" t="s">
        <v>47</v>
      </c>
      <c r="T704" t="s">
        <v>47</v>
      </c>
      <c r="U704" t="s">
        <v>47</v>
      </c>
      <c r="V704" t="s">
        <v>193</v>
      </c>
      <c r="W704" t="s">
        <v>46</v>
      </c>
      <c r="X704" t="s">
        <v>47</v>
      </c>
      <c r="Y704" t="s">
        <v>47</v>
      </c>
      <c r="Z704" t="s">
        <v>47</v>
      </c>
      <c r="AA704" t="s">
        <v>47</v>
      </c>
      <c r="AB704" t="s">
        <v>47</v>
      </c>
      <c r="AC704" t="s">
        <v>47</v>
      </c>
      <c r="AD704" t="s">
        <v>46</v>
      </c>
      <c r="AE704" t="s">
        <v>47</v>
      </c>
      <c r="AF704" t="s">
        <v>47</v>
      </c>
      <c r="AG704" t="s">
        <v>52</v>
      </c>
      <c r="AH704" t="s">
        <v>53</v>
      </c>
      <c r="AI704" t="s">
        <v>65</v>
      </c>
      <c r="AJ704">
        <v>1.4</v>
      </c>
      <c r="AK704" t="s">
        <v>47</v>
      </c>
      <c r="AL704" t="s">
        <v>66</v>
      </c>
      <c r="AM704" t="s">
        <v>82</v>
      </c>
      <c r="AN704">
        <v>86</v>
      </c>
      <c r="AO704" t="s">
        <v>46</v>
      </c>
    </row>
    <row r="705" spans="1:41">
      <c r="A705" t="s">
        <v>857</v>
      </c>
      <c r="B705">
        <v>2024</v>
      </c>
      <c r="C705" s="1">
        <v>45611</v>
      </c>
      <c r="D705" t="s">
        <v>58</v>
      </c>
      <c r="E705" t="s">
        <v>252</v>
      </c>
      <c r="F705">
        <v>56</v>
      </c>
      <c r="G705" t="s">
        <v>60</v>
      </c>
      <c r="H705" t="s">
        <v>70</v>
      </c>
      <c r="I705">
        <v>0</v>
      </c>
      <c r="J705">
        <v>0</v>
      </c>
      <c r="K705" t="s">
        <v>46</v>
      </c>
      <c r="L705" t="s">
        <v>47</v>
      </c>
      <c r="M705" t="s">
        <v>47</v>
      </c>
      <c r="N705" t="s">
        <v>48</v>
      </c>
      <c r="O705" t="s">
        <v>49</v>
      </c>
      <c r="P705">
        <v>22</v>
      </c>
      <c r="Q705" t="s">
        <v>48</v>
      </c>
      <c r="R705" t="s">
        <v>47</v>
      </c>
      <c r="S705" t="s">
        <v>47</v>
      </c>
      <c r="T705" t="s">
        <v>47</v>
      </c>
      <c r="U705" t="s">
        <v>47</v>
      </c>
      <c r="V705" t="s">
        <v>86</v>
      </c>
      <c r="W705" t="s">
        <v>47</v>
      </c>
      <c r="X705" t="s">
        <v>47</v>
      </c>
      <c r="Y705" t="s">
        <v>46</v>
      </c>
      <c r="Z705" t="s">
        <v>46</v>
      </c>
      <c r="AA705" t="s">
        <v>46</v>
      </c>
      <c r="AB705" t="s">
        <v>47</v>
      </c>
      <c r="AC705" t="s">
        <v>47</v>
      </c>
      <c r="AD705" t="s">
        <v>46</v>
      </c>
      <c r="AE705" t="s">
        <v>47</v>
      </c>
      <c r="AF705" t="s">
        <v>46</v>
      </c>
      <c r="AG705" t="s">
        <v>52</v>
      </c>
      <c r="AH705" t="s">
        <v>71</v>
      </c>
      <c r="AI705" t="s">
        <v>80</v>
      </c>
      <c r="AJ705">
        <v>5.2</v>
      </c>
      <c r="AK705" t="s">
        <v>47</v>
      </c>
      <c r="AL705" t="s">
        <v>100</v>
      </c>
      <c r="AM705" t="s">
        <v>77</v>
      </c>
      <c r="AN705">
        <v>23</v>
      </c>
      <c r="AO705" t="s">
        <v>47</v>
      </c>
    </row>
    <row r="706" spans="1:41">
      <c r="A706" t="s">
        <v>858</v>
      </c>
      <c r="B706">
        <v>2024</v>
      </c>
      <c r="C706" s="1">
        <v>45602</v>
      </c>
      <c r="D706" t="s">
        <v>42</v>
      </c>
      <c r="E706" t="s">
        <v>166</v>
      </c>
      <c r="F706">
        <v>61</v>
      </c>
      <c r="G706" t="s">
        <v>44</v>
      </c>
      <c r="H706" t="s">
        <v>70</v>
      </c>
      <c r="I706">
        <v>0</v>
      </c>
      <c r="J706">
        <v>0</v>
      </c>
      <c r="K706" t="s">
        <v>47</v>
      </c>
      <c r="L706" t="s">
        <v>47</v>
      </c>
      <c r="M706" t="s">
        <v>47</v>
      </c>
      <c r="N706" t="s">
        <v>50</v>
      </c>
      <c r="O706" t="s">
        <v>48</v>
      </c>
      <c r="P706">
        <v>16.8</v>
      </c>
      <c r="Q706" t="s">
        <v>48</v>
      </c>
      <c r="R706" t="s">
        <v>46</v>
      </c>
      <c r="S706" t="s">
        <v>47</v>
      </c>
      <c r="T706" t="s">
        <v>47</v>
      </c>
      <c r="U706" t="s">
        <v>47</v>
      </c>
      <c r="V706" t="s">
        <v>51</v>
      </c>
      <c r="W706" t="s">
        <v>47</v>
      </c>
      <c r="X706" t="s">
        <v>46</v>
      </c>
      <c r="Y706" t="s">
        <v>47</v>
      </c>
      <c r="Z706" t="s">
        <v>47</v>
      </c>
      <c r="AA706" t="s">
        <v>46</v>
      </c>
      <c r="AB706" t="s">
        <v>47</v>
      </c>
      <c r="AC706" t="s">
        <v>47</v>
      </c>
      <c r="AD706" t="s">
        <v>47</v>
      </c>
      <c r="AE706" t="s">
        <v>47</v>
      </c>
      <c r="AF706" t="s">
        <v>47</v>
      </c>
      <c r="AG706" t="s">
        <v>52</v>
      </c>
      <c r="AH706" t="s">
        <v>53</v>
      </c>
      <c r="AI706" t="s">
        <v>80</v>
      </c>
      <c r="AJ706">
        <v>6.7</v>
      </c>
      <c r="AK706" t="s">
        <v>47</v>
      </c>
      <c r="AL706" t="s">
        <v>76</v>
      </c>
      <c r="AM706" t="s">
        <v>67</v>
      </c>
      <c r="AN706">
        <v>11</v>
      </c>
      <c r="AO706" t="s">
        <v>47</v>
      </c>
    </row>
    <row r="707" spans="1:41">
      <c r="A707" t="s">
        <v>859</v>
      </c>
      <c r="B707">
        <v>2025</v>
      </c>
      <c r="C707" s="1">
        <v>45711</v>
      </c>
      <c r="D707" t="s">
        <v>110</v>
      </c>
      <c r="E707" t="s">
        <v>225</v>
      </c>
      <c r="F707">
        <v>74</v>
      </c>
      <c r="G707" t="s">
        <v>44</v>
      </c>
      <c r="H707" t="s">
        <v>61</v>
      </c>
      <c r="I707">
        <v>12</v>
      </c>
      <c r="J707">
        <v>15</v>
      </c>
      <c r="K707" t="s">
        <v>47</v>
      </c>
      <c r="L707" t="s">
        <v>47</v>
      </c>
      <c r="M707" t="s">
        <v>47</v>
      </c>
      <c r="N707" t="s">
        <v>62</v>
      </c>
      <c r="O707" t="s">
        <v>63</v>
      </c>
      <c r="P707">
        <v>25.4</v>
      </c>
      <c r="Q707" t="s">
        <v>50</v>
      </c>
      <c r="R707" t="s">
        <v>47</v>
      </c>
      <c r="S707" t="s">
        <v>47</v>
      </c>
      <c r="T707" t="s">
        <v>47</v>
      </c>
      <c r="U707" t="s">
        <v>47</v>
      </c>
      <c r="V707" t="s">
        <v>86</v>
      </c>
      <c r="W707" t="s">
        <v>46</v>
      </c>
      <c r="X707" t="s">
        <v>47</v>
      </c>
      <c r="Y707" t="s">
        <v>47</v>
      </c>
      <c r="Z707" t="s">
        <v>47</v>
      </c>
      <c r="AA707" t="s">
        <v>46</v>
      </c>
      <c r="AB707" t="s">
        <v>47</v>
      </c>
      <c r="AC707" t="s">
        <v>47</v>
      </c>
      <c r="AD707" t="s">
        <v>47</v>
      </c>
      <c r="AE707" t="s">
        <v>47</v>
      </c>
      <c r="AF707" t="s">
        <v>47</v>
      </c>
      <c r="AG707" t="s">
        <v>52</v>
      </c>
      <c r="AH707" t="s">
        <v>71</v>
      </c>
      <c r="AI707" t="s">
        <v>65</v>
      </c>
      <c r="AJ707">
        <v>3</v>
      </c>
      <c r="AK707" t="s">
        <v>47</v>
      </c>
      <c r="AL707" t="s">
        <v>72</v>
      </c>
      <c r="AM707" t="s">
        <v>103</v>
      </c>
      <c r="AN707">
        <v>105</v>
      </c>
      <c r="AO707" t="s">
        <v>46</v>
      </c>
    </row>
    <row r="708" spans="1:41">
      <c r="A708" t="s">
        <v>860</v>
      </c>
      <c r="B708">
        <v>2023</v>
      </c>
      <c r="C708" s="1">
        <v>44936</v>
      </c>
      <c r="D708" t="s">
        <v>98</v>
      </c>
      <c r="E708" t="s">
        <v>212</v>
      </c>
      <c r="F708">
        <v>70</v>
      </c>
      <c r="G708" t="s">
        <v>44</v>
      </c>
      <c r="H708" t="s">
        <v>70</v>
      </c>
      <c r="I708">
        <v>0</v>
      </c>
      <c r="J708">
        <v>0</v>
      </c>
      <c r="K708" t="s">
        <v>47</v>
      </c>
      <c r="L708" t="s">
        <v>46</v>
      </c>
      <c r="M708" t="s">
        <v>47</v>
      </c>
      <c r="N708" t="s">
        <v>48</v>
      </c>
      <c r="O708" t="s">
        <v>63</v>
      </c>
      <c r="P708">
        <v>27.6</v>
      </c>
      <c r="Q708" t="s">
        <v>48</v>
      </c>
      <c r="R708" t="s">
        <v>46</v>
      </c>
      <c r="S708" t="s">
        <v>46</v>
      </c>
      <c r="T708" t="s">
        <v>47</v>
      </c>
      <c r="U708" t="s">
        <v>47</v>
      </c>
      <c r="V708" t="s">
        <v>112</v>
      </c>
      <c r="W708" t="s">
        <v>47</v>
      </c>
      <c r="X708" t="s">
        <v>47</v>
      </c>
      <c r="Y708" t="s">
        <v>47</v>
      </c>
      <c r="Z708" t="s">
        <v>47</v>
      </c>
      <c r="AA708" t="s">
        <v>46</v>
      </c>
      <c r="AB708" t="s">
        <v>47</v>
      </c>
      <c r="AC708" t="s">
        <v>47</v>
      </c>
      <c r="AD708" t="s">
        <v>47</v>
      </c>
      <c r="AE708" t="s">
        <v>47</v>
      </c>
      <c r="AF708" t="s">
        <v>47</v>
      </c>
      <c r="AG708" t="s">
        <v>52</v>
      </c>
      <c r="AH708" t="s">
        <v>53</v>
      </c>
      <c r="AI708" t="s">
        <v>65</v>
      </c>
      <c r="AJ708">
        <v>1.3</v>
      </c>
      <c r="AK708" t="s">
        <v>47</v>
      </c>
      <c r="AL708" t="s">
        <v>66</v>
      </c>
      <c r="AM708" t="s">
        <v>67</v>
      </c>
      <c r="AN708">
        <v>77</v>
      </c>
      <c r="AO708" t="s">
        <v>46</v>
      </c>
    </row>
    <row r="709" spans="1:41">
      <c r="A709" t="s">
        <v>861</v>
      </c>
      <c r="B709">
        <v>2018</v>
      </c>
      <c r="C709" s="1">
        <v>43126</v>
      </c>
      <c r="D709" t="s">
        <v>42</v>
      </c>
      <c r="E709" t="s">
        <v>160</v>
      </c>
      <c r="F709">
        <v>63</v>
      </c>
      <c r="G709" t="s">
        <v>44</v>
      </c>
      <c r="H709" t="s">
        <v>70</v>
      </c>
      <c r="I709">
        <v>0</v>
      </c>
      <c r="J709">
        <v>0</v>
      </c>
      <c r="K709" t="s">
        <v>47</v>
      </c>
      <c r="L709" t="s">
        <v>46</v>
      </c>
      <c r="M709" t="s">
        <v>47</v>
      </c>
      <c r="N709" t="s">
        <v>48</v>
      </c>
      <c r="O709" t="s">
        <v>48</v>
      </c>
      <c r="P709">
        <v>23.1</v>
      </c>
      <c r="Q709" t="s">
        <v>48</v>
      </c>
      <c r="R709" t="s">
        <v>47</v>
      </c>
      <c r="S709" t="s">
        <v>47</v>
      </c>
      <c r="T709" t="s">
        <v>47</v>
      </c>
      <c r="U709" t="s">
        <v>47</v>
      </c>
      <c r="V709" t="s">
        <v>64</v>
      </c>
      <c r="W709" t="s">
        <v>46</v>
      </c>
      <c r="X709" t="s">
        <v>46</v>
      </c>
      <c r="Y709" t="s">
        <v>46</v>
      </c>
      <c r="Z709" t="s">
        <v>47</v>
      </c>
      <c r="AA709" t="s">
        <v>47</v>
      </c>
      <c r="AB709" t="s">
        <v>47</v>
      </c>
      <c r="AC709" t="s">
        <v>46</v>
      </c>
      <c r="AD709" t="s">
        <v>47</v>
      </c>
      <c r="AE709" t="s">
        <v>46</v>
      </c>
      <c r="AF709" t="s">
        <v>47</v>
      </c>
      <c r="AG709" t="s">
        <v>52</v>
      </c>
      <c r="AH709" t="s">
        <v>53</v>
      </c>
      <c r="AI709" t="s">
        <v>87</v>
      </c>
      <c r="AJ709">
        <v>5.2</v>
      </c>
      <c r="AK709" t="s">
        <v>47</v>
      </c>
      <c r="AL709" t="s">
        <v>100</v>
      </c>
      <c r="AM709" t="s">
        <v>77</v>
      </c>
      <c r="AN709">
        <v>53</v>
      </c>
      <c r="AO709" t="s">
        <v>47</v>
      </c>
    </row>
    <row r="710" spans="1:41">
      <c r="A710" t="s">
        <v>862</v>
      </c>
      <c r="B710">
        <v>2021</v>
      </c>
      <c r="C710" s="1">
        <v>44207</v>
      </c>
      <c r="D710" t="s">
        <v>42</v>
      </c>
      <c r="E710" t="s">
        <v>247</v>
      </c>
      <c r="F710">
        <v>46</v>
      </c>
      <c r="G710" t="s">
        <v>60</v>
      </c>
      <c r="H710" t="s">
        <v>45</v>
      </c>
      <c r="I710">
        <v>21</v>
      </c>
      <c r="J710">
        <v>11</v>
      </c>
      <c r="K710" t="s">
        <v>46</v>
      </c>
      <c r="L710" t="s">
        <v>47</v>
      </c>
      <c r="M710" t="s">
        <v>47</v>
      </c>
      <c r="N710" t="s">
        <v>48</v>
      </c>
      <c r="O710" t="s">
        <v>48</v>
      </c>
      <c r="P710">
        <v>29.2</v>
      </c>
      <c r="Q710" t="s">
        <v>48</v>
      </c>
      <c r="R710" t="s">
        <v>47</v>
      </c>
      <c r="S710" t="s">
        <v>47</v>
      </c>
      <c r="T710" t="s">
        <v>47</v>
      </c>
      <c r="U710" t="s">
        <v>47</v>
      </c>
      <c r="V710" t="s">
        <v>64</v>
      </c>
      <c r="W710" t="s">
        <v>46</v>
      </c>
      <c r="X710" t="s">
        <v>46</v>
      </c>
      <c r="Y710" t="s">
        <v>46</v>
      </c>
      <c r="Z710" t="s">
        <v>47</v>
      </c>
      <c r="AA710" t="s">
        <v>47</v>
      </c>
      <c r="AB710" t="s">
        <v>47</v>
      </c>
      <c r="AC710" t="s">
        <v>47</v>
      </c>
      <c r="AD710" t="s">
        <v>46</v>
      </c>
      <c r="AE710" t="s">
        <v>47</v>
      </c>
      <c r="AF710" t="s">
        <v>47</v>
      </c>
      <c r="AG710" t="s">
        <v>52</v>
      </c>
      <c r="AH710" t="s">
        <v>53</v>
      </c>
      <c r="AI710" t="s">
        <v>54</v>
      </c>
      <c r="AJ710">
        <v>11.8</v>
      </c>
      <c r="AK710" t="s">
        <v>46</v>
      </c>
      <c r="AL710" t="s">
        <v>66</v>
      </c>
      <c r="AM710" t="s">
        <v>103</v>
      </c>
      <c r="AN710">
        <v>3</v>
      </c>
      <c r="AO710" t="s">
        <v>47</v>
      </c>
    </row>
    <row r="711" spans="1:41">
      <c r="A711" t="s">
        <v>863</v>
      </c>
      <c r="B711">
        <v>2024</v>
      </c>
      <c r="C711" s="1">
        <v>45548</v>
      </c>
      <c r="D711" t="s">
        <v>84</v>
      </c>
      <c r="E711" t="s">
        <v>89</v>
      </c>
      <c r="F711">
        <v>58</v>
      </c>
      <c r="G711" t="s">
        <v>44</v>
      </c>
      <c r="H711" t="s">
        <v>70</v>
      </c>
      <c r="I711">
        <v>0</v>
      </c>
      <c r="J711">
        <v>0</v>
      </c>
      <c r="K711" t="s">
        <v>47</v>
      </c>
      <c r="L711" t="s">
        <v>47</v>
      </c>
      <c r="M711" t="s">
        <v>46</v>
      </c>
      <c r="N711" t="s">
        <v>48</v>
      </c>
      <c r="O711" t="s">
        <v>48</v>
      </c>
      <c r="P711">
        <v>27.8</v>
      </c>
      <c r="Q711" t="s">
        <v>48</v>
      </c>
      <c r="R711" t="s">
        <v>47</v>
      </c>
      <c r="S711" t="s">
        <v>47</v>
      </c>
      <c r="T711" t="s">
        <v>47</v>
      </c>
      <c r="U711" t="s">
        <v>47</v>
      </c>
      <c r="V711" t="s">
        <v>86</v>
      </c>
      <c r="W711" t="s">
        <v>47</v>
      </c>
      <c r="X711" t="s">
        <v>47</v>
      </c>
      <c r="Y711" t="s">
        <v>47</v>
      </c>
      <c r="Z711" t="s">
        <v>47</v>
      </c>
      <c r="AA711" t="s">
        <v>47</v>
      </c>
      <c r="AB711" t="s">
        <v>47</v>
      </c>
      <c r="AC711" t="s">
        <v>47</v>
      </c>
      <c r="AD711" t="s">
        <v>47</v>
      </c>
      <c r="AE711" t="s">
        <v>47</v>
      </c>
      <c r="AF711" t="s">
        <v>47</v>
      </c>
      <c r="AG711" t="s">
        <v>52</v>
      </c>
      <c r="AH711" t="s">
        <v>53</v>
      </c>
      <c r="AI711" t="s">
        <v>54</v>
      </c>
      <c r="AJ711">
        <v>3.5</v>
      </c>
      <c r="AK711" t="s">
        <v>46</v>
      </c>
      <c r="AL711" t="s">
        <v>156</v>
      </c>
      <c r="AM711" t="s">
        <v>82</v>
      </c>
      <c r="AN711">
        <v>12</v>
      </c>
      <c r="AO711" t="s">
        <v>47</v>
      </c>
    </row>
    <row r="712" spans="1:41">
      <c r="A712" t="s">
        <v>864</v>
      </c>
      <c r="B712">
        <v>2019</v>
      </c>
      <c r="C712" s="1">
        <v>43686</v>
      </c>
      <c r="D712" t="s">
        <v>84</v>
      </c>
      <c r="E712" t="s">
        <v>218</v>
      </c>
      <c r="F712">
        <v>48</v>
      </c>
      <c r="G712" t="s">
        <v>44</v>
      </c>
      <c r="H712" t="s">
        <v>70</v>
      </c>
      <c r="I712">
        <v>0</v>
      </c>
      <c r="J712">
        <v>0</v>
      </c>
      <c r="K712" t="s">
        <v>46</v>
      </c>
      <c r="L712" t="s">
        <v>47</v>
      </c>
      <c r="M712" t="s">
        <v>47</v>
      </c>
      <c r="N712" t="s">
        <v>48</v>
      </c>
      <c r="O712" t="s">
        <v>48</v>
      </c>
      <c r="P712">
        <v>28.3</v>
      </c>
      <c r="Q712" t="s">
        <v>48</v>
      </c>
      <c r="R712" t="s">
        <v>47</v>
      </c>
      <c r="S712" t="s">
        <v>47</v>
      </c>
      <c r="T712" t="s">
        <v>47</v>
      </c>
      <c r="U712" t="s">
        <v>47</v>
      </c>
      <c r="V712" t="s">
        <v>117</v>
      </c>
      <c r="W712" t="s">
        <v>47</v>
      </c>
      <c r="X712" t="s">
        <v>46</v>
      </c>
      <c r="Y712" t="s">
        <v>47</v>
      </c>
      <c r="Z712" t="s">
        <v>47</v>
      </c>
      <c r="AA712" t="s">
        <v>47</v>
      </c>
      <c r="AB712" t="s">
        <v>46</v>
      </c>
      <c r="AC712" t="s">
        <v>47</v>
      </c>
      <c r="AD712" t="s">
        <v>46</v>
      </c>
      <c r="AE712" t="s">
        <v>47</v>
      </c>
      <c r="AF712" t="s">
        <v>47</v>
      </c>
      <c r="AG712" t="s">
        <v>52</v>
      </c>
      <c r="AH712" t="s">
        <v>90</v>
      </c>
      <c r="AI712" t="s">
        <v>65</v>
      </c>
      <c r="AJ712">
        <v>2</v>
      </c>
      <c r="AK712" t="s">
        <v>47</v>
      </c>
      <c r="AL712" t="s">
        <v>66</v>
      </c>
      <c r="AM712" t="s">
        <v>67</v>
      </c>
      <c r="AN712">
        <v>59</v>
      </c>
      <c r="AO712" t="s">
        <v>47</v>
      </c>
    </row>
    <row r="713" spans="1:41">
      <c r="A713" t="s">
        <v>865</v>
      </c>
      <c r="B713">
        <v>2017</v>
      </c>
      <c r="C713" s="1">
        <v>43046</v>
      </c>
      <c r="D713" t="s">
        <v>95</v>
      </c>
      <c r="E713" t="s">
        <v>130</v>
      </c>
      <c r="F713">
        <v>75</v>
      </c>
      <c r="G713" t="s">
        <v>60</v>
      </c>
      <c r="H713" t="s">
        <v>45</v>
      </c>
      <c r="I713">
        <v>43</v>
      </c>
      <c r="J713">
        <v>28</v>
      </c>
      <c r="K713" t="s">
        <v>46</v>
      </c>
      <c r="L713" t="s">
        <v>47</v>
      </c>
      <c r="M713" t="s">
        <v>47</v>
      </c>
      <c r="N713" t="s">
        <v>48</v>
      </c>
      <c r="O713" t="s">
        <v>63</v>
      </c>
      <c r="P713">
        <v>27.4</v>
      </c>
      <c r="Q713" t="s">
        <v>50</v>
      </c>
      <c r="R713" t="s">
        <v>47</v>
      </c>
      <c r="S713" t="s">
        <v>47</v>
      </c>
      <c r="T713" t="s">
        <v>47</v>
      </c>
      <c r="U713" t="s">
        <v>47</v>
      </c>
      <c r="V713" t="s">
        <v>51</v>
      </c>
      <c r="W713" t="s">
        <v>46</v>
      </c>
      <c r="X713" t="s">
        <v>47</v>
      </c>
      <c r="Y713" t="s">
        <v>47</v>
      </c>
      <c r="Z713" t="s">
        <v>46</v>
      </c>
      <c r="AA713" t="s">
        <v>46</v>
      </c>
      <c r="AB713" t="s">
        <v>47</v>
      </c>
      <c r="AC713" t="s">
        <v>46</v>
      </c>
      <c r="AD713" t="s">
        <v>46</v>
      </c>
      <c r="AE713" t="s">
        <v>47</v>
      </c>
      <c r="AF713" t="s">
        <v>47</v>
      </c>
      <c r="AG713" t="s">
        <v>121</v>
      </c>
      <c r="AH713" t="s">
        <v>122</v>
      </c>
      <c r="AI713" t="s">
        <v>87</v>
      </c>
      <c r="AJ713">
        <v>4.7</v>
      </c>
      <c r="AK713" t="s">
        <v>47</v>
      </c>
      <c r="AL713" t="s">
        <v>76</v>
      </c>
      <c r="AM713" t="s">
        <v>118</v>
      </c>
      <c r="AN713">
        <v>32</v>
      </c>
      <c r="AO713" t="s">
        <v>46</v>
      </c>
    </row>
    <row r="714" spans="1:41">
      <c r="A714" t="s">
        <v>866</v>
      </c>
      <c r="B714">
        <v>2019</v>
      </c>
      <c r="C714" s="1">
        <v>43644</v>
      </c>
      <c r="D714" t="s">
        <v>95</v>
      </c>
      <c r="E714" t="s">
        <v>114</v>
      </c>
      <c r="F714">
        <v>52</v>
      </c>
      <c r="G714" t="s">
        <v>44</v>
      </c>
      <c r="H714" t="s">
        <v>70</v>
      </c>
      <c r="I714">
        <v>0</v>
      </c>
      <c r="J714">
        <v>0</v>
      </c>
      <c r="K714" t="s">
        <v>47</v>
      </c>
      <c r="L714" t="s">
        <v>47</v>
      </c>
      <c r="M714" t="s">
        <v>47</v>
      </c>
      <c r="N714" t="s">
        <v>48</v>
      </c>
      <c r="O714" t="s">
        <v>48</v>
      </c>
      <c r="P714">
        <v>21.8</v>
      </c>
      <c r="Q714" t="s">
        <v>50</v>
      </c>
      <c r="R714" t="s">
        <v>46</v>
      </c>
      <c r="S714" t="s">
        <v>47</v>
      </c>
      <c r="T714" t="s">
        <v>47</v>
      </c>
      <c r="U714" t="s">
        <v>47</v>
      </c>
      <c r="V714" t="s">
        <v>86</v>
      </c>
      <c r="W714" t="s">
        <v>47</v>
      </c>
      <c r="X714" t="s">
        <v>47</v>
      </c>
      <c r="Y714" t="s">
        <v>47</v>
      </c>
      <c r="Z714" t="s">
        <v>47</v>
      </c>
      <c r="AA714" t="s">
        <v>46</v>
      </c>
      <c r="AB714" t="s">
        <v>47</v>
      </c>
      <c r="AC714" t="s">
        <v>46</v>
      </c>
      <c r="AD714" t="s">
        <v>47</v>
      </c>
      <c r="AE714" t="s">
        <v>47</v>
      </c>
      <c r="AF714" t="s">
        <v>47</v>
      </c>
      <c r="AG714" t="s">
        <v>52</v>
      </c>
      <c r="AH714" t="s">
        <v>53</v>
      </c>
      <c r="AI714" t="s">
        <v>65</v>
      </c>
      <c r="AJ714">
        <v>2.6</v>
      </c>
      <c r="AK714" t="s">
        <v>47</v>
      </c>
      <c r="AL714" t="s">
        <v>72</v>
      </c>
      <c r="AM714" t="s">
        <v>103</v>
      </c>
      <c r="AN714">
        <v>38</v>
      </c>
      <c r="AO714" t="s">
        <v>46</v>
      </c>
    </row>
    <row r="715" spans="1:41">
      <c r="A715" t="s">
        <v>867</v>
      </c>
      <c r="B715">
        <v>2018</v>
      </c>
      <c r="C715" s="1">
        <v>43415</v>
      </c>
      <c r="D715" t="s">
        <v>95</v>
      </c>
      <c r="E715" t="s">
        <v>130</v>
      </c>
      <c r="F715">
        <v>77</v>
      </c>
      <c r="G715" t="s">
        <v>44</v>
      </c>
      <c r="H715" t="s">
        <v>45</v>
      </c>
      <c r="I715">
        <v>14</v>
      </c>
      <c r="J715">
        <v>29</v>
      </c>
      <c r="K715" t="s">
        <v>46</v>
      </c>
      <c r="L715" t="s">
        <v>47</v>
      </c>
      <c r="M715" t="s">
        <v>46</v>
      </c>
      <c r="N715" t="s">
        <v>50</v>
      </c>
      <c r="O715" t="s">
        <v>48</v>
      </c>
      <c r="P715">
        <v>31.3</v>
      </c>
      <c r="Q715" t="s">
        <v>50</v>
      </c>
      <c r="R715" t="s">
        <v>47</v>
      </c>
      <c r="S715" t="s">
        <v>47</v>
      </c>
      <c r="T715" t="s">
        <v>47</v>
      </c>
      <c r="U715" t="s">
        <v>47</v>
      </c>
      <c r="V715" t="s">
        <v>51</v>
      </c>
      <c r="W715" t="s">
        <v>47</v>
      </c>
      <c r="X715" t="s">
        <v>47</v>
      </c>
      <c r="Y715" t="s">
        <v>46</v>
      </c>
      <c r="Z715" t="s">
        <v>47</v>
      </c>
      <c r="AA715" t="s">
        <v>46</v>
      </c>
      <c r="AB715" t="s">
        <v>47</v>
      </c>
      <c r="AC715" t="s">
        <v>47</v>
      </c>
      <c r="AD715" t="s">
        <v>46</v>
      </c>
      <c r="AE715" t="s">
        <v>47</v>
      </c>
      <c r="AF715" t="s">
        <v>47</v>
      </c>
      <c r="AG715" t="s">
        <v>121</v>
      </c>
      <c r="AH715" t="s">
        <v>122</v>
      </c>
      <c r="AI715" t="s">
        <v>87</v>
      </c>
      <c r="AJ715">
        <v>4</v>
      </c>
      <c r="AK715" t="s">
        <v>47</v>
      </c>
      <c r="AL715" t="s">
        <v>76</v>
      </c>
      <c r="AM715" t="s">
        <v>67</v>
      </c>
      <c r="AN715">
        <v>20</v>
      </c>
      <c r="AO715" t="s">
        <v>46</v>
      </c>
    </row>
    <row r="716" spans="1:41">
      <c r="A716" t="s">
        <v>868</v>
      </c>
      <c r="B716">
        <v>2018</v>
      </c>
      <c r="C716" s="1">
        <v>43157</v>
      </c>
      <c r="D716" t="s">
        <v>42</v>
      </c>
      <c r="E716" t="s">
        <v>136</v>
      </c>
      <c r="F716">
        <v>58</v>
      </c>
      <c r="G716" t="s">
        <v>44</v>
      </c>
      <c r="H716" t="s">
        <v>45</v>
      </c>
      <c r="I716">
        <v>21</v>
      </c>
      <c r="J716">
        <v>28</v>
      </c>
      <c r="K716" t="s">
        <v>47</v>
      </c>
      <c r="L716" t="s">
        <v>47</v>
      </c>
      <c r="M716" t="s">
        <v>47</v>
      </c>
      <c r="N716" t="s">
        <v>62</v>
      </c>
      <c r="O716" t="s">
        <v>49</v>
      </c>
      <c r="P716">
        <v>24.5</v>
      </c>
      <c r="Q716" t="s">
        <v>50</v>
      </c>
      <c r="R716" t="s">
        <v>46</v>
      </c>
      <c r="S716" t="s">
        <v>47</v>
      </c>
      <c r="T716" t="s">
        <v>47</v>
      </c>
      <c r="U716" t="s">
        <v>47</v>
      </c>
      <c r="V716" t="s">
        <v>51</v>
      </c>
      <c r="W716" t="s">
        <v>46</v>
      </c>
      <c r="X716" t="s">
        <v>46</v>
      </c>
      <c r="Y716" t="s">
        <v>46</v>
      </c>
      <c r="Z716" t="s">
        <v>46</v>
      </c>
      <c r="AA716" t="s">
        <v>47</v>
      </c>
      <c r="AB716" t="s">
        <v>47</v>
      </c>
      <c r="AC716" t="s">
        <v>46</v>
      </c>
      <c r="AD716" t="s">
        <v>46</v>
      </c>
      <c r="AE716" t="s">
        <v>47</v>
      </c>
      <c r="AF716" t="s">
        <v>47</v>
      </c>
      <c r="AG716" t="s">
        <v>52</v>
      </c>
      <c r="AH716" t="s">
        <v>53</v>
      </c>
      <c r="AI716" t="s">
        <v>87</v>
      </c>
      <c r="AJ716">
        <v>2.8</v>
      </c>
      <c r="AK716" t="s">
        <v>47</v>
      </c>
      <c r="AL716" t="s">
        <v>55</v>
      </c>
      <c r="AM716" t="s">
        <v>77</v>
      </c>
      <c r="AN716">
        <v>32</v>
      </c>
      <c r="AO716" t="s">
        <v>46</v>
      </c>
    </row>
    <row r="717" spans="1:41">
      <c r="A717" t="s">
        <v>869</v>
      </c>
      <c r="B717">
        <v>2025</v>
      </c>
      <c r="C717" s="1">
        <v>45851</v>
      </c>
      <c r="D717" t="s">
        <v>42</v>
      </c>
      <c r="E717" t="s">
        <v>210</v>
      </c>
      <c r="F717">
        <v>75</v>
      </c>
      <c r="G717" t="s">
        <v>60</v>
      </c>
      <c r="H717" t="s">
        <v>45</v>
      </c>
      <c r="I717">
        <v>18</v>
      </c>
      <c r="J717">
        <v>46</v>
      </c>
      <c r="K717" t="s">
        <v>47</v>
      </c>
      <c r="L717" t="s">
        <v>47</v>
      </c>
      <c r="M717" t="s">
        <v>47</v>
      </c>
      <c r="N717" t="s">
        <v>62</v>
      </c>
      <c r="O717" t="s">
        <v>49</v>
      </c>
      <c r="P717">
        <v>29.5</v>
      </c>
      <c r="Q717" t="s">
        <v>62</v>
      </c>
      <c r="R717" t="s">
        <v>46</v>
      </c>
      <c r="S717" t="s">
        <v>47</v>
      </c>
      <c r="T717" t="s">
        <v>46</v>
      </c>
      <c r="U717" t="s">
        <v>47</v>
      </c>
      <c r="V717" t="s">
        <v>117</v>
      </c>
      <c r="W717" t="s">
        <v>47</v>
      </c>
      <c r="X717" t="s">
        <v>46</v>
      </c>
      <c r="Y717" t="s">
        <v>46</v>
      </c>
      <c r="Z717" t="s">
        <v>47</v>
      </c>
      <c r="AA717" t="s">
        <v>47</v>
      </c>
      <c r="AB717" t="s">
        <v>47</v>
      </c>
      <c r="AC717" t="s">
        <v>46</v>
      </c>
      <c r="AD717" t="s">
        <v>47</v>
      </c>
      <c r="AE717" t="s">
        <v>47</v>
      </c>
      <c r="AF717" t="s">
        <v>47</v>
      </c>
      <c r="AG717" t="s">
        <v>52</v>
      </c>
      <c r="AH717" t="s">
        <v>53</v>
      </c>
      <c r="AI717" t="s">
        <v>54</v>
      </c>
      <c r="AJ717">
        <v>8.1</v>
      </c>
      <c r="AK717" t="s">
        <v>46</v>
      </c>
      <c r="AL717" t="s">
        <v>76</v>
      </c>
      <c r="AM717" t="s">
        <v>77</v>
      </c>
      <c r="AN717">
        <v>6</v>
      </c>
      <c r="AO717" t="s">
        <v>47</v>
      </c>
    </row>
    <row r="718" spans="1:41">
      <c r="A718" t="s">
        <v>870</v>
      </c>
      <c r="B718">
        <v>2017</v>
      </c>
      <c r="C718" s="1">
        <v>42927</v>
      </c>
      <c r="D718" t="s">
        <v>42</v>
      </c>
      <c r="E718" t="s">
        <v>166</v>
      </c>
      <c r="F718">
        <v>60</v>
      </c>
      <c r="G718" t="s">
        <v>44</v>
      </c>
      <c r="H718" t="s">
        <v>61</v>
      </c>
      <c r="I718">
        <v>19</v>
      </c>
      <c r="J718">
        <v>14</v>
      </c>
      <c r="K718" t="s">
        <v>47</v>
      </c>
      <c r="L718" t="s">
        <v>47</v>
      </c>
      <c r="M718" t="s">
        <v>47</v>
      </c>
      <c r="N718" t="s">
        <v>62</v>
      </c>
      <c r="O718" t="s">
        <v>63</v>
      </c>
      <c r="P718">
        <v>18.7</v>
      </c>
      <c r="Q718" t="s">
        <v>50</v>
      </c>
      <c r="R718" t="s">
        <v>47</v>
      </c>
      <c r="S718" t="s">
        <v>47</v>
      </c>
      <c r="T718" t="s">
        <v>47</v>
      </c>
      <c r="U718" t="s">
        <v>47</v>
      </c>
      <c r="V718" t="s">
        <v>64</v>
      </c>
      <c r="W718" t="s">
        <v>46</v>
      </c>
      <c r="X718" t="s">
        <v>47</v>
      </c>
      <c r="Y718" t="s">
        <v>47</v>
      </c>
      <c r="Z718" t="s">
        <v>46</v>
      </c>
      <c r="AA718" t="s">
        <v>47</v>
      </c>
      <c r="AB718" t="s">
        <v>47</v>
      </c>
      <c r="AC718" t="s">
        <v>47</v>
      </c>
      <c r="AD718" t="s">
        <v>46</v>
      </c>
      <c r="AE718" t="s">
        <v>47</v>
      </c>
      <c r="AF718" t="s">
        <v>47</v>
      </c>
      <c r="AG718" t="s">
        <v>52</v>
      </c>
      <c r="AH718" t="s">
        <v>53</v>
      </c>
      <c r="AI718" t="s">
        <v>80</v>
      </c>
      <c r="AJ718">
        <v>3.3</v>
      </c>
      <c r="AK718" t="s">
        <v>47</v>
      </c>
      <c r="AL718" t="s">
        <v>76</v>
      </c>
      <c r="AM718" t="s">
        <v>56</v>
      </c>
      <c r="AN718">
        <v>19</v>
      </c>
      <c r="AO718" t="s">
        <v>47</v>
      </c>
    </row>
    <row r="719" spans="1:41">
      <c r="A719" t="s">
        <v>871</v>
      </c>
      <c r="B719">
        <v>2024</v>
      </c>
      <c r="C719" s="1">
        <v>45527</v>
      </c>
      <c r="D719" t="s">
        <v>98</v>
      </c>
      <c r="E719" t="s">
        <v>202</v>
      </c>
      <c r="F719">
        <v>65</v>
      </c>
      <c r="G719" t="s">
        <v>60</v>
      </c>
      <c r="H719" t="s">
        <v>70</v>
      </c>
      <c r="I719">
        <v>0</v>
      </c>
      <c r="J719">
        <v>0</v>
      </c>
      <c r="K719" t="s">
        <v>46</v>
      </c>
      <c r="L719" t="s">
        <v>47</v>
      </c>
      <c r="M719" t="s">
        <v>46</v>
      </c>
      <c r="N719" t="s">
        <v>62</v>
      </c>
      <c r="O719" t="s">
        <v>49</v>
      </c>
      <c r="P719">
        <v>27.2</v>
      </c>
      <c r="Q719" t="s">
        <v>50</v>
      </c>
      <c r="R719" t="s">
        <v>47</v>
      </c>
      <c r="S719" t="s">
        <v>47</v>
      </c>
      <c r="T719" t="s">
        <v>47</v>
      </c>
      <c r="U719" t="s">
        <v>47</v>
      </c>
      <c r="V719" t="s">
        <v>51</v>
      </c>
      <c r="W719" t="s">
        <v>46</v>
      </c>
      <c r="X719" t="s">
        <v>47</v>
      </c>
      <c r="Y719" t="s">
        <v>47</v>
      </c>
      <c r="Z719" t="s">
        <v>47</v>
      </c>
      <c r="AA719" t="s">
        <v>46</v>
      </c>
      <c r="AB719" t="s">
        <v>47</v>
      </c>
      <c r="AC719" t="s">
        <v>47</v>
      </c>
      <c r="AD719" t="s">
        <v>47</v>
      </c>
      <c r="AE719" t="s">
        <v>47</v>
      </c>
      <c r="AF719" t="s">
        <v>47</v>
      </c>
      <c r="AG719" t="s">
        <v>52</v>
      </c>
      <c r="AH719" t="s">
        <v>53</v>
      </c>
      <c r="AI719" t="s">
        <v>65</v>
      </c>
      <c r="AJ719">
        <v>1.6</v>
      </c>
      <c r="AK719" t="s">
        <v>47</v>
      </c>
      <c r="AL719" t="s">
        <v>76</v>
      </c>
      <c r="AM719" t="s">
        <v>103</v>
      </c>
      <c r="AN719">
        <v>58</v>
      </c>
      <c r="AO719" t="s">
        <v>46</v>
      </c>
    </row>
    <row r="720" spans="1:41">
      <c r="A720" t="s">
        <v>872</v>
      </c>
      <c r="B720">
        <v>2025</v>
      </c>
      <c r="C720" s="1">
        <v>45834</v>
      </c>
      <c r="D720" t="s">
        <v>110</v>
      </c>
      <c r="E720" t="s">
        <v>116</v>
      </c>
      <c r="F720">
        <v>58</v>
      </c>
      <c r="G720" t="s">
        <v>60</v>
      </c>
      <c r="H720" t="s">
        <v>45</v>
      </c>
      <c r="I720">
        <v>28</v>
      </c>
      <c r="J720">
        <v>29</v>
      </c>
      <c r="K720" t="s">
        <v>47</v>
      </c>
      <c r="L720" t="s">
        <v>46</v>
      </c>
      <c r="M720" t="s">
        <v>47</v>
      </c>
      <c r="N720" t="s">
        <v>62</v>
      </c>
      <c r="O720" t="s">
        <v>49</v>
      </c>
      <c r="P720">
        <v>27.9</v>
      </c>
      <c r="Q720" t="s">
        <v>62</v>
      </c>
      <c r="R720" t="s">
        <v>47</v>
      </c>
      <c r="S720" t="s">
        <v>47</v>
      </c>
      <c r="T720" t="s">
        <v>47</v>
      </c>
      <c r="U720" t="s">
        <v>47</v>
      </c>
      <c r="V720" t="s">
        <v>51</v>
      </c>
      <c r="W720" t="s">
        <v>46</v>
      </c>
      <c r="X720" t="s">
        <v>46</v>
      </c>
      <c r="Y720" t="s">
        <v>46</v>
      </c>
      <c r="Z720" t="s">
        <v>47</v>
      </c>
      <c r="AA720" t="s">
        <v>47</v>
      </c>
      <c r="AB720" t="s">
        <v>47</v>
      </c>
      <c r="AC720" t="s">
        <v>47</v>
      </c>
      <c r="AD720" t="s">
        <v>47</v>
      </c>
      <c r="AE720" t="s">
        <v>47</v>
      </c>
      <c r="AF720" t="s">
        <v>47</v>
      </c>
      <c r="AG720" t="s">
        <v>121</v>
      </c>
      <c r="AH720" t="s">
        <v>122</v>
      </c>
      <c r="AI720" t="s">
        <v>80</v>
      </c>
      <c r="AJ720">
        <v>5</v>
      </c>
      <c r="AK720" t="s">
        <v>47</v>
      </c>
      <c r="AL720" t="s">
        <v>156</v>
      </c>
      <c r="AM720" t="s">
        <v>67</v>
      </c>
      <c r="AN720">
        <v>8</v>
      </c>
      <c r="AO720" t="s">
        <v>47</v>
      </c>
    </row>
    <row r="721" spans="1:41">
      <c r="A721" t="s">
        <v>873</v>
      </c>
      <c r="B721">
        <v>2018</v>
      </c>
      <c r="C721" s="1">
        <v>43246</v>
      </c>
      <c r="D721" t="s">
        <v>95</v>
      </c>
      <c r="E721" t="s">
        <v>120</v>
      </c>
      <c r="F721">
        <v>69</v>
      </c>
      <c r="G721" t="s">
        <v>60</v>
      </c>
      <c r="H721" t="s">
        <v>70</v>
      </c>
      <c r="I721">
        <v>0</v>
      </c>
      <c r="J721">
        <v>0</v>
      </c>
      <c r="K721" t="s">
        <v>47</v>
      </c>
      <c r="L721" t="s">
        <v>47</v>
      </c>
      <c r="M721" t="s">
        <v>47</v>
      </c>
      <c r="N721" t="s">
        <v>50</v>
      </c>
      <c r="O721" t="s">
        <v>49</v>
      </c>
      <c r="P721">
        <v>27.1</v>
      </c>
      <c r="Q721" t="s">
        <v>62</v>
      </c>
      <c r="R721" t="s">
        <v>47</v>
      </c>
      <c r="S721" t="s">
        <v>47</v>
      </c>
      <c r="T721" t="s">
        <v>47</v>
      </c>
      <c r="U721" t="s">
        <v>47</v>
      </c>
      <c r="V721" t="s">
        <v>151</v>
      </c>
      <c r="W721" t="s">
        <v>46</v>
      </c>
      <c r="X721" t="s">
        <v>47</v>
      </c>
      <c r="Y721" t="s">
        <v>47</v>
      </c>
      <c r="Z721" t="s">
        <v>47</v>
      </c>
      <c r="AA721" t="s">
        <v>46</v>
      </c>
      <c r="AB721" t="s">
        <v>47</v>
      </c>
      <c r="AC721" t="s">
        <v>47</v>
      </c>
      <c r="AD721" t="s">
        <v>47</v>
      </c>
      <c r="AE721" t="s">
        <v>47</v>
      </c>
      <c r="AF721" t="s">
        <v>47</v>
      </c>
      <c r="AG721" t="s">
        <v>52</v>
      </c>
      <c r="AH721" t="s">
        <v>53</v>
      </c>
      <c r="AI721" t="s">
        <v>87</v>
      </c>
      <c r="AJ721">
        <v>4.0999999999999996</v>
      </c>
      <c r="AK721" t="s">
        <v>47</v>
      </c>
      <c r="AL721" t="s">
        <v>100</v>
      </c>
      <c r="AM721" t="s">
        <v>103</v>
      </c>
      <c r="AN721">
        <v>50</v>
      </c>
      <c r="AO721" t="s">
        <v>47</v>
      </c>
    </row>
    <row r="722" spans="1:41">
      <c r="A722" t="s">
        <v>874</v>
      </c>
      <c r="B722">
        <v>2020</v>
      </c>
      <c r="C722" s="1">
        <v>44179</v>
      </c>
      <c r="D722" t="s">
        <v>84</v>
      </c>
      <c r="E722" t="s">
        <v>85</v>
      </c>
      <c r="F722">
        <v>70</v>
      </c>
      <c r="G722" t="s">
        <v>60</v>
      </c>
      <c r="H722" t="s">
        <v>70</v>
      </c>
      <c r="I722">
        <v>0</v>
      </c>
      <c r="J722">
        <v>0</v>
      </c>
      <c r="K722" t="s">
        <v>47</v>
      </c>
      <c r="L722" t="s">
        <v>47</v>
      </c>
      <c r="M722" t="s">
        <v>47</v>
      </c>
      <c r="N722" t="s">
        <v>62</v>
      </c>
      <c r="O722" t="s">
        <v>48</v>
      </c>
      <c r="P722">
        <v>24.1</v>
      </c>
      <c r="Q722" t="s">
        <v>48</v>
      </c>
      <c r="R722" t="s">
        <v>47</v>
      </c>
      <c r="S722" t="s">
        <v>47</v>
      </c>
      <c r="T722" t="s">
        <v>47</v>
      </c>
      <c r="U722" t="s">
        <v>47</v>
      </c>
      <c r="V722" t="s">
        <v>51</v>
      </c>
      <c r="W722" t="s">
        <v>46</v>
      </c>
      <c r="X722" t="s">
        <v>46</v>
      </c>
      <c r="Y722" t="s">
        <v>47</v>
      </c>
      <c r="Z722" t="s">
        <v>47</v>
      </c>
      <c r="AA722" t="s">
        <v>46</v>
      </c>
      <c r="AB722" t="s">
        <v>46</v>
      </c>
      <c r="AC722" t="s">
        <v>47</v>
      </c>
      <c r="AD722" t="s">
        <v>46</v>
      </c>
      <c r="AE722" t="s">
        <v>47</v>
      </c>
      <c r="AF722" t="s">
        <v>47</v>
      </c>
      <c r="AG722" t="s">
        <v>52</v>
      </c>
      <c r="AH722" t="s">
        <v>53</v>
      </c>
      <c r="AI722" t="s">
        <v>54</v>
      </c>
      <c r="AJ722">
        <v>9.6</v>
      </c>
      <c r="AK722" t="s">
        <v>46</v>
      </c>
      <c r="AL722" t="s">
        <v>100</v>
      </c>
      <c r="AM722" t="s">
        <v>82</v>
      </c>
      <c r="AN722">
        <v>1</v>
      </c>
      <c r="AO722" t="s">
        <v>47</v>
      </c>
    </row>
    <row r="723" spans="1:41">
      <c r="A723" t="s">
        <v>875</v>
      </c>
      <c r="B723">
        <v>2016</v>
      </c>
      <c r="C723" s="1">
        <v>42571</v>
      </c>
      <c r="D723" t="s">
        <v>95</v>
      </c>
      <c r="E723" t="s">
        <v>105</v>
      </c>
      <c r="F723">
        <v>51</v>
      </c>
      <c r="G723" t="s">
        <v>44</v>
      </c>
      <c r="H723" t="s">
        <v>70</v>
      </c>
      <c r="I723">
        <v>0</v>
      </c>
      <c r="J723">
        <v>0</v>
      </c>
      <c r="K723" t="s">
        <v>46</v>
      </c>
      <c r="L723" t="s">
        <v>46</v>
      </c>
      <c r="M723" t="s">
        <v>47</v>
      </c>
      <c r="N723" t="s">
        <v>62</v>
      </c>
      <c r="O723" t="s">
        <v>49</v>
      </c>
      <c r="P723">
        <v>26</v>
      </c>
      <c r="Q723" t="s">
        <v>48</v>
      </c>
      <c r="R723" t="s">
        <v>47</v>
      </c>
      <c r="S723" t="s">
        <v>47</v>
      </c>
      <c r="T723" t="s">
        <v>46</v>
      </c>
      <c r="U723" t="s">
        <v>47</v>
      </c>
      <c r="V723" t="s">
        <v>51</v>
      </c>
      <c r="W723" t="s">
        <v>46</v>
      </c>
      <c r="X723" t="s">
        <v>47</v>
      </c>
      <c r="Y723" t="s">
        <v>47</v>
      </c>
      <c r="Z723" t="s">
        <v>47</v>
      </c>
      <c r="AA723" t="s">
        <v>46</v>
      </c>
      <c r="AB723" t="s">
        <v>47</v>
      </c>
      <c r="AC723" t="s">
        <v>47</v>
      </c>
      <c r="AD723" t="s">
        <v>47</v>
      </c>
      <c r="AE723" t="s">
        <v>47</v>
      </c>
      <c r="AF723" t="s">
        <v>47</v>
      </c>
      <c r="AG723" t="s">
        <v>52</v>
      </c>
      <c r="AH723" t="s">
        <v>53</v>
      </c>
      <c r="AI723" t="s">
        <v>65</v>
      </c>
      <c r="AJ723">
        <v>2</v>
      </c>
      <c r="AK723" t="s">
        <v>47</v>
      </c>
      <c r="AL723" t="s">
        <v>72</v>
      </c>
      <c r="AM723" t="s">
        <v>67</v>
      </c>
      <c r="AN723">
        <v>52</v>
      </c>
      <c r="AO723" t="s">
        <v>46</v>
      </c>
    </row>
    <row r="724" spans="1:41">
      <c r="A724" t="s">
        <v>876</v>
      </c>
      <c r="B724">
        <v>2020</v>
      </c>
      <c r="C724" s="1">
        <v>44084</v>
      </c>
      <c r="D724" t="s">
        <v>42</v>
      </c>
      <c r="E724" t="s">
        <v>136</v>
      </c>
      <c r="F724">
        <v>46</v>
      </c>
      <c r="G724" t="s">
        <v>60</v>
      </c>
      <c r="H724" t="s">
        <v>45</v>
      </c>
      <c r="I724">
        <v>24</v>
      </c>
      <c r="J724">
        <v>18</v>
      </c>
      <c r="K724" t="s">
        <v>47</v>
      </c>
      <c r="L724" t="s">
        <v>46</v>
      </c>
      <c r="M724" t="s">
        <v>47</v>
      </c>
      <c r="N724" t="s">
        <v>50</v>
      </c>
      <c r="O724" t="s">
        <v>49</v>
      </c>
      <c r="P724">
        <v>22.2</v>
      </c>
      <c r="Q724" t="s">
        <v>50</v>
      </c>
      <c r="R724" t="s">
        <v>47</v>
      </c>
      <c r="S724" t="s">
        <v>47</v>
      </c>
      <c r="T724" t="s">
        <v>46</v>
      </c>
      <c r="U724" t="s">
        <v>47</v>
      </c>
      <c r="V724" t="s">
        <v>64</v>
      </c>
      <c r="W724" t="s">
        <v>46</v>
      </c>
      <c r="X724" t="s">
        <v>46</v>
      </c>
      <c r="Y724" t="s">
        <v>47</v>
      </c>
      <c r="Z724" t="s">
        <v>47</v>
      </c>
      <c r="AA724" t="s">
        <v>46</v>
      </c>
      <c r="AB724" t="s">
        <v>46</v>
      </c>
      <c r="AC724" t="s">
        <v>47</v>
      </c>
      <c r="AD724" t="s">
        <v>47</v>
      </c>
      <c r="AE724" t="s">
        <v>47</v>
      </c>
      <c r="AF724" t="s">
        <v>46</v>
      </c>
      <c r="AG724" t="s">
        <v>52</v>
      </c>
      <c r="AH724" t="s">
        <v>71</v>
      </c>
      <c r="AI724" t="s">
        <v>54</v>
      </c>
      <c r="AJ724">
        <v>6.2</v>
      </c>
      <c r="AK724" t="s">
        <v>46</v>
      </c>
      <c r="AL724" t="s">
        <v>76</v>
      </c>
      <c r="AM724" t="s">
        <v>82</v>
      </c>
      <c r="AN724">
        <v>7</v>
      </c>
      <c r="AO724" t="s">
        <v>47</v>
      </c>
    </row>
    <row r="725" spans="1:41">
      <c r="A725" t="s">
        <v>877</v>
      </c>
      <c r="B725">
        <v>2025</v>
      </c>
      <c r="C725" s="1">
        <v>45691</v>
      </c>
      <c r="D725" t="s">
        <v>58</v>
      </c>
      <c r="E725" t="s">
        <v>138</v>
      </c>
      <c r="F725">
        <v>70</v>
      </c>
      <c r="G725" t="s">
        <v>44</v>
      </c>
      <c r="H725" t="s">
        <v>70</v>
      </c>
      <c r="I725">
        <v>0</v>
      </c>
      <c r="J725">
        <v>0</v>
      </c>
      <c r="K725" t="s">
        <v>46</v>
      </c>
      <c r="L725" t="s">
        <v>47</v>
      </c>
      <c r="M725" t="s">
        <v>46</v>
      </c>
      <c r="N725" t="s">
        <v>48</v>
      </c>
      <c r="O725" t="s">
        <v>63</v>
      </c>
      <c r="P725">
        <v>24.8</v>
      </c>
      <c r="Q725" t="s">
        <v>50</v>
      </c>
      <c r="R725" t="s">
        <v>47</v>
      </c>
      <c r="S725" t="s">
        <v>47</v>
      </c>
      <c r="T725" t="s">
        <v>47</v>
      </c>
      <c r="U725" t="s">
        <v>47</v>
      </c>
      <c r="V725" t="s">
        <v>117</v>
      </c>
      <c r="W725" t="s">
        <v>47</v>
      </c>
      <c r="X725" t="s">
        <v>47</v>
      </c>
      <c r="Y725" t="s">
        <v>47</v>
      </c>
      <c r="Z725" t="s">
        <v>47</v>
      </c>
      <c r="AA725" t="s">
        <v>46</v>
      </c>
      <c r="AB725" t="s">
        <v>46</v>
      </c>
      <c r="AC725" t="s">
        <v>47</v>
      </c>
      <c r="AD725" t="s">
        <v>47</v>
      </c>
      <c r="AE725" t="s">
        <v>47</v>
      </c>
      <c r="AF725" t="s">
        <v>47</v>
      </c>
      <c r="AG725" t="s">
        <v>121</v>
      </c>
      <c r="AH725" t="s">
        <v>122</v>
      </c>
      <c r="AI725" t="s">
        <v>54</v>
      </c>
      <c r="AJ725">
        <v>8.8000000000000007</v>
      </c>
      <c r="AK725" t="s">
        <v>46</v>
      </c>
      <c r="AL725" t="s">
        <v>156</v>
      </c>
      <c r="AM725" t="s">
        <v>265</v>
      </c>
      <c r="AN725">
        <v>10</v>
      </c>
      <c r="AO725" t="s">
        <v>46</v>
      </c>
    </row>
    <row r="726" spans="1:41">
      <c r="A726" t="s">
        <v>878</v>
      </c>
      <c r="B726">
        <v>2017</v>
      </c>
      <c r="C726" s="1">
        <v>43049</v>
      </c>
      <c r="D726" t="s">
        <v>58</v>
      </c>
      <c r="E726" t="s">
        <v>134</v>
      </c>
      <c r="F726">
        <v>50</v>
      </c>
      <c r="G726" t="s">
        <v>60</v>
      </c>
      <c r="H726" t="s">
        <v>70</v>
      </c>
      <c r="I726">
        <v>0</v>
      </c>
      <c r="J726">
        <v>0</v>
      </c>
      <c r="K726" t="s">
        <v>46</v>
      </c>
      <c r="L726" t="s">
        <v>46</v>
      </c>
      <c r="M726" t="s">
        <v>47</v>
      </c>
      <c r="N726" t="s">
        <v>50</v>
      </c>
      <c r="O726" t="s">
        <v>48</v>
      </c>
      <c r="P726">
        <v>30.9</v>
      </c>
      <c r="Q726" t="s">
        <v>50</v>
      </c>
      <c r="R726" t="s">
        <v>47</v>
      </c>
      <c r="S726" t="s">
        <v>47</v>
      </c>
      <c r="T726" t="s">
        <v>47</v>
      </c>
      <c r="U726" t="s">
        <v>47</v>
      </c>
      <c r="V726" t="s">
        <v>86</v>
      </c>
      <c r="W726" t="s">
        <v>47</v>
      </c>
      <c r="X726" t="s">
        <v>47</v>
      </c>
      <c r="Y726" t="s">
        <v>47</v>
      </c>
      <c r="Z726" t="s">
        <v>47</v>
      </c>
      <c r="AA726" t="s">
        <v>46</v>
      </c>
      <c r="AB726" t="s">
        <v>47</v>
      </c>
      <c r="AC726" t="s">
        <v>46</v>
      </c>
      <c r="AD726" t="s">
        <v>47</v>
      </c>
      <c r="AE726" t="s">
        <v>47</v>
      </c>
      <c r="AF726" t="s">
        <v>47</v>
      </c>
      <c r="AG726" t="s">
        <v>52</v>
      </c>
      <c r="AH726" t="s">
        <v>53</v>
      </c>
      <c r="AI726" t="s">
        <v>54</v>
      </c>
      <c r="AJ726">
        <v>5.9</v>
      </c>
      <c r="AK726" t="s">
        <v>46</v>
      </c>
      <c r="AL726" t="s">
        <v>66</v>
      </c>
      <c r="AM726" t="s">
        <v>56</v>
      </c>
      <c r="AN726">
        <v>2</v>
      </c>
      <c r="AO726" t="s">
        <v>47</v>
      </c>
    </row>
    <row r="727" spans="1:41">
      <c r="A727" t="s">
        <v>879</v>
      </c>
      <c r="B727">
        <v>2021</v>
      </c>
      <c r="C727" s="1">
        <v>44428</v>
      </c>
      <c r="D727" t="s">
        <v>110</v>
      </c>
      <c r="E727" t="s">
        <v>231</v>
      </c>
      <c r="F727">
        <v>73</v>
      </c>
      <c r="G727" t="s">
        <v>60</v>
      </c>
      <c r="H727" t="s">
        <v>45</v>
      </c>
      <c r="I727">
        <v>34</v>
      </c>
      <c r="J727">
        <v>39</v>
      </c>
      <c r="K727" t="s">
        <v>46</v>
      </c>
      <c r="L727" t="s">
        <v>46</v>
      </c>
      <c r="M727" t="s">
        <v>47</v>
      </c>
      <c r="N727" t="s">
        <v>48</v>
      </c>
      <c r="O727" t="s">
        <v>49</v>
      </c>
      <c r="P727">
        <v>31.1</v>
      </c>
      <c r="Q727" t="s">
        <v>50</v>
      </c>
      <c r="R727" t="s">
        <v>46</v>
      </c>
      <c r="S727" t="s">
        <v>47</v>
      </c>
      <c r="T727" t="s">
        <v>47</v>
      </c>
      <c r="U727" t="s">
        <v>47</v>
      </c>
      <c r="V727" t="s">
        <v>51</v>
      </c>
      <c r="W727" t="s">
        <v>46</v>
      </c>
      <c r="X727" t="s">
        <v>47</v>
      </c>
      <c r="Y727" t="s">
        <v>46</v>
      </c>
      <c r="Z727" t="s">
        <v>47</v>
      </c>
      <c r="AA727" t="s">
        <v>46</v>
      </c>
      <c r="AB727" t="s">
        <v>46</v>
      </c>
      <c r="AC727" t="s">
        <v>46</v>
      </c>
      <c r="AD727" t="s">
        <v>46</v>
      </c>
      <c r="AE727" t="s">
        <v>46</v>
      </c>
      <c r="AF727" t="s">
        <v>47</v>
      </c>
      <c r="AG727" t="s">
        <v>121</v>
      </c>
      <c r="AH727" t="s">
        <v>122</v>
      </c>
      <c r="AI727" t="s">
        <v>80</v>
      </c>
      <c r="AJ727">
        <v>5.6</v>
      </c>
      <c r="AK727" t="s">
        <v>46</v>
      </c>
      <c r="AL727" t="s">
        <v>81</v>
      </c>
      <c r="AM727" t="s">
        <v>82</v>
      </c>
      <c r="AN727">
        <v>5</v>
      </c>
      <c r="AO727" t="s">
        <v>47</v>
      </c>
    </row>
    <row r="728" spans="1:41">
      <c r="A728" t="s">
        <v>880</v>
      </c>
      <c r="B728">
        <v>2023</v>
      </c>
      <c r="C728" s="1">
        <v>45008</v>
      </c>
      <c r="D728" t="s">
        <v>84</v>
      </c>
      <c r="E728" t="s">
        <v>571</v>
      </c>
      <c r="F728">
        <v>58</v>
      </c>
      <c r="G728" t="s">
        <v>60</v>
      </c>
      <c r="H728" t="s">
        <v>70</v>
      </c>
      <c r="I728">
        <v>0</v>
      </c>
      <c r="J728">
        <v>0</v>
      </c>
      <c r="K728" t="s">
        <v>47</v>
      </c>
      <c r="L728" t="s">
        <v>47</v>
      </c>
      <c r="M728" t="s">
        <v>47</v>
      </c>
      <c r="N728" t="s">
        <v>48</v>
      </c>
      <c r="O728" t="s">
        <v>49</v>
      </c>
      <c r="P728">
        <v>20.399999999999999</v>
      </c>
      <c r="Q728" t="s">
        <v>62</v>
      </c>
      <c r="R728" t="s">
        <v>47</v>
      </c>
      <c r="S728" t="s">
        <v>47</v>
      </c>
      <c r="T728" t="s">
        <v>47</v>
      </c>
      <c r="U728" t="s">
        <v>47</v>
      </c>
      <c r="V728" t="s">
        <v>151</v>
      </c>
      <c r="W728" t="s">
        <v>46</v>
      </c>
      <c r="X728" t="s">
        <v>47</v>
      </c>
      <c r="Y728" t="s">
        <v>47</v>
      </c>
      <c r="Z728" t="s">
        <v>47</v>
      </c>
      <c r="AA728" t="s">
        <v>46</v>
      </c>
      <c r="AB728" t="s">
        <v>46</v>
      </c>
      <c r="AC728" t="s">
        <v>47</v>
      </c>
      <c r="AD728" t="s">
        <v>47</v>
      </c>
      <c r="AE728" t="s">
        <v>46</v>
      </c>
      <c r="AF728" t="s">
        <v>47</v>
      </c>
      <c r="AG728" t="s">
        <v>52</v>
      </c>
      <c r="AH728" t="s">
        <v>71</v>
      </c>
      <c r="AI728" t="s">
        <v>65</v>
      </c>
      <c r="AJ728">
        <v>1.9</v>
      </c>
      <c r="AK728" t="s">
        <v>47</v>
      </c>
      <c r="AL728" t="s">
        <v>66</v>
      </c>
      <c r="AM728" t="s">
        <v>73</v>
      </c>
      <c r="AN728">
        <v>66</v>
      </c>
      <c r="AO728" t="s">
        <v>46</v>
      </c>
    </row>
    <row r="729" spans="1:41">
      <c r="A729" t="s">
        <v>881</v>
      </c>
      <c r="B729">
        <v>2019</v>
      </c>
      <c r="C729" s="1">
        <v>43631</v>
      </c>
      <c r="D729" t="s">
        <v>95</v>
      </c>
      <c r="E729" t="s">
        <v>114</v>
      </c>
      <c r="F729">
        <v>65</v>
      </c>
      <c r="G729" t="s">
        <v>60</v>
      </c>
      <c r="H729" t="s">
        <v>70</v>
      </c>
      <c r="I729">
        <v>0</v>
      </c>
      <c r="J729">
        <v>0</v>
      </c>
      <c r="K729" t="s">
        <v>47</v>
      </c>
      <c r="L729" t="s">
        <v>46</v>
      </c>
      <c r="M729" t="s">
        <v>47</v>
      </c>
      <c r="N729" t="s">
        <v>48</v>
      </c>
      <c r="O729" t="s">
        <v>49</v>
      </c>
      <c r="P729">
        <v>23.9</v>
      </c>
      <c r="Q729" t="s">
        <v>48</v>
      </c>
      <c r="R729" t="s">
        <v>46</v>
      </c>
      <c r="S729" t="s">
        <v>47</v>
      </c>
      <c r="T729" t="s">
        <v>47</v>
      </c>
      <c r="U729" t="s">
        <v>47</v>
      </c>
      <c r="V729" t="s">
        <v>51</v>
      </c>
      <c r="W729" t="s">
        <v>47</v>
      </c>
      <c r="X729" t="s">
        <v>47</v>
      </c>
      <c r="Y729" t="s">
        <v>47</v>
      </c>
      <c r="Z729" t="s">
        <v>47</v>
      </c>
      <c r="AA729" t="s">
        <v>47</v>
      </c>
      <c r="AB729" t="s">
        <v>47</v>
      </c>
      <c r="AC729" t="s">
        <v>47</v>
      </c>
      <c r="AD729" t="s">
        <v>47</v>
      </c>
      <c r="AE729" t="s">
        <v>47</v>
      </c>
      <c r="AF729" t="s">
        <v>46</v>
      </c>
      <c r="AG729" t="s">
        <v>52</v>
      </c>
      <c r="AH729" t="s">
        <v>53</v>
      </c>
      <c r="AI729" t="s">
        <v>65</v>
      </c>
      <c r="AJ729">
        <v>1.6</v>
      </c>
      <c r="AK729" t="s">
        <v>47</v>
      </c>
      <c r="AL729" t="s">
        <v>66</v>
      </c>
      <c r="AM729" t="s">
        <v>103</v>
      </c>
      <c r="AN729">
        <v>68</v>
      </c>
      <c r="AO729" t="s">
        <v>46</v>
      </c>
    </row>
    <row r="730" spans="1:41">
      <c r="A730" t="s">
        <v>882</v>
      </c>
      <c r="B730">
        <v>2020</v>
      </c>
      <c r="C730" s="1">
        <v>44193</v>
      </c>
      <c r="D730" t="s">
        <v>42</v>
      </c>
      <c r="E730" t="s">
        <v>136</v>
      </c>
      <c r="F730">
        <v>60</v>
      </c>
      <c r="G730" t="s">
        <v>60</v>
      </c>
      <c r="H730" t="s">
        <v>70</v>
      </c>
      <c r="I730">
        <v>0</v>
      </c>
      <c r="J730">
        <v>0</v>
      </c>
      <c r="K730" t="s">
        <v>47</v>
      </c>
      <c r="L730" t="s">
        <v>46</v>
      </c>
      <c r="M730" t="s">
        <v>46</v>
      </c>
      <c r="N730" t="s">
        <v>62</v>
      </c>
      <c r="O730" t="s">
        <v>48</v>
      </c>
      <c r="P730">
        <v>24.2</v>
      </c>
      <c r="Q730" t="s">
        <v>50</v>
      </c>
      <c r="R730" t="s">
        <v>47</v>
      </c>
      <c r="S730" t="s">
        <v>47</v>
      </c>
      <c r="T730" t="s">
        <v>47</v>
      </c>
      <c r="U730" t="s">
        <v>47</v>
      </c>
      <c r="V730" t="s">
        <v>86</v>
      </c>
      <c r="W730" t="s">
        <v>47</v>
      </c>
      <c r="X730" t="s">
        <v>47</v>
      </c>
      <c r="Y730" t="s">
        <v>46</v>
      </c>
      <c r="Z730" t="s">
        <v>47</v>
      </c>
      <c r="AA730" t="s">
        <v>47</v>
      </c>
      <c r="AB730" t="s">
        <v>46</v>
      </c>
      <c r="AC730" t="s">
        <v>46</v>
      </c>
      <c r="AD730" t="s">
        <v>47</v>
      </c>
      <c r="AE730" t="s">
        <v>47</v>
      </c>
      <c r="AF730" t="s">
        <v>47</v>
      </c>
      <c r="AG730" t="s">
        <v>52</v>
      </c>
      <c r="AH730" t="s">
        <v>53</v>
      </c>
      <c r="AI730" t="s">
        <v>80</v>
      </c>
      <c r="AJ730">
        <v>5.6</v>
      </c>
      <c r="AK730" t="s">
        <v>47</v>
      </c>
      <c r="AL730" t="s">
        <v>66</v>
      </c>
      <c r="AM730" t="s">
        <v>82</v>
      </c>
      <c r="AN730">
        <v>26</v>
      </c>
      <c r="AO730" t="s">
        <v>47</v>
      </c>
    </row>
    <row r="731" spans="1:41">
      <c r="A731" t="s">
        <v>883</v>
      </c>
      <c r="B731">
        <v>2016</v>
      </c>
      <c r="C731" s="1">
        <v>42657</v>
      </c>
      <c r="D731" t="s">
        <v>42</v>
      </c>
      <c r="E731" t="s">
        <v>247</v>
      </c>
      <c r="F731">
        <v>65</v>
      </c>
      <c r="G731" t="s">
        <v>60</v>
      </c>
      <c r="H731" t="s">
        <v>45</v>
      </c>
      <c r="I731">
        <v>5</v>
      </c>
      <c r="J731">
        <v>39</v>
      </c>
      <c r="K731" t="s">
        <v>46</v>
      </c>
      <c r="L731" t="s">
        <v>47</v>
      </c>
      <c r="M731" t="s">
        <v>47</v>
      </c>
      <c r="N731" t="s">
        <v>62</v>
      </c>
      <c r="O731" t="s">
        <v>49</v>
      </c>
      <c r="P731">
        <v>27.1</v>
      </c>
      <c r="Q731" t="s">
        <v>48</v>
      </c>
      <c r="R731" t="s">
        <v>46</v>
      </c>
      <c r="S731" t="s">
        <v>47</v>
      </c>
      <c r="T731" t="s">
        <v>47</v>
      </c>
      <c r="U731" t="s">
        <v>47</v>
      </c>
      <c r="V731" t="s">
        <v>151</v>
      </c>
      <c r="W731" t="s">
        <v>47</v>
      </c>
      <c r="X731" t="s">
        <v>46</v>
      </c>
      <c r="Y731" t="s">
        <v>47</v>
      </c>
      <c r="Z731" t="s">
        <v>46</v>
      </c>
      <c r="AA731" t="s">
        <v>47</v>
      </c>
      <c r="AB731" t="s">
        <v>47</v>
      </c>
      <c r="AC731" t="s">
        <v>47</v>
      </c>
      <c r="AD731" t="s">
        <v>47</v>
      </c>
      <c r="AE731" t="s">
        <v>47</v>
      </c>
      <c r="AF731" t="s">
        <v>47</v>
      </c>
      <c r="AG731" t="s">
        <v>52</v>
      </c>
      <c r="AH731" t="s">
        <v>90</v>
      </c>
      <c r="AI731" t="s">
        <v>80</v>
      </c>
      <c r="AJ731">
        <v>6.3</v>
      </c>
      <c r="AK731" t="s">
        <v>47</v>
      </c>
      <c r="AL731" t="s">
        <v>156</v>
      </c>
      <c r="AM731" t="s">
        <v>77</v>
      </c>
      <c r="AN731">
        <v>16</v>
      </c>
      <c r="AO731" t="s">
        <v>47</v>
      </c>
    </row>
    <row r="732" spans="1:41">
      <c r="A732" t="s">
        <v>884</v>
      </c>
      <c r="B732">
        <v>2023</v>
      </c>
      <c r="C732" s="1">
        <v>45256</v>
      </c>
      <c r="D732" t="s">
        <v>42</v>
      </c>
      <c r="E732" t="s">
        <v>43</v>
      </c>
      <c r="F732">
        <v>58</v>
      </c>
      <c r="G732" t="s">
        <v>60</v>
      </c>
      <c r="H732" t="s">
        <v>45</v>
      </c>
      <c r="I732">
        <v>25</v>
      </c>
      <c r="J732">
        <v>32</v>
      </c>
      <c r="K732" t="s">
        <v>47</v>
      </c>
      <c r="L732" t="s">
        <v>47</v>
      </c>
      <c r="M732" t="s">
        <v>47</v>
      </c>
      <c r="N732" t="s">
        <v>48</v>
      </c>
      <c r="O732" t="s">
        <v>48</v>
      </c>
      <c r="P732">
        <v>18.600000000000001</v>
      </c>
      <c r="Q732" t="s">
        <v>50</v>
      </c>
      <c r="R732" t="s">
        <v>47</v>
      </c>
      <c r="S732" t="s">
        <v>47</v>
      </c>
      <c r="T732" t="s">
        <v>47</v>
      </c>
      <c r="U732" t="s">
        <v>47</v>
      </c>
      <c r="V732" t="s">
        <v>151</v>
      </c>
      <c r="W732" t="s">
        <v>46</v>
      </c>
      <c r="X732" t="s">
        <v>46</v>
      </c>
      <c r="Y732" t="s">
        <v>46</v>
      </c>
      <c r="Z732" t="s">
        <v>47</v>
      </c>
      <c r="AA732" t="s">
        <v>47</v>
      </c>
      <c r="AB732" t="s">
        <v>46</v>
      </c>
      <c r="AC732" t="s">
        <v>46</v>
      </c>
      <c r="AD732" t="s">
        <v>47</v>
      </c>
      <c r="AE732" t="s">
        <v>47</v>
      </c>
      <c r="AF732" t="s">
        <v>47</v>
      </c>
      <c r="AG732" t="s">
        <v>121</v>
      </c>
      <c r="AH732" t="s">
        <v>122</v>
      </c>
      <c r="AI732" t="s">
        <v>80</v>
      </c>
      <c r="AJ732">
        <v>4.8</v>
      </c>
      <c r="AK732" t="s">
        <v>47</v>
      </c>
      <c r="AL732" t="s">
        <v>76</v>
      </c>
      <c r="AM732" t="s">
        <v>77</v>
      </c>
      <c r="AN732">
        <v>32</v>
      </c>
      <c r="AO732" t="s">
        <v>47</v>
      </c>
    </row>
    <row r="733" spans="1:41">
      <c r="A733" t="s">
        <v>885</v>
      </c>
      <c r="B733">
        <v>2019</v>
      </c>
      <c r="C733" s="1">
        <v>43518</v>
      </c>
      <c r="D733" t="s">
        <v>95</v>
      </c>
      <c r="E733" t="s">
        <v>145</v>
      </c>
      <c r="F733">
        <v>65</v>
      </c>
      <c r="G733" t="s">
        <v>60</v>
      </c>
      <c r="H733" t="s">
        <v>45</v>
      </c>
      <c r="I733">
        <v>28</v>
      </c>
      <c r="J733">
        <v>27</v>
      </c>
      <c r="K733" t="s">
        <v>47</v>
      </c>
      <c r="L733" t="s">
        <v>47</v>
      </c>
      <c r="M733" t="s">
        <v>47</v>
      </c>
      <c r="N733" t="s">
        <v>62</v>
      </c>
      <c r="O733" t="s">
        <v>63</v>
      </c>
      <c r="P733">
        <v>28.3</v>
      </c>
      <c r="Q733" t="s">
        <v>62</v>
      </c>
      <c r="R733" t="s">
        <v>46</v>
      </c>
      <c r="S733" t="s">
        <v>47</v>
      </c>
      <c r="T733" t="s">
        <v>47</v>
      </c>
      <c r="U733" t="s">
        <v>47</v>
      </c>
      <c r="V733" t="s">
        <v>151</v>
      </c>
      <c r="W733" t="s">
        <v>46</v>
      </c>
      <c r="X733" t="s">
        <v>47</v>
      </c>
      <c r="Y733" t="s">
        <v>47</v>
      </c>
      <c r="Z733" t="s">
        <v>47</v>
      </c>
      <c r="AA733" t="s">
        <v>46</v>
      </c>
      <c r="AB733" t="s">
        <v>46</v>
      </c>
      <c r="AC733" t="s">
        <v>46</v>
      </c>
      <c r="AD733" t="s">
        <v>47</v>
      </c>
      <c r="AE733" t="s">
        <v>47</v>
      </c>
      <c r="AF733" t="s">
        <v>46</v>
      </c>
      <c r="AG733" t="s">
        <v>52</v>
      </c>
      <c r="AH733" t="s">
        <v>71</v>
      </c>
      <c r="AI733" t="s">
        <v>87</v>
      </c>
      <c r="AJ733">
        <v>5.5</v>
      </c>
      <c r="AK733" t="s">
        <v>47</v>
      </c>
      <c r="AL733" t="s">
        <v>66</v>
      </c>
      <c r="AM733" t="s">
        <v>77</v>
      </c>
      <c r="AN733">
        <v>33</v>
      </c>
      <c r="AO733" t="s">
        <v>47</v>
      </c>
    </row>
    <row r="734" spans="1:41">
      <c r="A734" t="s">
        <v>886</v>
      </c>
      <c r="B734">
        <v>2018</v>
      </c>
      <c r="C734" s="1">
        <v>43268</v>
      </c>
      <c r="D734" t="s">
        <v>58</v>
      </c>
      <c r="E734" t="s">
        <v>142</v>
      </c>
      <c r="F734">
        <v>75</v>
      </c>
      <c r="G734" t="s">
        <v>60</v>
      </c>
      <c r="H734" t="s">
        <v>45</v>
      </c>
      <c r="I734">
        <v>38</v>
      </c>
      <c r="J734">
        <v>38</v>
      </c>
      <c r="K734" t="s">
        <v>46</v>
      </c>
      <c r="L734" t="s">
        <v>47</v>
      </c>
      <c r="M734" t="s">
        <v>47</v>
      </c>
      <c r="N734" t="s">
        <v>50</v>
      </c>
      <c r="O734" t="s">
        <v>49</v>
      </c>
      <c r="P734">
        <v>19.7</v>
      </c>
      <c r="Q734" t="s">
        <v>50</v>
      </c>
      <c r="R734" t="s">
        <v>46</v>
      </c>
      <c r="S734" t="s">
        <v>47</v>
      </c>
      <c r="T734" t="s">
        <v>47</v>
      </c>
      <c r="U734" t="s">
        <v>47</v>
      </c>
      <c r="V734" t="s">
        <v>51</v>
      </c>
      <c r="W734" t="s">
        <v>46</v>
      </c>
      <c r="X734" t="s">
        <v>46</v>
      </c>
      <c r="Y734" t="s">
        <v>47</v>
      </c>
      <c r="Z734" t="s">
        <v>47</v>
      </c>
      <c r="AA734" t="s">
        <v>46</v>
      </c>
      <c r="AB734" t="s">
        <v>46</v>
      </c>
      <c r="AC734" t="s">
        <v>47</v>
      </c>
      <c r="AD734" t="s">
        <v>46</v>
      </c>
      <c r="AE734" t="s">
        <v>46</v>
      </c>
      <c r="AF734" t="s">
        <v>47</v>
      </c>
      <c r="AG734" t="s">
        <v>52</v>
      </c>
      <c r="AH734" t="s">
        <v>53</v>
      </c>
      <c r="AI734" t="s">
        <v>80</v>
      </c>
      <c r="AJ734">
        <v>4.4000000000000004</v>
      </c>
      <c r="AK734" t="s">
        <v>46</v>
      </c>
      <c r="AL734" t="s">
        <v>81</v>
      </c>
      <c r="AM734" t="s">
        <v>56</v>
      </c>
      <c r="AN734">
        <v>17</v>
      </c>
      <c r="AO734" t="s">
        <v>47</v>
      </c>
    </row>
    <row r="735" spans="1:41">
      <c r="A735" t="s">
        <v>887</v>
      </c>
      <c r="B735">
        <v>2015</v>
      </c>
      <c r="C735" s="1">
        <v>42009</v>
      </c>
      <c r="D735" t="s">
        <v>95</v>
      </c>
      <c r="E735" t="s">
        <v>255</v>
      </c>
      <c r="F735">
        <v>64</v>
      </c>
      <c r="G735" t="s">
        <v>60</v>
      </c>
      <c r="H735" t="s">
        <v>45</v>
      </c>
      <c r="I735">
        <v>31</v>
      </c>
      <c r="J735">
        <v>21</v>
      </c>
      <c r="K735" t="s">
        <v>46</v>
      </c>
      <c r="L735" t="s">
        <v>46</v>
      </c>
      <c r="M735" t="s">
        <v>47</v>
      </c>
      <c r="N735" t="s">
        <v>50</v>
      </c>
      <c r="O735" t="s">
        <v>49</v>
      </c>
      <c r="P735">
        <v>32.299999999999997</v>
      </c>
      <c r="Q735" t="s">
        <v>50</v>
      </c>
      <c r="R735" t="s">
        <v>46</v>
      </c>
      <c r="S735" t="s">
        <v>47</v>
      </c>
      <c r="T735" t="s">
        <v>47</v>
      </c>
      <c r="U735" t="s">
        <v>47</v>
      </c>
      <c r="V735" t="s">
        <v>51</v>
      </c>
      <c r="W735" t="s">
        <v>47</v>
      </c>
      <c r="X735" t="s">
        <v>46</v>
      </c>
      <c r="Y735" t="s">
        <v>46</v>
      </c>
      <c r="Z735" t="s">
        <v>47</v>
      </c>
      <c r="AA735" t="s">
        <v>46</v>
      </c>
      <c r="AB735" t="s">
        <v>46</v>
      </c>
      <c r="AC735" t="s">
        <v>46</v>
      </c>
      <c r="AD735" t="s">
        <v>46</v>
      </c>
      <c r="AE735" t="s">
        <v>47</v>
      </c>
      <c r="AF735" t="s">
        <v>47</v>
      </c>
      <c r="AG735" t="s">
        <v>52</v>
      </c>
      <c r="AH735" t="s">
        <v>53</v>
      </c>
      <c r="AI735" t="s">
        <v>54</v>
      </c>
      <c r="AJ735">
        <v>5.0999999999999996</v>
      </c>
      <c r="AK735" t="s">
        <v>46</v>
      </c>
      <c r="AL735" t="s">
        <v>100</v>
      </c>
      <c r="AM735" t="s">
        <v>77</v>
      </c>
      <c r="AN735">
        <v>13</v>
      </c>
      <c r="AO735" t="s">
        <v>47</v>
      </c>
    </row>
    <row r="736" spans="1:41">
      <c r="A736" t="s">
        <v>888</v>
      </c>
      <c r="B736">
        <v>2022</v>
      </c>
      <c r="C736" s="1">
        <v>44891</v>
      </c>
      <c r="D736" t="s">
        <v>110</v>
      </c>
      <c r="E736" t="s">
        <v>225</v>
      </c>
      <c r="F736">
        <v>60</v>
      </c>
      <c r="G736" t="s">
        <v>60</v>
      </c>
      <c r="H736" t="s">
        <v>70</v>
      </c>
      <c r="I736">
        <v>0</v>
      </c>
      <c r="J736">
        <v>0</v>
      </c>
      <c r="K736" t="s">
        <v>46</v>
      </c>
      <c r="L736" t="s">
        <v>47</v>
      </c>
      <c r="M736" t="s">
        <v>47</v>
      </c>
      <c r="N736" t="s">
        <v>48</v>
      </c>
      <c r="O736" t="s">
        <v>48</v>
      </c>
      <c r="P736">
        <v>26.8</v>
      </c>
      <c r="Q736" t="s">
        <v>48</v>
      </c>
      <c r="R736" t="s">
        <v>47</v>
      </c>
      <c r="S736" t="s">
        <v>47</v>
      </c>
      <c r="T736" t="s">
        <v>47</v>
      </c>
      <c r="U736" t="s">
        <v>46</v>
      </c>
      <c r="V736" t="s">
        <v>51</v>
      </c>
      <c r="W736" t="s">
        <v>47</v>
      </c>
      <c r="X736" t="s">
        <v>46</v>
      </c>
      <c r="Y736" t="s">
        <v>47</v>
      </c>
      <c r="Z736" t="s">
        <v>47</v>
      </c>
      <c r="AA736" t="s">
        <v>46</v>
      </c>
      <c r="AB736" t="s">
        <v>47</v>
      </c>
      <c r="AC736" t="s">
        <v>46</v>
      </c>
      <c r="AD736" t="s">
        <v>46</v>
      </c>
      <c r="AE736" t="s">
        <v>46</v>
      </c>
      <c r="AF736" t="s">
        <v>47</v>
      </c>
      <c r="AG736" t="s">
        <v>52</v>
      </c>
      <c r="AH736" t="s">
        <v>53</v>
      </c>
      <c r="AI736" t="s">
        <v>65</v>
      </c>
      <c r="AJ736">
        <v>1.3</v>
      </c>
      <c r="AK736" t="s">
        <v>47</v>
      </c>
      <c r="AL736" t="s">
        <v>66</v>
      </c>
      <c r="AM736" t="s">
        <v>73</v>
      </c>
      <c r="AN736">
        <v>48</v>
      </c>
      <c r="AO736" t="s">
        <v>47</v>
      </c>
    </row>
    <row r="737" spans="1:41">
      <c r="A737" t="s">
        <v>889</v>
      </c>
      <c r="B737">
        <v>2024</v>
      </c>
      <c r="C737" s="1">
        <v>45296</v>
      </c>
      <c r="D737" t="s">
        <v>84</v>
      </c>
      <c r="E737" t="s">
        <v>85</v>
      </c>
      <c r="F737">
        <v>41</v>
      </c>
      <c r="G737" t="s">
        <v>60</v>
      </c>
      <c r="H737" t="s">
        <v>45</v>
      </c>
      <c r="I737">
        <v>42</v>
      </c>
      <c r="J737">
        <v>19</v>
      </c>
      <c r="K737" t="s">
        <v>47</v>
      </c>
      <c r="L737" t="s">
        <v>47</v>
      </c>
      <c r="M737" t="s">
        <v>46</v>
      </c>
      <c r="N737" t="s">
        <v>48</v>
      </c>
      <c r="O737" t="s">
        <v>49</v>
      </c>
      <c r="P737">
        <v>29.9</v>
      </c>
      <c r="Q737" t="s">
        <v>62</v>
      </c>
      <c r="R737" t="s">
        <v>47</v>
      </c>
      <c r="S737" t="s">
        <v>47</v>
      </c>
      <c r="T737" t="s">
        <v>47</v>
      </c>
      <c r="U737" t="s">
        <v>47</v>
      </c>
      <c r="V737" t="s">
        <v>51</v>
      </c>
      <c r="W737" t="s">
        <v>47</v>
      </c>
      <c r="X737" t="s">
        <v>46</v>
      </c>
      <c r="Y737" t="s">
        <v>46</v>
      </c>
      <c r="Z737" t="s">
        <v>46</v>
      </c>
      <c r="AA737" t="s">
        <v>46</v>
      </c>
      <c r="AB737" t="s">
        <v>47</v>
      </c>
      <c r="AC737" t="s">
        <v>46</v>
      </c>
      <c r="AD737" t="s">
        <v>47</v>
      </c>
      <c r="AE737" t="s">
        <v>47</v>
      </c>
      <c r="AF737" t="s">
        <v>47</v>
      </c>
      <c r="AG737" t="s">
        <v>52</v>
      </c>
      <c r="AH737" t="s">
        <v>71</v>
      </c>
      <c r="AI737" t="s">
        <v>54</v>
      </c>
      <c r="AJ737">
        <v>11.7</v>
      </c>
      <c r="AK737" t="s">
        <v>46</v>
      </c>
      <c r="AL737" t="s">
        <v>100</v>
      </c>
      <c r="AM737" t="s">
        <v>82</v>
      </c>
      <c r="AN737">
        <v>9</v>
      </c>
      <c r="AO737" t="s">
        <v>47</v>
      </c>
    </row>
    <row r="738" spans="1:41">
      <c r="A738" t="s">
        <v>890</v>
      </c>
      <c r="B738">
        <v>2024</v>
      </c>
      <c r="C738" s="1">
        <v>45407</v>
      </c>
      <c r="D738" t="s">
        <v>95</v>
      </c>
      <c r="E738" t="s">
        <v>107</v>
      </c>
      <c r="F738">
        <v>66</v>
      </c>
      <c r="G738" t="s">
        <v>60</v>
      </c>
      <c r="H738" t="s">
        <v>70</v>
      </c>
      <c r="I738">
        <v>0</v>
      </c>
      <c r="J738">
        <v>0</v>
      </c>
      <c r="K738" t="s">
        <v>46</v>
      </c>
      <c r="L738" t="s">
        <v>47</v>
      </c>
      <c r="M738" t="s">
        <v>47</v>
      </c>
      <c r="N738" t="s">
        <v>62</v>
      </c>
      <c r="O738" t="s">
        <v>63</v>
      </c>
      <c r="P738">
        <v>25</v>
      </c>
      <c r="Q738" t="s">
        <v>48</v>
      </c>
      <c r="R738" t="s">
        <v>47</v>
      </c>
      <c r="S738" t="s">
        <v>47</v>
      </c>
      <c r="T738" t="s">
        <v>47</v>
      </c>
      <c r="U738" t="s">
        <v>47</v>
      </c>
      <c r="V738" t="s">
        <v>64</v>
      </c>
      <c r="W738" t="s">
        <v>47</v>
      </c>
      <c r="X738" t="s">
        <v>47</v>
      </c>
      <c r="Y738" t="s">
        <v>46</v>
      </c>
      <c r="Z738" t="s">
        <v>46</v>
      </c>
      <c r="AA738" t="s">
        <v>47</v>
      </c>
      <c r="AB738" t="s">
        <v>47</v>
      </c>
      <c r="AC738" t="s">
        <v>47</v>
      </c>
      <c r="AD738" t="s">
        <v>47</v>
      </c>
      <c r="AE738" t="s">
        <v>47</v>
      </c>
      <c r="AF738" t="s">
        <v>47</v>
      </c>
      <c r="AG738" t="s">
        <v>52</v>
      </c>
      <c r="AH738" t="s">
        <v>71</v>
      </c>
      <c r="AI738" t="s">
        <v>65</v>
      </c>
      <c r="AJ738">
        <v>1.1000000000000001</v>
      </c>
      <c r="AK738" t="s">
        <v>47</v>
      </c>
      <c r="AL738" t="s">
        <v>72</v>
      </c>
      <c r="AM738" t="s">
        <v>73</v>
      </c>
      <c r="AN738">
        <v>39</v>
      </c>
      <c r="AO738" t="s">
        <v>46</v>
      </c>
    </row>
    <row r="739" spans="1:41">
      <c r="A739" t="s">
        <v>891</v>
      </c>
      <c r="B739">
        <v>2015</v>
      </c>
      <c r="C739" s="1">
        <v>42168</v>
      </c>
      <c r="D739" t="s">
        <v>95</v>
      </c>
      <c r="E739" t="s">
        <v>255</v>
      </c>
      <c r="F739">
        <v>60</v>
      </c>
      <c r="G739" t="s">
        <v>44</v>
      </c>
      <c r="H739" t="s">
        <v>70</v>
      </c>
      <c r="I739">
        <v>0</v>
      </c>
      <c r="J739">
        <v>0</v>
      </c>
      <c r="K739" t="s">
        <v>47</v>
      </c>
      <c r="L739" t="s">
        <v>47</v>
      </c>
      <c r="M739" t="s">
        <v>46</v>
      </c>
      <c r="N739" t="s">
        <v>48</v>
      </c>
      <c r="O739" t="s">
        <v>48</v>
      </c>
      <c r="P739">
        <v>27.6</v>
      </c>
      <c r="Q739" t="s">
        <v>62</v>
      </c>
      <c r="R739" t="s">
        <v>47</v>
      </c>
      <c r="S739" t="s">
        <v>47</v>
      </c>
      <c r="T739" t="s">
        <v>47</v>
      </c>
      <c r="U739" t="s">
        <v>47</v>
      </c>
      <c r="V739" t="s">
        <v>51</v>
      </c>
      <c r="W739" t="s">
        <v>47</v>
      </c>
      <c r="X739" t="s">
        <v>46</v>
      </c>
      <c r="Y739" t="s">
        <v>46</v>
      </c>
      <c r="Z739" t="s">
        <v>47</v>
      </c>
      <c r="AA739" t="s">
        <v>46</v>
      </c>
      <c r="AB739" t="s">
        <v>46</v>
      </c>
      <c r="AC739" t="s">
        <v>47</v>
      </c>
      <c r="AD739" t="s">
        <v>47</v>
      </c>
      <c r="AE739" t="s">
        <v>47</v>
      </c>
      <c r="AF739" t="s">
        <v>47</v>
      </c>
      <c r="AG739" t="s">
        <v>52</v>
      </c>
      <c r="AH739" t="s">
        <v>53</v>
      </c>
      <c r="AI739" t="s">
        <v>80</v>
      </c>
      <c r="AJ739">
        <v>6.5</v>
      </c>
      <c r="AK739" t="s">
        <v>46</v>
      </c>
      <c r="AL739" t="s">
        <v>76</v>
      </c>
      <c r="AM739" t="s">
        <v>118</v>
      </c>
      <c r="AN739">
        <v>16</v>
      </c>
      <c r="AO739" t="s">
        <v>47</v>
      </c>
    </row>
    <row r="740" spans="1:41">
      <c r="A740" t="s">
        <v>892</v>
      </c>
      <c r="B740">
        <v>2023</v>
      </c>
      <c r="C740" s="1">
        <v>44946</v>
      </c>
      <c r="D740" t="s">
        <v>98</v>
      </c>
      <c r="E740" t="s">
        <v>465</v>
      </c>
      <c r="F740">
        <v>73</v>
      </c>
      <c r="G740" t="s">
        <v>60</v>
      </c>
      <c r="H740" t="s">
        <v>70</v>
      </c>
      <c r="I740">
        <v>0</v>
      </c>
      <c r="J740">
        <v>0</v>
      </c>
      <c r="K740" t="s">
        <v>46</v>
      </c>
      <c r="L740" t="s">
        <v>47</v>
      </c>
      <c r="M740" t="s">
        <v>47</v>
      </c>
      <c r="N740" t="s">
        <v>62</v>
      </c>
      <c r="O740" t="s">
        <v>63</v>
      </c>
      <c r="P740">
        <v>30.5</v>
      </c>
      <c r="Q740" t="s">
        <v>62</v>
      </c>
      <c r="R740" t="s">
        <v>47</v>
      </c>
      <c r="S740" t="s">
        <v>47</v>
      </c>
      <c r="T740" t="s">
        <v>47</v>
      </c>
      <c r="U740" t="s">
        <v>47</v>
      </c>
      <c r="V740" t="s">
        <v>51</v>
      </c>
      <c r="W740" t="s">
        <v>47</v>
      </c>
      <c r="X740" t="s">
        <v>47</v>
      </c>
      <c r="Y740" t="s">
        <v>47</v>
      </c>
      <c r="Z740" t="s">
        <v>46</v>
      </c>
      <c r="AA740" t="s">
        <v>46</v>
      </c>
      <c r="AB740" t="s">
        <v>47</v>
      </c>
      <c r="AC740" t="s">
        <v>47</v>
      </c>
      <c r="AD740" t="s">
        <v>47</v>
      </c>
      <c r="AE740" t="s">
        <v>46</v>
      </c>
      <c r="AF740" t="s">
        <v>47</v>
      </c>
      <c r="AG740" t="s">
        <v>52</v>
      </c>
      <c r="AH740" t="s">
        <v>90</v>
      </c>
      <c r="AI740" t="s">
        <v>54</v>
      </c>
      <c r="AJ740">
        <v>7.1</v>
      </c>
      <c r="AK740" t="s">
        <v>46</v>
      </c>
      <c r="AL740" t="s">
        <v>100</v>
      </c>
      <c r="AM740" t="s">
        <v>103</v>
      </c>
      <c r="AN740">
        <v>1</v>
      </c>
      <c r="AO740" t="s">
        <v>47</v>
      </c>
    </row>
    <row r="741" spans="1:41">
      <c r="A741" t="s">
        <v>893</v>
      </c>
      <c r="B741">
        <v>2018</v>
      </c>
      <c r="C741" s="1">
        <v>43419</v>
      </c>
      <c r="D741" t="s">
        <v>84</v>
      </c>
      <c r="E741" t="s">
        <v>189</v>
      </c>
      <c r="F741">
        <v>51</v>
      </c>
      <c r="G741" t="s">
        <v>44</v>
      </c>
      <c r="H741" t="s">
        <v>70</v>
      </c>
      <c r="I741">
        <v>0</v>
      </c>
      <c r="J741">
        <v>0</v>
      </c>
      <c r="K741" t="s">
        <v>46</v>
      </c>
      <c r="L741" t="s">
        <v>47</v>
      </c>
      <c r="M741" t="s">
        <v>46</v>
      </c>
      <c r="N741" t="s">
        <v>48</v>
      </c>
      <c r="O741" t="s">
        <v>48</v>
      </c>
      <c r="P741">
        <v>30</v>
      </c>
      <c r="Q741" t="s">
        <v>62</v>
      </c>
      <c r="R741" t="s">
        <v>46</v>
      </c>
      <c r="S741" t="s">
        <v>47</v>
      </c>
      <c r="T741" t="s">
        <v>47</v>
      </c>
      <c r="U741" t="s">
        <v>47</v>
      </c>
      <c r="V741" t="s">
        <v>117</v>
      </c>
      <c r="W741" t="s">
        <v>46</v>
      </c>
      <c r="X741" t="s">
        <v>47</v>
      </c>
      <c r="Y741" t="s">
        <v>47</v>
      </c>
      <c r="Z741" t="s">
        <v>47</v>
      </c>
      <c r="AA741" t="s">
        <v>47</v>
      </c>
      <c r="AB741" t="s">
        <v>46</v>
      </c>
      <c r="AC741" t="s">
        <v>47</v>
      </c>
      <c r="AD741" t="s">
        <v>46</v>
      </c>
      <c r="AE741" t="s">
        <v>47</v>
      </c>
      <c r="AF741" t="s">
        <v>46</v>
      </c>
      <c r="AG741" t="s">
        <v>52</v>
      </c>
      <c r="AH741" t="s">
        <v>53</v>
      </c>
      <c r="AI741" t="s">
        <v>54</v>
      </c>
      <c r="AJ741">
        <v>9.3000000000000007</v>
      </c>
      <c r="AK741" t="s">
        <v>46</v>
      </c>
      <c r="AL741" t="s">
        <v>81</v>
      </c>
      <c r="AM741" t="s">
        <v>82</v>
      </c>
      <c r="AN741">
        <v>17</v>
      </c>
      <c r="AO741" t="s">
        <v>47</v>
      </c>
    </row>
    <row r="742" spans="1:41">
      <c r="A742" t="s">
        <v>894</v>
      </c>
      <c r="B742">
        <v>2023</v>
      </c>
      <c r="C742" s="1">
        <v>45092</v>
      </c>
      <c r="D742" t="s">
        <v>95</v>
      </c>
      <c r="E742" t="s">
        <v>120</v>
      </c>
      <c r="F742">
        <v>52</v>
      </c>
      <c r="G742" t="s">
        <v>44</v>
      </c>
      <c r="H742" t="s">
        <v>61</v>
      </c>
      <c r="I742">
        <v>18</v>
      </c>
      <c r="J742">
        <v>18</v>
      </c>
      <c r="K742" t="s">
        <v>47</v>
      </c>
      <c r="L742" t="s">
        <v>47</v>
      </c>
      <c r="M742" t="s">
        <v>46</v>
      </c>
      <c r="N742" t="s">
        <v>48</v>
      </c>
      <c r="O742" t="s">
        <v>49</v>
      </c>
      <c r="P742">
        <v>28.3</v>
      </c>
      <c r="Q742" t="s">
        <v>62</v>
      </c>
      <c r="R742" t="s">
        <v>46</v>
      </c>
      <c r="S742" t="s">
        <v>47</v>
      </c>
      <c r="T742" t="s">
        <v>47</v>
      </c>
      <c r="U742" t="s">
        <v>47</v>
      </c>
      <c r="V742" t="s">
        <v>51</v>
      </c>
      <c r="W742" t="s">
        <v>46</v>
      </c>
      <c r="X742" t="s">
        <v>47</v>
      </c>
      <c r="Y742" t="s">
        <v>47</v>
      </c>
      <c r="Z742" t="s">
        <v>46</v>
      </c>
      <c r="AA742" t="s">
        <v>47</v>
      </c>
      <c r="AB742" t="s">
        <v>46</v>
      </c>
      <c r="AC742" t="s">
        <v>46</v>
      </c>
      <c r="AD742" t="s">
        <v>47</v>
      </c>
      <c r="AE742" t="s">
        <v>47</v>
      </c>
      <c r="AF742" t="s">
        <v>47</v>
      </c>
      <c r="AG742" t="s">
        <v>52</v>
      </c>
      <c r="AH742" t="s">
        <v>90</v>
      </c>
      <c r="AI742" t="s">
        <v>54</v>
      </c>
      <c r="AJ742">
        <v>6.8</v>
      </c>
      <c r="AK742" t="s">
        <v>46</v>
      </c>
      <c r="AL742" t="s">
        <v>76</v>
      </c>
      <c r="AM742" t="s">
        <v>82</v>
      </c>
      <c r="AN742">
        <v>7</v>
      </c>
      <c r="AO742" t="s">
        <v>47</v>
      </c>
    </row>
    <row r="743" spans="1:41">
      <c r="A743" t="s">
        <v>895</v>
      </c>
      <c r="B743">
        <v>2021</v>
      </c>
      <c r="C743" s="1">
        <v>44474</v>
      </c>
      <c r="D743" t="s">
        <v>58</v>
      </c>
      <c r="E743" t="s">
        <v>220</v>
      </c>
      <c r="F743">
        <v>64</v>
      </c>
      <c r="G743" t="s">
        <v>44</v>
      </c>
      <c r="H743" t="s">
        <v>70</v>
      </c>
      <c r="I743">
        <v>0</v>
      </c>
      <c r="J743">
        <v>0</v>
      </c>
      <c r="K743" t="s">
        <v>46</v>
      </c>
      <c r="L743" t="s">
        <v>46</v>
      </c>
      <c r="M743" t="s">
        <v>47</v>
      </c>
      <c r="N743" t="s">
        <v>48</v>
      </c>
      <c r="O743" t="s">
        <v>49</v>
      </c>
      <c r="P743">
        <v>19.7</v>
      </c>
      <c r="Q743" t="s">
        <v>50</v>
      </c>
      <c r="R743" t="s">
        <v>47</v>
      </c>
      <c r="S743" t="s">
        <v>47</v>
      </c>
      <c r="T743" t="s">
        <v>47</v>
      </c>
      <c r="U743" t="s">
        <v>47</v>
      </c>
      <c r="V743" t="s">
        <v>51</v>
      </c>
      <c r="W743" t="s">
        <v>47</v>
      </c>
      <c r="X743" t="s">
        <v>47</v>
      </c>
      <c r="Y743" t="s">
        <v>47</v>
      </c>
      <c r="Z743" t="s">
        <v>47</v>
      </c>
      <c r="AA743" t="s">
        <v>47</v>
      </c>
      <c r="AB743" t="s">
        <v>46</v>
      </c>
      <c r="AC743" t="s">
        <v>47</v>
      </c>
      <c r="AD743" t="s">
        <v>47</v>
      </c>
      <c r="AE743" t="s">
        <v>47</v>
      </c>
      <c r="AF743" t="s">
        <v>47</v>
      </c>
      <c r="AG743" t="s">
        <v>121</v>
      </c>
      <c r="AH743" t="s">
        <v>122</v>
      </c>
      <c r="AI743" t="s">
        <v>80</v>
      </c>
      <c r="AJ743">
        <v>4.7</v>
      </c>
      <c r="AK743" t="s">
        <v>47</v>
      </c>
      <c r="AL743" t="s">
        <v>100</v>
      </c>
      <c r="AM743" t="s">
        <v>118</v>
      </c>
      <c r="AN743">
        <v>10</v>
      </c>
      <c r="AO743" t="s">
        <v>47</v>
      </c>
    </row>
    <row r="744" spans="1:41">
      <c r="A744" t="s">
        <v>896</v>
      </c>
      <c r="B744">
        <v>2024</v>
      </c>
      <c r="C744" s="1">
        <v>45456</v>
      </c>
      <c r="D744" t="s">
        <v>95</v>
      </c>
      <c r="E744" t="s">
        <v>107</v>
      </c>
      <c r="F744">
        <v>65</v>
      </c>
      <c r="G744" t="s">
        <v>44</v>
      </c>
      <c r="H744" t="s">
        <v>61</v>
      </c>
      <c r="I744">
        <v>3</v>
      </c>
      <c r="J744">
        <v>22</v>
      </c>
      <c r="K744" t="s">
        <v>46</v>
      </c>
      <c r="L744" t="s">
        <v>47</v>
      </c>
      <c r="M744" t="s">
        <v>47</v>
      </c>
      <c r="N744" t="s">
        <v>50</v>
      </c>
      <c r="O744" t="s">
        <v>49</v>
      </c>
      <c r="P744">
        <v>25.2</v>
      </c>
      <c r="Q744" t="s">
        <v>48</v>
      </c>
      <c r="R744" t="s">
        <v>46</v>
      </c>
      <c r="S744" t="s">
        <v>47</v>
      </c>
      <c r="T744" t="s">
        <v>47</v>
      </c>
      <c r="U744" t="s">
        <v>47</v>
      </c>
      <c r="V744" t="s">
        <v>151</v>
      </c>
      <c r="W744" t="s">
        <v>46</v>
      </c>
      <c r="X744" t="s">
        <v>47</v>
      </c>
      <c r="Y744" t="s">
        <v>46</v>
      </c>
      <c r="Z744" t="s">
        <v>46</v>
      </c>
      <c r="AA744" t="s">
        <v>46</v>
      </c>
      <c r="AB744" t="s">
        <v>47</v>
      </c>
      <c r="AC744" t="s">
        <v>47</v>
      </c>
      <c r="AD744" t="s">
        <v>47</v>
      </c>
      <c r="AE744" t="s">
        <v>47</v>
      </c>
      <c r="AF744" t="s">
        <v>47</v>
      </c>
      <c r="AG744" t="s">
        <v>52</v>
      </c>
      <c r="AH744" t="s">
        <v>71</v>
      </c>
      <c r="AI744" t="s">
        <v>54</v>
      </c>
      <c r="AJ744">
        <v>8.5</v>
      </c>
      <c r="AK744" t="s">
        <v>46</v>
      </c>
      <c r="AL744" t="s">
        <v>100</v>
      </c>
      <c r="AM744" t="s">
        <v>82</v>
      </c>
      <c r="AN744">
        <v>6</v>
      </c>
      <c r="AO744" t="s">
        <v>47</v>
      </c>
    </row>
    <row r="745" spans="1:41">
      <c r="A745" t="s">
        <v>897</v>
      </c>
      <c r="B745">
        <v>2025</v>
      </c>
      <c r="C745" s="1">
        <v>45970</v>
      </c>
      <c r="D745" t="s">
        <v>42</v>
      </c>
      <c r="E745" t="s">
        <v>160</v>
      </c>
      <c r="F745">
        <v>51</v>
      </c>
      <c r="G745" t="s">
        <v>60</v>
      </c>
      <c r="H745" t="s">
        <v>70</v>
      </c>
      <c r="I745">
        <v>0</v>
      </c>
      <c r="J745">
        <v>0</v>
      </c>
      <c r="K745" t="s">
        <v>47</v>
      </c>
      <c r="L745" t="s">
        <v>47</v>
      </c>
      <c r="M745" t="s">
        <v>47</v>
      </c>
      <c r="N745" t="s">
        <v>50</v>
      </c>
      <c r="O745" t="s">
        <v>48</v>
      </c>
      <c r="P745">
        <v>21.1</v>
      </c>
      <c r="Q745" t="s">
        <v>50</v>
      </c>
      <c r="R745" t="s">
        <v>47</v>
      </c>
      <c r="S745" t="s">
        <v>47</v>
      </c>
      <c r="T745" t="s">
        <v>47</v>
      </c>
      <c r="U745" t="s">
        <v>47</v>
      </c>
      <c r="V745" t="s">
        <v>86</v>
      </c>
      <c r="W745" t="s">
        <v>47</v>
      </c>
      <c r="X745" t="s">
        <v>47</v>
      </c>
      <c r="Y745" t="s">
        <v>47</v>
      </c>
      <c r="Z745" t="s">
        <v>47</v>
      </c>
      <c r="AA745" t="s">
        <v>46</v>
      </c>
      <c r="AB745" t="s">
        <v>47</v>
      </c>
      <c r="AC745" t="s">
        <v>46</v>
      </c>
      <c r="AD745" t="s">
        <v>46</v>
      </c>
      <c r="AE745" t="s">
        <v>47</v>
      </c>
      <c r="AF745" t="s">
        <v>47</v>
      </c>
      <c r="AG745" t="s">
        <v>52</v>
      </c>
      <c r="AH745" t="s">
        <v>53</v>
      </c>
      <c r="AI745" t="s">
        <v>87</v>
      </c>
      <c r="AJ745">
        <v>4.4000000000000004</v>
      </c>
      <c r="AK745" t="s">
        <v>47</v>
      </c>
      <c r="AL745" t="s">
        <v>81</v>
      </c>
      <c r="AM745" t="s">
        <v>67</v>
      </c>
      <c r="AN745">
        <v>52</v>
      </c>
      <c r="AO745" t="s">
        <v>46</v>
      </c>
    </row>
    <row r="746" spans="1:41">
      <c r="A746" t="s">
        <v>898</v>
      </c>
      <c r="B746">
        <v>2019</v>
      </c>
      <c r="C746" s="1">
        <v>43497</v>
      </c>
      <c r="D746" t="s">
        <v>58</v>
      </c>
      <c r="E746" t="s">
        <v>142</v>
      </c>
      <c r="F746">
        <v>69</v>
      </c>
      <c r="G746" t="s">
        <v>60</v>
      </c>
      <c r="H746" t="s">
        <v>45</v>
      </c>
      <c r="I746">
        <v>19</v>
      </c>
      <c r="J746">
        <v>31</v>
      </c>
      <c r="K746" t="s">
        <v>47</v>
      </c>
      <c r="L746" t="s">
        <v>47</v>
      </c>
      <c r="M746" t="s">
        <v>47</v>
      </c>
      <c r="N746" t="s">
        <v>62</v>
      </c>
      <c r="O746" t="s">
        <v>63</v>
      </c>
      <c r="P746">
        <v>22.8</v>
      </c>
      <c r="Q746" t="s">
        <v>48</v>
      </c>
      <c r="R746" t="s">
        <v>47</v>
      </c>
      <c r="S746" t="s">
        <v>47</v>
      </c>
      <c r="T746" t="s">
        <v>46</v>
      </c>
      <c r="U746" t="s">
        <v>47</v>
      </c>
      <c r="V746" t="s">
        <v>86</v>
      </c>
      <c r="W746" t="s">
        <v>47</v>
      </c>
      <c r="X746" t="s">
        <v>46</v>
      </c>
      <c r="Y746" t="s">
        <v>47</v>
      </c>
      <c r="Z746" t="s">
        <v>46</v>
      </c>
      <c r="AA746" t="s">
        <v>47</v>
      </c>
      <c r="AB746" t="s">
        <v>46</v>
      </c>
      <c r="AC746" t="s">
        <v>47</v>
      </c>
      <c r="AD746" t="s">
        <v>46</v>
      </c>
      <c r="AE746" t="s">
        <v>47</v>
      </c>
      <c r="AF746" t="s">
        <v>47</v>
      </c>
      <c r="AG746" t="s">
        <v>52</v>
      </c>
      <c r="AH746" t="s">
        <v>53</v>
      </c>
      <c r="AI746" t="s">
        <v>87</v>
      </c>
      <c r="AJ746">
        <v>2.6</v>
      </c>
      <c r="AK746" t="s">
        <v>47</v>
      </c>
      <c r="AL746" t="s">
        <v>156</v>
      </c>
      <c r="AM746" t="s">
        <v>67</v>
      </c>
      <c r="AN746">
        <v>38</v>
      </c>
      <c r="AO746" t="s">
        <v>46</v>
      </c>
    </row>
    <row r="747" spans="1:41">
      <c r="A747" t="s">
        <v>899</v>
      </c>
      <c r="B747">
        <v>2022</v>
      </c>
      <c r="C747" s="1">
        <v>44790</v>
      </c>
      <c r="D747" t="s">
        <v>95</v>
      </c>
      <c r="E747" t="s">
        <v>145</v>
      </c>
      <c r="F747">
        <v>40</v>
      </c>
      <c r="G747" t="s">
        <v>60</v>
      </c>
      <c r="H747" t="s">
        <v>70</v>
      </c>
      <c r="I747">
        <v>0</v>
      </c>
      <c r="J747">
        <v>0</v>
      </c>
      <c r="K747" t="s">
        <v>46</v>
      </c>
      <c r="L747" t="s">
        <v>47</v>
      </c>
      <c r="M747" t="s">
        <v>47</v>
      </c>
      <c r="N747" t="s">
        <v>48</v>
      </c>
      <c r="O747" t="s">
        <v>49</v>
      </c>
      <c r="P747">
        <v>29.3</v>
      </c>
      <c r="Q747" t="s">
        <v>50</v>
      </c>
      <c r="R747" t="s">
        <v>47</v>
      </c>
      <c r="S747" t="s">
        <v>47</v>
      </c>
      <c r="T747" t="s">
        <v>47</v>
      </c>
      <c r="U747" t="s">
        <v>47</v>
      </c>
      <c r="V747" t="s">
        <v>151</v>
      </c>
      <c r="W747" t="s">
        <v>47</v>
      </c>
      <c r="X747" t="s">
        <v>46</v>
      </c>
      <c r="Y747" t="s">
        <v>47</v>
      </c>
      <c r="Z747" t="s">
        <v>47</v>
      </c>
      <c r="AA747" t="s">
        <v>47</v>
      </c>
      <c r="AB747" t="s">
        <v>47</v>
      </c>
      <c r="AC747" t="s">
        <v>47</v>
      </c>
      <c r="AD747" t="s">
        <v>47</v>
      </c>
      <c r="AE747" t="s">
        <v>47</v>
      </c>
      <c r="AF747" t="s">
        <v>47</v>
      </c>
      <c r="AG747" t="s">
        <v>52</v>
      </c>
      <c r="AH747" t="s">
        <v>53</v>
      </c>
      <c r="AI747" t="s">
        <v>80</v>
      </c>
      <c r="AJ747">
        <v>3.6</v>
      </c>
      <c r="AK747" t="s">
        <v>47</v>
      </c>
      <c r="AL747" t="s">
        <v>76</v>
      </c>
      <c r="AM747" t="s">
        <v>56</v>
      </c>
      <c r="AN747">
        <v>8</v>
      </c>
      <c r="AO747" t="s">
        <v>47</v>
      </c>
    </row>
    <row r="748" spans="1:41">
      <c r="A748" t="s">
        <v>900</v>
      </c>
      <c r="B748">
        <v>2020</v>
      </c>
      <c r="C748" s="1">
        <v>44078</v>
      </c>
      <c r="D748" t="s">
        <v>58</v>
      </c>
      <c r="E748" t="s">
        <v>134</v>
      </c>
      <c r="F748">
        <v>59</v>
      </c>
      <c r="G748" t="s">
        <v>60</v>
      </c>
      <c r="H748" t="s">
        <v>45</v>
      </c>
      <c r="I748">
        <v>22</v>
      </c>
      <c r="J748">
        <v>26</v>
      </c>
      <c r="K748" t="s">
        <v>47</v>
      </c>
      <c r="L748" t="s">
        <v>46</v>
      </c>
      <c r="M748" t="s">
        <v>47</v>
      </c>
      <c r="N748" t="s">
        <v>50</v>
      </c>
      <c r="O748" t="s">
        <v>63</v>
      </c>
      <c r="P748">
        <v>25</v>
      </c>
      <c r="Q748" t="s">
        <v>48</v>
      </c>
      <c r="R748" t="s">
        <v>46</v>
      </c>
      <c r="S748" t="s">
        <v>47</v>
      </c>
      <c r="T748" t="s">
        <v>47</v>
      </c>
      <c r="U748" t="s">
        <v>47</v>
      </c>
      <c r="V748" t="s">
        <v>64</v>
      </c>
      <c r="W748" t="s">
        <v>46</v>
      </c>
      <c r="X748" t="s">
        <v>46</v>
      </c>
      <c r="Y748" t="s">
        <v>46</v>
      </c>
      <c r="Z748" t="s">
        <v>46</v>
      </c>
      <c r="AA748" t="s">
        <v>47</v>
      </c>
      <c r="AB748" t="s">
        <v>46</v>
      </c>
      <c r="AC748" t="s">
        <v>46</v>
      </c>
      <c r="AD748" t="s">
        <v>47</v>
      </c>
      <c r="AE748" t="s">
        <v>47</v>
      </c>
      <c r="AF748" t="s">
        <v>47</v>
      </c>
      <c r="AG748" t="s">
        <v>52</v>
      </c>
      <c r="AH748" t="s">
        <v>71</v>
      </c>
      <c r="AI748" t="s">
        <v>87</v>
      </c>
      <c r="AJ748">
        <v>3.5</v>
      </c>
      <c r="AK748" t="s">
        <v>47</v>
      </c>
      <c r="AL748" t="s">
        <v>66</v>
      </c>
      <c r="AM748" t="s">
        <v>82</v>
      </c>
      <c r="AN748">
        <v>24</v>
      </c>
      <c r="AO748" t="s">
        <v>47</v>
      </c>
    </row>
    <row r="749" spans="1:41">
      <c r="A749" t="s">
        <v>901</v>
      </c>
      <c r="B749">
        <v>2018</v>
      </c>
      <c r="C749" s="1">
        <v>43243</v>
      </c>
      <c r="D749" t="s">
        <v>84</v>
      </c>
      <c r="E749" t="s">
        <v>571</v>
      </c>
      <c r="F749">
        <v>51</v>
      </c>
      <c r="G749" t="s">
        <v>44</v>
      </c>
      <c r="H749" t="s">
        <v>45</v>
      </c>
      <c r="I749">
        <v>19</v>
      </c>
      <c r="J749">
        <v>29</v>
      </c>
      <c r="K749" t="s">
        <v>47</v>
      </c>
      <c r="L749" t="s">
        <v>46</v>
      </c>
      <c r="M749" t="s">
        <v>46</v>
      </c>
      <c r="N749" t="s">
        <v>48</v>
      </c>
      <c r="O749" t="s">
        <v>48</v>
      </c>
      <c r="P749">
        <v>25.7</v>
      </c>
      <c r="Q749" t="s">
        <v>48</v>
      </c>
      <c r="R749" t="s">
        <v>47</v>
      </c>
      <c r="S749" t="s">
        <v>47</v>
      </c>
      <c r="T749" t="s">
        <v>47</v>
      </c>
      <c r="U749" t="s">
        <v>47</v>
      </c>
      <c r="V749" t="s">
        <v>51</v>
      </c>
      <c r="W749" t="s">
        <v>46</v>
      </c>
      <c r="X749" t="s">
        <v>46</v>
      </c>
      <c r="Y749" t="s">
        <v>46</v>
      </c>
      <c r="Z749" t="s">
        <v>47</v>
      </c>
      <c r="AA749" t="s">
        <v>46</v>
      </c>
      <c r="AB749" t="s">
        <v>47</v>
      </c>
      <c r="AC749" t="s">
        <v>47</v>
      </c>
      <c r="AD749" t="s">
        <v>47</v>
      </c>
      <c r="AE749" t="s">
        <v>47</v>
      </c>
      <c r="AF749" t="s">
        <v>46</v>
      </c>
      <c r="AG749" t="s">
        <v>121</v>
      </c>
      <c r="AH749" t="s">
        <v>122</v>
      </c>
      <c r="AI749" t="s">
        <v>87</v>
      </c>
      <c r="AJ749">
        <v>4</v>
      </c>
      <c r="AK749" t="s">
        <v>47</v>
      </c>
      <c r="AL749" t="s">
        <v>81</v>
      </c>
      <c r="AM749" t="s">
        <v>67</v>
      </c>
      <c r="AN749">
        <v>35</v>
      </c>
      <c r="AO749" t="s">
        <v>47</v>
      </c>
    </row>
    <row r="750" spans="1:41">
      <c r="A750" t="s">
        <v>902</v>
      </c>
      <c r="B750">
        <v>2021</v>
      </c>
      <c r="C750" s="1">
        <v>44306</v>
      </c>
      <c r="D750" t="s">
        <v>58</v>
      </c>
      <c r="E750" t="s">
        <v>134</v>
      </c>
      <c r="F750">
        <v>56</v>
      </c>
      <c r="G750" t="s">
        <v>60</v>
      </c>
      <c r="H750" t="s">
        <v>70</v>
      </c>
      <c r="I750">
        <v>0</v>
      </c>
      <c r="J750">
        <v>0</v>
      </c>
      <c r="K750" t="s">
        <v>46</v>
      </c>
      <c r="L750" t="s">
        <v>46</v>
      </c>
      <c r="M750" t="s">
        <v>47</v>
      </c>
      <c r="N750" t="s">
        <v>48</v>
      </c>
      <c r="O750" t="s">
        <v>48</v>
      </c>
      <c r="P750">
        <v>27.1</v>
      </c>
      <c r="Q750" t="s">
        <v>50</v>
      </c>
      <c r="R750" t="s">
        <v>47</v>
      </c>
      <c r="S750" t="s">
        <v>47</v>
      </c>
      <c r="T750" t="s">
        <v>47</v>
      </c>
      <c r="U750" t="s">
        <v>47</v>
      </c>
      <c r="V750" t="s">
        <v>117</v>
      </c>
      <c r="W750" t="s">
        <v>47</v>
      </c>
      <c r="X750" t="s">
        <v>46</v>
      </c>
      <c r="Y750" t="s">
        <v>47</v>
      </c>
      <c r="Z750" t="s">
        <v>46</v>
      </c>
      <c r="AA750" t="s">
        <v>47</v>
      </c>
      <c r="AB750" t="s">
        <v>47</v>
      </c>
      <c r="AC750" t="s">
        <v>47</v>
      </c>
      <c r="AD750" t="s">
        <v>46</v>
      </c>
      <c r="AE750" t="s">
        <v>47</v>
      </c>
      <c r="AF750" t="s">
        <v>47</v>
      </c>
      <c r="AG750" t="s">
        <v>121</v>
      </c>
      <c r="AH750" t="s">
        <v>122</v>
      </c>
      <c r="AI750" t="s">
        <v>54</v>
      </c>
      <c r="AJ750">
        <v>7.2</v>
      </c>
      <c r="AK750" t="s">
        <v>46</v>
      </c>
      <c r="AL750" t="s">
        <v>76</v>
      </c>
      <c r="AM750" t="s">
        <v>118</v>
      </c>
      <c r="AN750">
        <v>1</v>
      </c>
      <c r="AO750" t="s">
        <v>47</v>
      </c>
    </row>
    <row r="751" spans="1:41">
      <c r="A751" t="s">
        <v>903</v>
      </c>
      <c r="B751">
        <v>2025</v>
      </c>
      <c r="C751" s="1">
        <v>46007</v>
      </c>
      <c r="D751" t="s">
        <v>95</v>
      </c>
      <c r="E751" t="s">
        <v>132</v>
      </c>
      <c r="F751">
        <v>56</v>
      </c>
      <c r="G751" t="s">
        <v>60</v>
      </c>
      <c r="H751" t="s">
        <v>61</v>
      </c>
      <c r="I751">
        <v>8</v>
      </c>
      <c r="J751">
        <v>10</v>
      </c>
      <c r="K751" t="s">
        <v>46</v>
      </c>
      <c r="L751" t="s">
        <v>47</v>
      </c>
      <c r="M751" t="s">
        <v>46</v>
      </c>
      <c r="N751" t="s">
        <v>62</v>
      </c>
      <c r="O751" t="s">
        <v>49</v>
      </c>
      <c r="P751">
        <v>18.5</v>
      </c>
      <c r="Q751" t="s">
        <v>62</v>
      </c>
      <c r="R751" t="s">
        <v>46</v>
      </c>
      <c r="S751" t="s">
        <v>47</v>
      </c>
      <c r="T751" t="s">
        <v>47</v>
      </c>
      <c r="U751" t="s">
        <v>47</v>
      </c>
      <c r="V751" t="s">
        <v>51</v>
      </c>
      <c r="W751" t="s">
        <v>46</v>
      </c>
      <c r="X751" t="s">
        <v>46</v>
      </c>
      <c r="Y751" t="s">
        <v>47</v>
      </c>
      <c r="Z751" t="s">
        <v>46</v>
      </c>
      <c r="AA751" t="s">
        <v>46</v>
      </c>
      <c r="AB751" t="s">
        <v>46</v>
      </c>
      <c r="AC751" t="s">
        <v>47</v>
      </c>
      <c r="AD751" t="s">
        <v>47</v>
      </c>
      <c r="AE751" t="s">
        <v>46</v>
      </c>
      <c r="AF751" t="s">
        <v>47</v>
      </c>
      <c r="AG751" t="s">
        <v>52</v>
      </c>
      <c r="AH751" t="s">
        <v>53</v>
      </c>
      <c r="AI751" t="s">
        <v>87</v>
      </c>
      <c r="AJ751">
        <v>4.4000000000000004</v>
      </c>
      <c r="AK751" t="s">
        <v>47</v>
      </c>
      <c r="AL751" t="s">
        <v>100</v>
      </c>
      <c r="AM751" t="s">
        <v>67</v>
      </c>
      <c r="AN751">
        <v>37</v>
      </c>
      <c r="AO751" t="s">
        <v>46</v>
      </c>
    </row>
    <row r="752" spans="1:41">
      <c r="A752" t="s">
        <v>904</v>
      </c>
      <c r="B752">
        <v>2019</v>
      </c>
      <c r="C752" s="1">
        <v>43501</v>
      </c>
      <c r="D752" t="s">
        <v>84</v>
      </c>
      <c r="E752" t="s">
        <v>85</v>
      </c>
      <c r="F752">
        <v>72</v>
      </c>
      <c r="G752" t="s">
        <v>60</v>
      </c>
      <c r="H752" t="s">
        <v>70</v>
      </c>
      <c r="I752">
        <v>0</v>
      </c>
      <c r="J752">
        <v>0</v>
      </c>
      <c r="K752" t="s">
        <v>46</v>
      </c>
      <c r="L752" t="s">
        <v>47</v>
      </c>
      <c r="M752" t="s">
        <v>47</v>
      </c>
      <c r="N752" t="s">
        <v>50</v>
      </c>
      <c r="O752" t="s">
        <v>49</v>
      </c>
      <c r="P752">
        <v>30.3</v>
      </c>
      <c r="Q752" t="s">
        <v>48</v>
      </c>
      <c r="R752" t="s">
        <v>47</v>
      </c>
      <c r="S752" t="s">
        <v>47</v>
      </c>
      <c r="T752" t="s">
        <v>47</v>
      </c>
      <c r="U752" t="s">
        <v>47</v>
      </c>
      <c r="V752" t="s">
        <v>51</v>
      </c>
      <c r="W752" t="s">
        <v>47</v>
      </c>
      <c r="X752" t="s">
        <v>46</v>
      </c>
      <c r="Y752" t="s">
        <v>47</v>
      </c>
      <c r="Z752" t="s">
        <v>47</v>
      </c>
      <c r="AA752" t="s">
        <v>46</v>
      </c>
      <c r="AB752" t="s">
        <v>47</v>
      </c>
      <c r="AC752" t="s">
        <v>47</v>
      </c>
      <c r="AD752" t="s">
        <v>47</v>
      </c>
      <c r="AE752" t="s">
        <v>47</v>
      </c>
      <c r="AF752" t="s">
        <v>47</v>
      </c>
      <c r="AG752" t="s">
        <v>52</v>
      </c>
      <c r="AH752" t="s">
        <v>53</v>
      </c>
      <c r="AI752" t="s">
        <v>65</v>
      </c>
      <c r="AJ752">
        <v>2.2000000000000002</v>
      </c>
      <c r="AK752" t="s">
        <v>47</v>
      </c>
      <c r="AL752" t="s">
        <v>156</v>
      </c>
      <c r="AM752" t="s">
        <v>67</v>
      </c>
      <c r="AN752">
        <v>58</v>
      </c>
      <c r="AO752" t="s">
        <v>46</v>
      </c>
    </row>
    <row r="753" spans="1:41">
      <c r="A753" t="s">
        <v>905</v>
      </c>
      <c r="B753">
        <v>2022</v>
      </c>
      <c r="C753" s="1">
        <v>44779</v>
      </c>
      <c r="D753" t="s">
        <v>42</v>
      </c>
      <c r="E753" t="s">
        <v>210</v>
      </c>
      <c r="F753">
        <v>54</v>
      </c>
      <c r="G753" t="s">
        <v>60</v>
      </c>
      <c r="H753" t="s">
        <v>70</v>
      </c>
      <c r="I753">
        <v>0</v>
      </c>
      <c r="J753">
        <v>0</v>
      </c>
      <c r="K753" t="s">
        <v>47</v>
      </c>
      <c r="L753" t="s">
        <v>47</v>
      </c>
      <c r="M753" t="s">
        <v>46</v>
      </c>
      <c r="N753" t="s">
        <v>50</v>
      </c>
      <c r="O753" t="s">
        <v>48</v>
      </c>
      <c r="P753">
        <v>25</v>
      </c>
      <c r="Q753" t="s">
        <v>48</v>
      </c>
      <c r="R753" t="s">
        <v>47</v>
      </c>
      <c r="S753" t="s">
        <v>47</v>
      </c>
      <c r="T753" t="s">
        <v>47</v>
      </c>
      <c r="U753" t="s">
        <v>46</v>
      </c>
      <c r="V753" t="s">
        <v>128</v>
      </c>
      <c r="W753" t="s">
        <v>47</v>
      </c>
      <c r="X753" t="s">
        <v>47</v>
      </c>
      <c r="Y753" t="s">
        <v>47</v>
      </c>
      <c r="Z753" t="s">
        <v>47</v>
      </c>
      <c r="AA753" t="s">
        <v>46</v>
      </c>
      <c r="AB753" t="s">
        <v>47</v>
      </c>
      <c r="AC753" t="s">
        <v>46</v>
      </c>
      <c r="AD753" t="s">
        <v>47</v>
      </c>
      <c r="AE753" t="s">
        <v>47</v>
      </c>
      <c r="AF753" t="s">
        <v>47</v>
      </c>
      <c r="AG753" t="s">
        <v>52</v>
      </c>
      <c r="AH753" t="s">
        <v>53</v>
      </c>
      <c r="AI753" t="s">
        <v>54</v>
      </c>
      <c r="AJ753">
        <v>6.2</v>
      </c>
      <c r="AK753" t="s">
        <v>46</v>
      </c>
      <c r="AL753" t="s">
        <v>76</v>
      </c>
      <c r="AM753" t="s">
        <v>77</v>
      </c>
      <c r="AN753">
        <v>5</v>
      </c>
      <c r="AO753" t="s">
        <v>47</v>
      </c>
    </row>
    <row r="754" spans="1:41">
      <c r="A754" t="s">
        <v>906</v>
      </c>
      <c r="B754">
        <v>2022</v>
      </c>
      <c r="C754" s="1">
        <v>44618</v>
      </c>
      <c r="D754" t="s">
        <v>84</v>
      </c>
      <c r="E754" t="s">
        <v>189</v>
      </c>
      <c r="F754">
        <v>60</v>
      </c>
      <c r="G754" t="s">
        <v>44</v>
      </c>
      <c r="H754" t="s">
        <v>70</v>
      </c>
      <c r="I754">
        <v>0</v>
      </c>
      <c r="J754">
        <v>0</v>
      </c>
      <c r="K754" t="s">
        <v>46</v>
      </c>
      <c r="L754" t="s">
        <v>47</v>
      </c>
      <c r="M754" t="s">
        <v>47</v>
      </c>
      <c r="N754" t="s">
        <v>48</v>
      </c>
      <c r="O754" t="s">
        <v>49</v>
      </c>
      <c r="P754">
        <v>36.6</v>
      </c>
      <c r="Q754" t="s">
        <v>50</v>
      </c>
      <c r="R754" t="s">
        <v>47</v>
      </c>
      <c r="S754" t="s">
        <v>47</v>
      </c>
      <c r="T754" t="s">
        <v>47</v>
      </c>
      <c r="U754" t="s">
        <v>47</v>
      </c>
      <c r="V754" t="s">
        <v>193</v>
      </c>
      <c r="W754" t="s">
        <v>47</v>
      </c>
      <c r="X754" t="s">
        <v>47</v>
      </c>
      <c r="Y754" t="s">
        <v>47</v>
      </c>
      <c r="Z754" t="s">
        <v>47</v>
      </c>
      <c r="AA754" t="s">
        <v>47</v>
      </c>
      <c r="AB754" t="s">
        <v>47</v>
      </c>
      <c r="AC754" t="s">
        <v>47</v>
      </c>
      <c r="AD754" t="s">
        <v>47</v>
      </c>
      <c r="AE754" t="s">
        <v>47</v>
      </c>
      <c r="AF754" t="s">
        <v>47</v>
      </c>
      <c r="AG754" t="s">
        <v>52</v>
      </c>
      <c r="AH754" t="s">
        <v>53</v>
      </c>
      <c r="AI754" t="s">
        <v>65</v>
      </c>
      <c r="AJ754">
        <v>2</v>
      </c>
      <c r="AK754" t="s">
        <v>47</v>
      </c>
      <c r="AL754" t="s">
        <v>81</v>
      </c>
      <c r="AM754" t="s">
        <v>73</v>
      </c>
      <c r="AN754">
        <v>63</v>
      </c>
      <c r="AO754" t="s">
        <v>46</v>
      </c>
    </row>
    <row r="755" spans="1:41">
      <c r="A755" t="s">
        <v>907</v>
      </c>
      <c r="B755">
        <v>2020</v>
      </c>
      <c r="C755" s="1">
        <v>44147</v>
      </c>
      <c r="D755" t="s">
        <v>95</v>
      </c>
      <c r="E755" t="s">
        <v>120</v>
      </c>
      <c r="F755">
        <v>56</v>
      </c>
      <c r="G755" t="s">
        <v>60</v>
      </c>
      <c r="H755" t="s">
        <v>45</v>
      </c>
      <c r="I755">
        <v>7</v>
      </c>
      <c r="J755">
        <v>30</v>
      </c>
      <c r="K755" t="s">
        <v>47</v>
      </c>
      <c r="L755" t="s">
        <v>46</v>
      </c>
      <c r="M755" t="s">
        <v>47</v>
      </c>
      <c r="N755" t="s">
        <v>48</v>
      </c>
      <c r="O755" t="s">
        <v>49</v>
      </c>
      <c r="P755">
        <v>24.1</v>
      </c>
      <c r="Q755" t="s">
        <v>48</v>
      </c>
      <c r="R755" t="s">
        <v>46</v>
      </c>
      <c r="S755" t="s">
        <v>47</v>
      </c>
      <c r="T755" t="s">
        <v>47</v>
      </c>
      <c r="U755" t="s">
        <v>47</v>
      </c>
      <c r="V755" t="s">
        <v>51</v>
      </c>
      <c r="W755" t="s">
        <v>46</v>
      </c>
      <c r="X755" t="s">
        <v>46</v>
      </c>
      <c r="Y755" t="s">
        <v>46</v>
      </c>
      <c r="Z755" t="s">
        <v>47</v>
      </c>
      <c r="AA755" t="s">
        <v>47</v>
      </c>
      <c r="AB755" t="s">
        <v>46</v>
      </c>
      <c r="AC755" t="s">
        <v>47</v>
      </c>
      <c r="AD755" t="s">
        <v>47</v>
      </c>
      <c r="AE755" t="s">
        <v>47</v>
      </c>
      <c r="AF755" t="s">
        <v>47</v>
      </c>
      <c r="AG755" t="s">
        <v>52</v>
      </c>
      <c r="AH755" t="s">
        <v>53</v>
      </c>
      <c r="AI755" t="s">
        <v>54</v>
      </c>
      <c r="AJ755">
        <v>5.0999999999999996</v>
      </c>
      <c r="AK755" t="s">
        <v>46</v>
      </c>
      <c r="AL755" t="s">
        <v>66</v>
      </c>
      <c r="AM755" t="s">
        <v>103</v>
      </c>
      <c r="AN755">
        <v>7</v>
      </c>
      <c r="AO755" t="s">
        <v>47</v>
      </c>
    </row>
    <row r="756" spans="1:41">
      <c r="A756" t="s">
        <v>908</v>
      </c>
      <c r="B756">
        <v>2022</v>
      </c>
      <c r="C756" s="1">
        <v>44822</v>
      </c>
      <c r="D756" t="s">
        <v>42</v>
      </c>
      <c r="E756" t="s">
        <v>247</v>
      </c>
      <c r="F756">
        <v>69</v>
      </c>
      <c r="G756" t="s">
        <v>44</v>
      </c>
      <c r="H756" t="s">
        <v>70</v>
      </c>
      <c r="I756">
        <v>0</v>
      </c>
      <c r="J756">
        <v>0</v>
      </c>
      <c r="K756" t="s">
        <v>46</v>
      </c>
      <c r="L756" t="s">
        <v>47</v>
      </c>
      <c r="M756" t="s">
        <v>47</v>
      </c>
      <c r="N756" t="s">
        <v>48</v>
      </c>
      <c r="O756" t="s">
        <v>48</v>
      </c>
      <c r="P756">
        <v>32.1</v>
      </c>
      <c r="Q756" t="s">
        <v>50</v>
      </c>
      <c r="R756" t="s">
        <v>47</v>
      </c>
      <c r="S756" t="s">
        <v>47</v>
      </c>
      <c r="T756" t="s">
        <v>47</v>
      </c>
      <c r="U756" t="s">
        <v>47</v>
      </c>
      <c r="V756" t="s">
        <v>51</v>
      </c>
      <c r="W756" t="s">
        <v>46</v>
      </c>
      <c r="X756" t="s">
        <v>46</v>
      </c>
      <c r="Y756" t="s">
        <v>47</v>
      </c>
      <c r="Z756" t="s">
        <v>47</v>
      </c>
      <c r="AA756" t="s">
        <v>46</v>
      </c>
      <c r="AB756" t="s">
        <v>47</v>
      </c>
      <c r="AC756" t="s">
        <v>46</v>
      </c>
      <c r="AD756" t="s">
        <v>46</v>
      </c>
      <c r="AE756" t="s">
        <v>47</v>
      </c>
      <c r="AF756" t="s">
        <v>47</v>
      </c>
      <c r="AG756" t="s">
        <v>52</v>
      </c>
      <c r="AH756" t="s">
        <v>90</v>
      </c>
      <c r="AI756" t="s">
        <v>54</v>
      </c>
      <c r="AJ756">
        <v>9.1</v>
      </c>
      <c r="AK756" t="s">
        <v>46</v>
      </c>
      <c r="AL756" t="s">
        <v>76</v>
      </c>
      <c r="AM756" t="s">
        <v>82</v>
      </c>
      <c r="AN756">
        <v>12</v>
      </c>
      <c r="AO756" t="s">
        <v>47</v>
      </c>
    </row>
    <row r="757" spans="1:41">
      <c r="A757" t="s">
        <v>909</v>
      </c>
      <c r="B757">
        <v>2021</v>
      </c>
      <c r="C757" s="1">
        <v>44344</v>
      </c>
      <c r="D757" t="s">
        <v>58</v>
      </c>
      <c r="E757" t="s">
        <v>142</v>
      </c>
      <c r="F757">
        <v>74</v>
      </c>
      <c r="G757" t="s">
        <v>60</v>
      </c>
      <c r="H757" t="s">
        <v>45</v>
      </c>
      <c r="I757">
        <v>41</v>
      </c>
      <c r="J757">
        <v>29</v>
      </c>
      <c r="K757" t="s">
        <v>47</v>
      </c>
      <c r="L757" t="s">
        <v>47</v>
      </c>
      <c r="M757" t="s">
        <v>46</v>
      </c>
      <c r="N757" t="s">
        <v>48</v>
      </c>
      <c r="O757" t="s">
        <v>48</v>
      </c>
      <c r="P757">
        <v>23.3</v>
      </c>
      <c r="Q757" t="s">
        <v>48</v>
      </c>
      <c r="R757" t="s">
        <v>47</v>
      </c>
      <c r="S757" t="s">
        <v>47</v>
      </c>
      <c r="T757" t="s">
        <v>47</v>
      </c>
      <c r="U757" t="s">
        <v>47</v>
      </c>
      <c r="V757" t="s">
        <v>151</v>
      </c>
      <c r="W757" t="s">
        <v>46</v>
      </c>
      <c r="X757" t="s">
        <v>46</v>
      </c>
      <c r="Y757" t="s">
        <v>46</v>
      </c>
      <c r="Z757" t="s">
        <v>46</v>
      </c>
      <c r="AA757" t="s">
        <v>46</v>
      </c>
      <c r="AB757" t="s">
        <v>46</v>
      </c>
      <c r="AC757" t="s">
        <v>47</v>
      </c>
      <c r="AD757" t="s">
        <v>46</v>
      </c>
      <c r="AE757" t="s">
        <v>47</v>
      </c>
      <c r="AF757" t="s">
        <v>47</v>
      </c>
      <c r="AG757" t="s">
        <v>52</v>
      </c>
      <c r="AH757" t="s">
        <v>53</v>
      </c>
      <c r="AI757" t="s">
        <v>87</v>
      </c>
      <c r="AJ757">
        <v>3.9</v>
      </c>
      <c r="AK757" t="s">
        <v>47</v>
      </c>
      <c r="AL757" t="s">
        <v>76</v>
      </c>
      <c r="AM757" t="s">
        <v>103</v>
      </c>
      <c r="AN757">
        <v>6</v>
      </c>
      <c r="AO757" t="s">
        <v>47</v>
      </c>
    </row>
    <row r="758" spans="1:41">
      <c r="A758" t="s">
        <v>910</v>
      </c>
      <c r="B758">
        <v>2017</v>
      </c>
      <c r="C758" s="1">
        <v>43092</v>
      </c>
      <c r="D758" t="s">
        <v>110</v>
      </c>
      <c r="E758" t="s">
        <v>294</v>
      </c>
      <c r="F758">
        <v>44</v>
      </c>
      <c r="G758" t="s">
        <v>60</v>
      </c>
      <c r="H758" t="s">
        <v>70</v>
      </c>
      <c r="I758">
        <v>0</v>
      </c>
      <c r="J758">
        <v>0</v>
      </c>
      <c r="K758" t="s">
        <v>47</v>
      </c>
      <c r="L758" t="s">
        <v>47</v>
      </c>
      <c r="M758" t="s">
        <v>47</v>
      </c>
      <c r="N758" t="s">
        <v>48</v>
      </c>
      <c r="O758" t="s">
        <v>49</v>
      </c>
      <c r="P758">
        <v>26.5</v>
      </c>
      <c r="Q758" t="s">
        <v>48</v>
      </c>
      <c r="R758" t="s">
        <v>47</v>
      </c>
      <c r="S758" t="s">
        <v>47</v>
      </c>
      <c r="T758" t="s">
        <v>47</v>
      </c>
      <c r="U758" t="s">
        <v>47</v>
      </c>
      <c r="V758" t="s">
        <v>51</v>
      </c>
      <c r="W758" t="s">
        <v>46</v>
      </c>
      <c r="X758" t="s">
        <v>47</v>
      </c>
      <c r="Y758" t="s">
        <v>47</v>
      </c>
      <c r="Z758" t="s">
        <v>46</v>
      </c>
      <c r="AA758" t="s">
        <v>46</v>
      </c>
      <c r="AB758" t="s">
        <v>47</v>
      </c>
      <c r="AC758" t="s">
        <v>47</v>
      </c>
      <c r="AD758" t="s">
        <v>47</v>
      </c>
      <c r="AE758" t="s">
        <v>47</v>
      </c>
      <c r="AF758" t="s">
        <v>47</v>
      </c>
      <c r="AG758" t="s">
        <v>52</v>
      </c>
      <c r="AH758" t="s">
        <v>90</v>
      </c>
      <c r="AI758" t="s">
        <v>65</v>
      </c>
      <c r="AJ758">
        <v>2.9</v>
      </c>
      <c r="AK758" t="s">
        <v>47</v>
      </c>
      <c r="AL758" t="s">
        <v>72</v>
      </c>
      <c r="AM758" t="s">
        <v>73</v>
      </c>
      <c r="AN758">
        <v>64</v>
      </c>
      <c r="AO758" t="s">
        <v>47</v>
      </c>
    </row>
    <row r="759" spans="1:41">
      <c r="A759" t="s">
        <v>911</v>
      </c>
      <c r="B759">
        <v>2024</v>
      </c>
      <c r="C759" s="1">
        <v>45460</v>
      </c>
      <c r="D759" t="s">
        <v>95</v>
      </c>
      <c r="E759" t="s">
        <v>132</v>
      </c>
      <c r="F759">
        <v>65</v>
      </c>
      <c r="G759" t="s">
        <v>60</v>
      </c>
      <c r="H759" t="s">
        <v>45</v>
      </c>
      <c r="I759">
        <v>13</v>
      </c>
      <c r="J759">
        <v>28</v>
      </c>
      <c r="K759" t="s">
        <v>47</v>
      </c>
      <c r="L759" t="s">
        <v>46</v>
      </c>
      <c r="M759" t="s">
        <v>46</v>
      </c>
      <c r="N759" t="s">
        <v>48</v>
      </c>
      <c r="O759" t="s">
        <v>49</v>
      </c>
      <c r="P759">
        <v>38.200000000000003</v>
      </c>
      <c r="Q759" t="s">
        <v>48</v>
      </c>
      <c r="R759" t="s">
        <v>47</v>
      </c>
      <c r="S759" t="s">
        <v>47</v>
      </c>
      <c r="T759" t="s">
        <v>47</v>
      </c>
      <c r="U759" t="s">
        <v>47</v>
      </c>
      <c r="V759" t="s">
        <v>51</v>
      </c>
      <c r="W759" t="s">
        <v>46</v>
      </c>
      <c r="X759" t="s">
        <v>46</v>
      </c>
      <c r="Y759" t="s">
        <v>47</v>
      </c>
      <c r="Z759" t="s">
        <v>47</v>
      </c>
      <c r="AA759" t="s">
        <v>46</v>
      </c>
      <c r="AB759" t="s">
        <v>46</v>
      </c>
      <c r="AC759" t="s">
        <v>47</v>
      </c>
      <c r="AD759" t="s">
        <v>46</v>
      </c>
      <c r="AE759" t="s">
        <v>47</v>
      </c>
      <c r="AF759" t="s">
        <v>47</v>
      </c>
      <c r="AG759" t="s">
        <v>52</v>
      </c>
      <c r="AH759" t="s">
        <v>53</v>
      </c>
      <c r="AI759" t="s">
        <v>87</v>
      </c>
      <c r="AJ759">
        <v>6.9</v>
      </c>
      <c r="AK759" t="s">
        <v>47</v>
      </c>
      <c r="AL759" t="s">
        <v>156</v>
      </c>
      <c r="AM759" t="s">
        <v>103</v>
      </c>
      <c r="AN759">
        <v>20</v>
      </c>
      <c r="AO759" t="s">
        <v>47</v>
      </c>
    </row>
    <row r="760" spans="1:41">
      <c r="A760" t="s">
        <v>912</v>
      </c>
      <c r="B760">
        <v>2023</v>
      </c>
      <c r="C760" s="1">
        <v>44964</v>
      </c>
      <c r="D760" t="s">
        <v>110</v>
      </c>
      <c r="E760" t="s">
        <v>294</v>
      </c>
      <c r="F760">
        <v>47</v>
      </c>
      <c r="G760" t="s">
        <v>44</v>
      </c>
      <c r="H760" t="s">
        <v>70</v>
      </c>
      <c r="I760">
        <v>0</v>
      </c>
      <c r="J760">
        <v>0</v>
      </c>
      <c r="K760" t="s">
        <v>46</v>
      </c>
      <c r="L760" t="s">
        <v>46</v>
      </c>
      <c r="M760" t="s">
        <v>46</v>
      </c>
      <c r="N760" t="s">
        <v>62</v>
      </c>
      <c r="O760" t="s">
        <v>63</v>
      </c>
      <c r="P760">
        <v>31.4</v>
      </c>
      <c r="Q760" t="s">
        <v>62</v>
      </c>
      <c r="R760" t="s">
        <v>47</v>
      </c>
      <c r="S760" t="s">
        <v>46</v>
      </c>
      <c r="T760" t="s">
        <v>47</v>
      </c>
      <c r="U760" t="s">
        <v>47</v>
      </c>
      <c r="V760" t="s">
        <v>51</v>
      </c>
      <c r="W760" t="s">
        <v>47</v>
      </c>
      <c r="X760" t="s">
        <v>46</v>
      </c>
      <c r="Y760" t="s">
        <v>47</v>
      </c>
      <c r="Z760" t="s">
        <v>47</v>
      </c>
      <c r="AA760" t="s">
        <v>46</v>
      </c>
      <c r="AB760" t="s">
        <v>47</v>
      </c>
      <c r="AC760" t="s">
        <v>47</v>
      </c>
      <c r="AD760" t="s">
        <v>46</v>
      </c>
      <c r="AE760" t="s">
        <v>47</v>
      </c>
      <c r="AF760" t="s">
        <v>47</v>
      </c>
      <c r="AG760" t="s">
        <v>52</v>
      </c>
      <c r="AH760" t="s">
        <v>53</v>
      </c>
      <c r="AI760" t="s">
        <v>54</v>
      </c>
      <c r="AJ760">
        <v>12.5</v>
      </c>
      <c r="AK760" t="s">
        <v>46</v>
      </c>
      <c r="AL760" t="s">
        <v>100</v>
      </c>
      <c r="AM760" t="s">
        <v>56</v>
      </c>
      <c r="AN760">
        <v>1</v>
      </c>
      <c r="AO760" t="s">
        <v>47</v>
      </c>
    </row>
    <row r="761" spans="1:41">
      <c r="A761" t="s">
        <v>913</v>
      </c>
      <c r="B761">
        <v>2020</v>
      </c>
      <c r="C761" s="1">
        <v>43947</v>
      </c>
      <c r="D761" t="s">
        <v>42</v>
      </c>
      <c r="E761" t="s">
        <v>210</v>
      </c>
      <c r="F761">
        <v>77</v>
      </c>
      <c r="G761" t="s">
        <v>60</v>
      </c>
      <c r="H761" t="s">
        <v>70</v>
      </c>
      <c r="I761">
        <v>0</v>
      </c>
      <c r="J761">
        <v>0</v>
      </c>
      <c r="K761" t="s">
        <v>46</v>
      </c>
      <c r="L761" t="s">
        <v>47</v>
      </c>
      <c r="M761" t="s">
        <v>47</v>
      </c>
      <c r="N761" t="s">
        <v>48</v>
      </c>
      <c r="O761" t="s">
        <v>49</v>
      </c>
      <c r="P761">
        <v>30.3</v>
      </c>
      <c r="Q761" t="s">
        <v>50</v>
      </c>
      <c r="R761" t="s">
        <v>47</v>
      </c>
      <c r="S761" t="s">
        <v>47</v>
      </c>
      <c r="T761" t="s">
        <v>47</v>
      </c>
      <c r="U761" t="s">
        <v>47</v>
      </c>
      <c r="V761" t="s">
        <v>86</v>
      </c>
      <c r="W761" t="s">
        <v>47</v>
      </c>
      <c r="X761" t="s">
        <v>47</v>
      </c>
      <c r="Y761" t="s">
        <v>47</v>
      </c>
      <c r="Z761" t="s">
        <v>47</v>
      </c>
      <c r="AA761" t="s">
        <v>47</v>
      </c>
      <c r="AB761" t="s">
        <v>47</v>
      </c>
      <c r="AC761" t="s">
        <v>47</v>
      </c>
      <c r="AD761" t="s">
        <v>47</v>
      </c>
      <c r="AE761" t="s">
        <v>47</v>
      </c>
      <c r="AF761" t="s">
        <v>46</v>
      </c>
      <c r="AG761" t="s">
        <v>52</v>
      </c>
      <c r="AH761" t="s">
        <v>53</v>
      </c>
      <c r="AI761" t="s">
        <v>80</v>
      </c>
      <c r="AJ761">
        <v>6.5</v>
      </c>
      <c r="AK761" t="s">
        <v>46</v>
      </c>
      <c r="AL761" t="s">
        <v>66</v>
      </c>
      <c r="AM761" t="s">
        <v>67</v>
      </c>
      <c r="AN761">
        <v>12</v>
      </c>
      <c r="AO761" t="s">
        <v>47</v>
      </c>
    </row>
    <row r="762" spans="1:41">
      <c r="A762" t="s">
        <v>914</v>
      </c>
      <c r="B762">
        <v>2022</v>
      </c>
      <c r="C762" s="1">
        <v>44573</v>
      </c>
      <c r="D762" t="s">
        <v>42</v>
      </c>
      <c r="E762" t="s">
        <v>75</v>
      </c>
      <c r="F762">
        <v>66</v>
      </c>
      <c r="G762" t="s">
        <v>60</v>
      </c>
      <c r="H762" t="s">
        <v>70</v>
      </c>
      <c r="I762">
        <v>0</v>
      </c>
      <c r="J762">
        <v>0</v>
      </c>
      <c r="K762" t="s">
        <v>46</v>
      </c>
      <c r="L762" t="s">
        <v>47</v>
      </c>
      <c r="M762" t="s">
        <v>47</v>
      </c>
      <c r="N762" t="s">
        <v>48</v>
      </c>
      <c r="O762" t="s">
        <v>48</v>
      </c>
      <c r="P762">
        <v>28.3</v>
      </c>
      <c r="Q762" t="s">
        <v>50</v>
      </c>
      <c r="R762" t="s">
        <v>47</v>
      </c>
      <c r="S762" t="s">
        <v>47</v>
      </c>
      <c r="T762" t="s">
        <v>47</v>
      </c>
      <c r="U762" t="s">
        <v>47</v>
      </c>
      <c r="V762" t="s">
        <v>64</v>
      </c>
      <c r="W762" t="s">
        <v>47</v>
      </c>
      <c r="X762" t="s">
        <v>46</v>
      </c>
      <c r="Y762" t="s">
        <v>47</v>
      </c>
      <c r="Z762" t="s">
        <v>47</v>
      </c>
      <c r="AA762" t="s">
        <v>46</v>
      </c>
      <c r="AB762" t="s">
        <v>47</v>
      </c>
      <c r="AC762" t="s">
        <v>47</v>
      </c>
      <c r="AD762" t="s">
        <v>47</v>
      </c>
      <c r="AE762" t="s">
        <v>47</v>
      </c>
      <c r="AF762" t="s">
        <v>47</v>
      </c>
      <c r="AG762" t="s">
        <v>52</v>
      </c>
      <c r="AH762" t="s">
        <v>71</v>
      </c>
      <c r="AI762" t="s">
        <v>87</v>
      </c>
      <c r="AJ762">
        <v>3.6</v>
      </c>
      <c r="AK762" t="s">
        <v>47</v>
      </c>
      <c r="AL762" t="s">
        <v>76</v>
      </c>
      <c r="AM762" t="s">
        <v>67</v>
      </c>
      <c r="AN762">
        <v>30</v>
      </c>
      <c r="AO762" t="s">
        <v>46</v>
      </c>
    </row>
    <row r="763" spans="1:41">
      <c r="A763" t="s">
        <v>915</v>
      </c>
      <c r="B763">
        <v>2016</v>
      </c>
      <c r="C763" s="1">
        <v>42655</v>
      </c>
      <c r="D763" t="s">
        <v>84</v>
      </c>
      <c r="E763" t="s">
        <v>571</v>
      </c>
      <c r="F763">
        <v>60</v>
      </c>
      <c r="G763" t="s">
        <v>44</v>
      </c>
      <c r="H763" t="s">
        <v>70</v>
      </c>
      <c r="I763">
        <v>0</v>
      </c>
      <c r="J763">
        <v>0</v>
      </c>
      <c r="K763" t="s">
        <v>47</v>
      </c>
      <c r="L763" t="s">
        <v>47</v>
      </c>
      <c r="M763" t="s">
        <v>47</v>
      </c>
      <c r="N763" t="s">
        <v>62</v>
      </c>
      <c r="O763" t="s">
        <v>49</v>
      </c>
      <c r="P763">
        <v>20.8</v>
      </c>
      <c r="Q763" t="s">
        <v>48</v>
      </c>
      <c r="R763" t="s">
        <v>47</v>
      </c>
      <c r="S763" t="s">
        <v>47</v>
      </c>
      <c r="T763" t="s">
        <v>47</v>
      </c>
      <c r="U763" t="s">
        <v>47</v>
      </c>
      <c r="V763" t="s">
        <v>51</v>
      </c>
      <c r="W763" t="s">
        <v>46</v>
      </c>
      <c r="X763" t="s">
        <v>46</v>
      </c>
      <c r="Y763" t="s">
        <v>46</v>
      </c>
      <c r="Z763" t="s">
        <v>47</v>
      </c>
      <c r="AA763" t="s">
        <v>46</v>
      </c>
      <c r="AB763" t="s">
        <v>47</v>
      </c>
      <c r="AC763" t="s">
        <v>47</v>
      </c>
      <c r="AD763" t="s">
        <v>47</v>
      </c>
      <c r="AE763" t="s">
        <v>47</v>
      </c>
      <c r="AF763" t="s">
        <v>47</v>
      </c>
      <c r="AG763" t="s">
        <v>52</v>
      </c>
      <c r="AH763" t="s">
        <v>71</v>
      </c>
      <c r="AI763" t="s">
        <v>80</v>
      </c>
      <c r="AJ763">
        <v>3.7</v>
      </c>
      <c r="AK763" t="s">
        <v>47</v>
      </c>
      <c r="AL763" t="s">
        <v>76</v>
      </c>
      <c r="AM763" t="s">
        <v>77</v>
      </c>
      <c r="AN763">
        <v>13</v>
      </c>
      <c r="AO763" t="s">
        <v>47</v>
      </c>
    </row>
    <row r="764" spans="1:41">
      <c r="A764" t="s">
        <v>916</v>
      </c>
      <c r="B764">
        <v>2024</v>
      </c>
      <c r="C764" s="1">
        <v>45540</v>
      </c>
      <c r="D764" t="s">
        <v>58</v>
      </c>
      <c r="E764" t="s">
        <v>163</v>
      </c>
      <c r="F764">
        <v>64</v>
      </c>
      <c r="G764" t="s">
        <v>60</v>
      </c>
      <c r="H764" t="s">
        <v>70</v>
      </c>
      <c r="I764">
        <v>0</v>
      </c>
      <c r="J764">
        <v>0</v>
      </c>
      <c r="K764" t="s">
        <v>47</v>
      </c>
      <c r="L764" t="s">
        <v>46</v>
      </c>
      <c r="M764" t="s">
        <v>46</v>
      </c>
      <c r="N764" t="s">
        <v>48</v>
      </c>
      <c r="O764" t="s">
        <v>49</v>
      </c>
      <c r="P764">
        <v>17.3</v>
      </c>
      <c r="Q764" t="s">
        <v>50</v>
      </c>
      <c r="R764" t="s">
        <v>47</v>
      </c>
      <c r="S764" t="s">
        <v>47</v>
      </c>
      <c r="T764" t="s">
        <v>47</v>
      </c>
      <c r="U764" t="s">
        <v>47</v>
      </c>
      <c r="V764" t="s">
        <v>92</v>
      </c>
      <c r="W764" t="s">
        <v>46</v>
      </c>
      <c r="X764" t="s">
        <v>47</v>
      </c>
      <c r="Y764" t="s">
        <v>46</v>
      </c>
      <c r="Z764" t="s">
        <v>47</v>
      </c>
      <c r="AA764" t="s">
        <v>46</v>
      </c>
      <c r="AB764" t="s">
        <v>47</v>
      </c>
      <c r="AC764" t="s">
        <v>47</v>
      </c>
      <c r="AD764" t="s">
        <v>46</v>
      </c>
      <c r="AE764" t="s">
        <v>47</v>
      </c>
      <c r="AF764" t="s">
        <v>47</v>
      </c>
      <c r="AG764" t="s">
        <v>52</v>
      </c>
      <c r="AH764" t="s">
        <v>53</v>
      </c>
      <c r="AI764" t="s">
        <v>65</v>
      </c>
      <c r="AJ764">
        <v>1.6</v>
      </c>
      <c r="AK764" t="s">
        <v>47</v>
      </c>
      <c r="AL764" t="s">
        <v>76</v>
      </c>
      <c r="AM764" t="s">
        <v>103</v>
      </c>
      <c r="AN764">
        <v>54</v>
      </c>
      <c r="AO764" t="s">
        <v>46</v>
      </c>
    </row>
    <row r="765" spans="1:41">
      <c r="A765" t="s">
        <v>917</v>
      </c>
      <c r="B765">
        <v>2024</v>
      </c>
      <c r="C765" s="1">
        <v>45325</v>
      </c>
      <c r="D765" t="s">
        <v>84</v>
      </c>
      <c r="E765" t="s">
        <v>184</v>
      </c>
      <c r="F765">
        <v>65</v>
      </c>
      <c r="G765" t="s">
        <v>60</v>
      </c>
      <c r="H765" t="s">
        <v>70</v>
      </c>
      <c r="I765">
        <v>0</v>
      </c>
      <c r="J765">
        <v>0</v>
      </c>
      <c r="K765" t="s">
        <v>47</v>
      </c>
      <c r="L765" t="s">
        <v>47</v>
      </c>
      <c r="M765" t="s">
        <v>47</v>
      </c>
      <c r="N765" t="s">
        <v>48</v>
      </c>
      <c r="O765" t="s">
        <v>49</v>
      </c>
      <c r="P765">
        <v>27.8</v>
      </c>
      <c r="Q765" t="s">
        <v>48</v>
      </c>
      <c r="R765" t="s">
        <v>47</v>
      </c>
      <c r="S765" t="s">
        <v>47</v>
      </c>
      <c r="T765" t="s">
        <v>47</v>
      </c>
      <c r="U765" t="s">
        <v>47</v>
      </c>
      <c r="V765" t="s">
        <v>51</v>
      </c>
      <c r="W765" t="s">
        <v>47</v>
      </c>
      <c r="X765" t="s">
        <v>47</v>
      </c>
      <c r="Y765" t="s">
        <v>47</v>
      </c>
      <c r="Z765" t="s">
        <v>47</v>
      </c>
      <c r="AA765" t="s">
        <v>46</v>
      </c>
      <c r="AB765" t="s">
        <v>47</v>
      </c>
      <c r="AC765" t="s">
        <v>46</v>
      </c>
      <c r="AD765" t="s">
        <v>47</v>
      </c>
      <c r="AE765" t="s">
        <v>47</v>
      </c>
      <c r="AF765" t="s">
        <v>47</v>
      </c>
      <c r="AG765" t="s">
        <v>52</v>
      </c>
      <c r="AH765" t="s">
        <v>71</v>
      </c>
      <c r="AI765" t="s">
        <v>54</v>
      </c>
      <c r="AJ765">
        <v>7.7</v>
      </c>
      <c r="AK765" t="s">
        <v>46</v>
      </c>
      <c r="AL765" t="s">
        <v>100</v>
      </c>
      <c r="AM765" t="s">
        <v>118</v>
      </c>
      <c r="AN765">
        <v>9</v>
      </c>
      <c r="AO765" t="s">
        <v>47</v>
      </c>
    </row>
    <row r="766" spans="1:41">
      <c r="A766" t="s">
        <v>918</v>
      </c>
      <c r="B766">
        <v>2018</v>
      </c>
      <c r="C766" s="1">
        <v>43304</v>
      </c>
      <c r="D766" t="s">
        <v>84</v>
      </c>
      <c r="E766" t="s">
        <v>571</v>
      </c>
      <c r="F766">
        <v>41</v>
      </c>
      <c r="G766" t="s">
        <v>60</v>
      </c>
      <c r="H766" t="s">
        <v>70</v>
      </c>
      <c r="I766">
        <v>0</v>
      </c>
      <c r="J766">
        <v>0</v>
      </c>
      <c r="K766" t="s">
        <v>46</v>
      </c>
      <c r="L766" t="s">
        <v>47</v>
      </c>
      <c r="M766" t="s">
        <v>47</v>
      </c>
      <c r="N766" t="s">
        <v>62</v>
      </c>
      <c r="O766" t="s">
        <v>48</v>
      </c>
      <c r="P766">
        <v>22.9</v>
      </c>
      <c r="Q766" t="s">
        <v>62</v>
      </c>
      <c r="R766" t="s">
        <v>47</v>
      </c>
      <c r="S766" t="s">
        <v>47</v>
      </c>
      <c r="T766" t="s">
        <v>47</v>
      </c>
      <c r="U766" t="s">
        <v>47</v>
      </c>
      <c r="V766" t="s">
        <v>86</v>
      </c>
      <c r="W766" t="s">
        <v>47</v>
      </c>
      <c r="X766" t="s">
        <v>47</v>
      </c>
      <c r="Y766" t="s">
        <v>46</v>
      </c>
      <c r="Z766" t="s">
        <v>47</v>
      </c>
      <c r="AA766" t="s">
        <v>47</v>
      </c>
      <c r="AB766" t="s">
        <v>47</v>
      </c>
      <c r="AC766" t="s">
        <v>46</v>
      </c>
      <c r="AD766" t="s">
        <v>46</v>
      </c>
      <c r="AE766" t="s">
        <v>47</v>
      </c>
      <c r="AF766" t="s">
        <v>47</v>
      </c>
      <c r="AG766" t="s">
        <v>52</v>
      </c>
      <c r="AH766" t="s">
        <v>53</v>
      </c>
      <c r="AI766" t="s">
        <v>87</v>
      </c>
      <c r="AJ766">
        <v>2.6</v>
      </c>
      <c r="AK766" t="s">
        <v>47</v>
      </c>
      <c r="AL766" t="s">
        <v>156</v>
      </c>
      <c r="AM766" t="s">
        <v>73</v>
      </c>
      <c r="AN766">
        <v>46</v>
      </c>
      <c r="AO766" t="s">
        <v>47</v>
      </c>
    </row>
    <row r="767" spans="1:41">
      <c r="A767" t="s">
        <v>919</v>
      </c>
      <c r="B767">
        <v>2019</v>
      </c>
      <c r="C767" s="1">
        <v>43722</v>
      </c>
      <c r="D767" t="s">
        <v>95</v>
      </c>
      <c r="E767" t="s">
        <v>145</v>
      </c>
      <c r="F767">
        <v>72</v>
      </c>
      <c r="G767" t="s">
        <v>60</v>
      </c>
      <c r="H767" t="s">
        <v>61</v>
      </c>
      <c r="I767">
        <v>25</v>
      </c>
      <c r="J767">
        <v>8</v>
      </c>
      <c r="K767" t="s">
        <v>46</v>
      </c>
      <c r="L767" t="s">
        <v>46</v>
      </c>
      <c r="M767" t="s">
        <v>47</v>
      </c>
      <c r="N767" t="s">
        <v>50</v>
      </c>
      <c r="O767" t="s">
        <v>48</v>
      </c>
      <c r="P767">
        <v>21.5</v>
      </c>
      <c r="Q767" t="s">
        <v>62</v>
      </c>
      <c r="R767" t="s">
        <v>47</v>
      </c>
      <c r="S767" t="s">
        <v>47</v>
      </c>
      <c r="T767" t="s">
        <v>47</v>
      </c>
      <c r="U767" t="s">
        <v>47</v>
      </c>
      <c r="V767" t="s">
        <v>51</v>
      </c>
      <c r="W767" t="s">
        <v>47</v>
      </c>
      <c r="X767" t="s">
        <v>47</v>
      </c>
      <c r="Y767" t="s">
        <v>46</v>
      </c>
      <c r="Z767" t="s">
        <v>47</v>
      </c>
      <c r="AA767" t="s">
        <v>46</v>
      </c>
      <c r="AB767" t="s">
        <v>47</v>
      </c>
      <c r="AC767" t="s">
        <v>47</v>
      </c>
      <c r="AD767" t="s">
        <v>47</v>
      </c>
      <c r="AE767" t="s">
        <v>47</v>
      </c>
      <c r="AF767" t="s">
        <v>47</v>
      </c>
      <c r="AG767" t="s">
        <v>52</v>
      </c>
      <c r="AH767" t="s">
        <v>90</v>
      </c>
      <c r="AI767" t="s">
        <v>54</v>
      </c>
      <c r="AJ767">
        <v>7.9</v>
      </c>
      <c r="AK767" t="s">
        <v>46</v>
      </c>
      <c r="AL767" t="s">
        <v>81</v>
      </c>
      <c r="AM767" t="s">
        <v>77</v>
      </c>
      <c r="AN767">
        <v>6</v>
      </c>
      <c r="AO767" t="s">
        <v>47</v>
      </c>
    </row>
    <row r="768" spans="1:41">
      <c r="A768" t="s">
        <v>920</v>
      </c>
      <c r="B768">
        <v>2017</v>
      </c>
      <c r="C768" s="1">
        <v>43011</v>
      </c>
      <c r="D768" t="s">
        <v>95</v>
      </c>
      <c r="E768" t="s">
        <v>105</v>
      </c>
      <c r="F768">
        <v>47</v>
      </c>
      <c r="G768" t="s">
        <v>44</v>
      </c>
      <c r="H768" t="s">
        <v>70</v>
      </c>
      <c r="I768">
        <v>0</v>
      </c>
      <c r="J768">
        <v>0</v>
      </c>
      <c r="K768" t="s">
        <v>46</v>
      </c>
      <c r="L768" t="s">
        <v>47</v>
      </c>
      <c r="M768" t="s">
        <v>47</v>
      </c>
      <c r="N768" t="s">
        <v>50</v>
      </c>
      <c r="O768" t="s">
        <v>48</v>
      </c>
      <c r="P768">
        <v>33.799999999999997</v>
      </c>
      <c r="Q768" t="s">
        <v>50</v>
      </c>
      <c r="R768" t="s">
        <v>47</v>
      </c>
      <c r="S768" t="s">
        <v>47</v>
      </c>
      <c r="T768" t="s">
        <v>47</v>
      </c>
      <c r="U768" t="s">
        <v>47</v>
      </c>
      <c r="V768" t="s">
        <v>51</v>
      </c>
      <c r="W768" t="s">
        <v>47</v>
      </c>
      <c r="X768" t="s">
        <v>47</v>
      </c>
      <c r="Y768" t="s">
        <v>47</v>
      </c>
      <c r="Z768" t="s">
        <v>47</v>
      </c>
      <c r="AA768" t="s">
        <v>46</v>
      </c>
      <c r="AB768" t="s">
        <v>46</v>
      </c>
      <c r="AC768" t="s">
        <v>47</v>
      </c>
      <c r="AD768" t="s">
        <v>47</v>
      </c>
      <c r="AE768" t="s">
        <v>47</v>
      </c>
      <c r="AF768" t="s">
        <v>47</v>
      </c>
      <c r="AG768" t="s">
        <v>52</v>
      </c>
      <c r="AH768" t="s">
        <v>53</v>
      </c>
      <c r="AI768" t="s">
        <v>65</v>
      </c>
      <c r="AJ768">
        <v>3.8</v>
      </c>
      <c r="AK768" t="s">
        <v>47</v>
      </c>
      <c r="AL768" t="s">
        <v>156</v>
      </c>
      <c r="AM768" t="s">
        <v>73</v>
      </c>
      <c r="AN768">
        <v>77</v>
      </c>
      <c r="AO768" t="s">
        <v>47</v>
      </c>
    </row>
    <row r="769" spans="1:41">
      <c r="A769" t="s">
        <v>921</v>
      </c>
      <c r="B769">
        <v>2024</v>
      </c>
      <c r="C769" s="1">
        <v>45464</v>
      </c>
      <c r="D769" t="s">
        <v>95</v>
      </c>
      <c r="E769" t="s">
        <v>120</v>
      </c>
      <c r="F769">
        <v>60</v>
      </c>
      <c r="G769" t="s">
        <v>60</v>
      </c>
      <c r="H769" t="s">
        <v>70</v>
      </c>
      <c r="I769">
        <v>0</v>
      </c>
      <c r="J769">
        <v>0</v>
      </c>
      <c r="K769" t="s">
        <v>46</v>
      </c>
      <c r="L769" t="s">
        <v>47</v>
      </c>
      <c r="M769" t="s">
        <v>47</v>
      </c>
      <c r="N769" t="s">
        <v>48</v>
      </c>
      <c r="O769" t="s">
        <v>48</v>
      </c>
      <c r="P769">
        <v>22</v>
      </c>
      <c r="Q769" t="s">
        <v>48</v>
      </c>
      <c r="R769" t="s">
        <v>47</v>
      </c>
      <c r="S769" t="s">
        <v>47</v>
      </c>
      <c r="T769" t="s">
        <v>47</v>
      </c>
      <c r="U769" t="s">
        <v>47</v>
      </c>
      <c r="V769" t="s">
        <v>193</v>
      </c>
      <c r="W769" t="s">
        <v>47</v>
      </c>
      <c r="X769" t="s">
        <v>47</v>
      </c>
      <c r="Y769" t="s">
        <v>47</v>
      </c>
      <c r="Z769" t="s">
        <v>47</v>
      </c>
      <c r="AA769" t="s">
        <v>46</v>
      </c>
      <c r="AB769" t="s">
        <v>47</v>
      </c>
      <c r="AC769" t="s">
        <v>47</v>
      </c>
      <c r="AD769" t="s">
        <v>47</v>
      </c>
      <c r="AE769" t="s">
        <v>47</v>
      </c>
      <c r="AF769" t="s">
        <v>47</v>
      </c>
      <c r="AG769" t="s">
        <v>52</v>
      </c>
      <c r="AH769" t="s">
        <v>53</v>
      </c>
      <c r="AI769" t="s">
        <v>54</v>
      </c>
      <c r="AJ769">
        <v>6.1</v>
      </c>
      <c r="AK769" t="s">
        <v>46</v>
      </c>
      <c r="AL769" t="s">
        <v>100</v>
      </c>
      <c r="AM769" t="s">
        <v>77</v>
      </c>
      <c r="AN769">
        <v>9</v>
      </c>
      <c r="AO769" t="s">
        <v>47</v>
      </c>
    </row>
    <row r="770" spans="1:41">
      <c r="A770" t="s">
        <v>922</v>
      </c>
      <c r="B770">
        <v>2023</v>
      </c>
      <c r="C770" s="1">
        <v>45153</v>
      </c>
      <c r="D770" t="s">
        <v>42</v>
      </c>
      <c r="E770" t="s">
        <v>75</v>
      </c>
      <c r="F770">
        <v>83</v>
      </c>
      <c r="G770" t="s">
        <v>60</v>
      </c>
      <c r="H770" t="s">
        <v>70</v>
      </c>
      <c r="I770">
        <v>0</v>
      </c>
      <c r="J770">
        <v>0</v>
      </c>
      <c r="K770" t="s">
        <v>46</v>
      </c>
      <c r="L770" t="s">
        <v>47</v>
      </c>
      <c r="M770" t="s">
        <v>46</v>
      </c>
      <c r="N770" t="s">
        <v>62</v>
      </c>
      <c r="O770" t="s">
        <v>48</v>
      </c>
      <c r="P770">
        <v>30.7</v>
      </c>
      <c r="Q770" t="s">
        <v>62</v>
      </c>
      <c r="R770" t="s">
        <v>46</v>
      </c>
      <c r="S770" t="s">
        <v>46</v>
      </c>
      <c r="T770" t="s">
        <v>46</v>
      </c>
      <c r="U770" t="s">
        <v>47</v>
      </c>
      <c r="V770" t="s">
        <v>128</v>
      </c>
      <c r="W770" t="s">
        <v>47</v>
      </c>
      <c r="X770" t="s">
        <v>47</v>
      </c>
      <c r="Y770" t="s">
        <v>46</v>
      </c>
      <c r="Z770" t="s">
        <v>47</v>
      </c>
      <c r="AA770" t="s">
        <v>46</v>
      </c>
      <c r="AB770" t="s">
        <v>47</v>
      </c>
      <c r="AC770" t="s">
        <v>47</v>
      </c>
      <c r="AD770" t="s">
        <v>47</v>
      </c>
      <c r="AE770" t="s">
        <v>47</v>
      </c>
      <c r="AF770" t="s">
        <v>46</v>
      </c>
      <c r="AG770" t="s">
        <v>52</v>
      </c>
      <c r="AH770" t="s">
        <v>53</v>
      </c>
      <c r="AI770" t="s">
        <v>54</v>
      </c>
      <c r="AJ770">
        <v>9.5</v>
      </c>
      <c r="AK770" t="s">
        <v>46</v>
      </c>
      <c r="AL770" t="s">
        <v>76</v>
      </c>
      <c r="AM770" t="s">
        <v>77</v>
      </c>
      <c r="AN770">
        <v>13</v>
      </c>
      <c r="AO770" t="s">
        <v>47</v>
      </c>
    </row>
    <row r="771" spans="1:41">
      <c r="A771" t="s">
        <v>923</v>
      </c>
      <c r="B771">
        <v>2024</v>
      </c>
      <c r="C771" s="1">
        <v>45448</v>
      </c>
      <c r="D771" t="s">
        <v>58</v>
      </c>
      <c r="E771" t="s">
        <v>220</v>
      </c>
      <c r="F771">
        <v>47</v>
      </c>
      <c r="G771" t="s">
        <v>44</v>
      </c>
      <c r="H771" t="s">
        <v>70</v>
      </c>
      <c r="I771">
        <v>0</v>
      </c>
      <c r="J771">
        <v>0</v>
      </c>
      <c r="K771" t="s">
        <v>47</v>
      </c>
      <c r="L771" t="s">
        <v>47</v>
      </c>
      <c r="M771" t="s">
        <v>47</v>
      </c>
      <c r="N771" t="s">
        <v>50</v>
      </c>
      <c r="O771" t="s">
        <v>49</v>
      </c>
      <c r="P771">
        <v>24.3</v>
      </c>
      <c r="Q771" t="s">
        <v>62</v>
      </c>
      <c r="R771" t="s">
        <v>47</v>
      </c>
      <c r="S771" t="s">
        <v>47</v>
      </c>
      <c r="T771" t="s">
        <v>47</v>
      </c>
      <c r="U771" t="s">
        <v>47</v>
      </c>
      <c r="V771" t="s">
        <v>86</v>
      </c>
      <c r="W771" t="s">
        <v>47</v>
      </c>
      <c r="X771" t="s">
        <v>47</v>
      </c>
      <c r="Y771" t="s">
        <v>46</v>
      </c>
      <c r="Z771" t="s">
        <v>46</v>
      </c>
      <c r="AA771" t="s">
        <v>47</v>
      </c>
      <c r="AB771" t="s">
        <v>47</v>
      </c>
      <c r="AC771" t="s">
        <v>47</v>
      </c>
      <c r="AD771" t="s">
        <v>47</v>
      </c>
      <c r="AE771" t="s">
        <v>47</v>
      </c>
      <c r="AF771" t="s">
        <v>47</v>
      </c>
      <c r="AG771" t="s">
        <v>52</v>
      </c>
      <c r="AH771" t="s">
        <v>53</v>
      </c>
      <c r="AI771" t="s">
        <v>65</v>
      </c>
      <c r="AJ771">
        <v>0.8</v>
      </c>
      <c r="AK771" t="s">
        <v>47</v>
      </c>
      <c r="AL771" t="s">
        <v>76</v>
      </c>
      <c r="AM771" t="s">
        <v>67</v>
      </c>
      <c r="AN771">
        <v>57</v>
      </c>
      <c r="AO771" t="s">
        <v>46</v>
      </c>
    </row>
    <row r="772" spans="1:41">
      <c r="A772" t="s">
        <v>924</v>
      </c>
      <c r="B772">
        <v>2022</v>
      </c>
      <c r="C772" s="1">
        <v>44884</v>
      </c>
      <c r="D772" t="s">
        <v>95</v>
      </c>
      <c r="E772" t="s">
        <v>105</v>
      </c>
      <c r="F772">
        <v>71</v>
      </c>
      <c r="G772" t="s">
        <v>60</v>
      </c>
      <c r="H772" t="s">
        <v>70</v>
      </c>
      <c r="I772">
        <v>0</v>
      </c>
      <c r="J772">
        <v>0</v>
      </c>
      <c r="K772" t="s">
        <v>47</v>
      </c>
      <c r="L772" t="s">
        <v>47</v>
      </c>
      <c r="M772" t="s">
        <v>47</v>
      </c>
      <c r="N772" t="s">
        <v>50</v>
      </c>
      <c r="O772" t="s">
        <v>49</v>
      </c>
      <c r="P772">
        <v>16.8</v>
      </c>
      <c r="Q772" t="s">
        <v>50</v>
      </c>
      <c r="R772" t="s">
        <v>47</v>
      </c>
      <c r="S772" t="s">
        <v>47</v>
      </c>
      <c r="T772" t="s">
        <v>46</v>
      </c>
      <c r="U772" t="s">
        <v>47</v>
      </c>
      <c r="V772" t="s">
        <v>117</v>
      </c>
      <c r="W772" t="s">
        <v>47</v>
      </c>
      <c r="X772" t="s">
        <v>47</v>
      </c>
      <c r="Y772" t="s">
        <v>47</v>
      </c>
      <c r="Z772" t="s">
        <v>47</v>
      </c>
      <c r="AA772" t="s">
        <v>46</v>
      </c>
      <c r="AB772" t="s">
        <v>46</v>
      </c>
      <c r="AC772" t="s">
        <v>47</v>
      </c>
      <c r="AD772" t="s">
        <v>47</v>
      </c>
      <c r="AE772" t="s">
        <v>47</v>
      </c>
      <c r="AF772" t="s">
        <v>47</v>
      </c>
      <c r="AG772" t="s">
        <v>52</v>
      </c>
      <c r="AH772" t="s">
        <v>53</v>
      </c>
      <c r="AI772" t="s">
        <v>87</v>
      </c>
      <c r="AJ772">
        <v>4.8</v>
      </c>
      <c r="AK772" t="s">
        <v>47</v>
      </c>
      <c r="AL772" t="s">
        <v>100</v>
      </c>
      <c r="AM772" t="s">
        <v>67</v>
      </c>
      <c r="AN772">
        <v>37</v>
      </c>
      <c r="AO772" t="s">
        <v>47</v>
      </c>
    </row>
    <row r="773" spans="1:41">
      <c r="A773" t="s">
        <v>925</v>
      </c>
      <c r="B773">
        <v>2023</v>
      </c>
      <c r="C773" s="1">
        <v>44999</v>
      </c>
      <c r="D773" t="s">
        <v>95</v>
      </c>
      <c r="E773" t="s">
        <v>147</v>
      </c>
      <c r="F773">
        <v>47</v>
      </c>
      <c r="G773" t="s">
        <v>60</v>
      </c>
      <c r="H773" t="s">
        <v>45</v>
      </c>
      <c r="I773">
        <v>37</v>
      </c>
      <c r="J773">
        <v>29</v>
      </c>
      <c r="K773" t="s">
        <v>47</v>
      </c>
      <c r="L773" t="s">
        <v>47</v>
      </c>
      <c r="M773" t="s">
        <v>47</v>
      </c>
      <c r="N773" t="s">
        <v>62</v>
      </c>
      <c r="O773" t="s">
        <v>49</v>
      </c>
      <c r="P773">
        <v>24.9</v>
      </c>
      <c r="Q773" t="s">
        <v>50</v>
      </c>
      <c r="R773" t="s">
        <v>46</v>
      </c>
      <c r="S773" t="s">
        <v>47</v>
      </c>
      <c r="T773" t="s">
        <v>47</v>
      </c>
      <c r="U773" t="s">
        <v>47</v>
      </c>
      <c r="V773" t="s">
        <v>151</v>
      </c>
      <c r="W773" t="s">
        <v>47</v>
      </c>
      <c r="X773" t="s">
        <v>47</v>
      </c>
      <c r="Y773" t="s">
        <v>46</v>
      </c>
      <c r="Z773" t="s">
        <v>47</v>
      </c>
      <c r="AA773" t="s">
        <v>46</v>
      </c>
      <c r="AB773" t="s">
        <v>46</v>
      </c>
      <c r="AC773" t="s">
        <v>47</v>
      </c>
      <c r="AD773" t="s">
        <v>47</v>
      </c>
      <c r="AE773" t="s">
        <v>47</v>
      </c>
      <c r="AF773" t="s">
        <v>47</v>
      </c>
      <c r="AG773" t="s">
        <v>121</v>
      </c>
      <c r="AH773" t="s">
        <v>122</v>
      </c>
      <c r="AI773" t="s">
        <v>54</v>
      </c>
      <c r="AJ773">
        <v>9.1999999999999993</v>
      </c>
      <c r="AK773" t="s">
        <v>46</v>
      </c>
      <c r="AL773" t="s">
        <v>156</v>
      </c>
      <c r="AM773" t="s">
        <v>118</v>
      </c>
      <c r="AN773">
        <v>8</v>
      </c>
      <c r="AO773" t="s">
        <v>47</v>
      </c>
    </row>
    <row r="774" spans="1:41">
      <c r="A774" t="s">
        <v>926</v>
      </c>
      <c r="B774">
        <v>2024</v>
      </c>
      <c r="C774" s="1">
        <v>45318</v>
      </c>
      <c r="D774" t="s">
        <v>95</v>
      </c>
      <c r="E774" t="s">
        <v>120</v>
      </c>
      <c r="F774">
        <v>75</v>
      </c>
      <c r="G774" t="s">
        <v>60</v>
      </c>
      <c r="H774" t="s">
        <v>45</v>
      </c>
      <c r="I774">
        <v>10</v>
      </c>
      <c r="J774">
        <v>30</v>
      </c>
      <c r="K774" t="s">
        <v>46</v>
      </c>
      <c r="L774" t="s">
        <v>47</v>
      </c>
      <c r="M774" t="s">
        <v>47</v>
      </c>
      <c r="N774" t="s">
        <v>50</v>
      </c>
      <c r="O774" t="s">
        <v>48</v>
      </c>
      <c r="P774">
        <v>23.4</v>
      </c>
      <c r="Q774" t="s">
        <v>62</v>
      </c>
      <c r="R774" t="s">
        <v>46</v>
      </c>
      <c r="S774" t="s">
        <v>47</v>
      </c>
      <c r="T774" t="s">
        <v>47</v>
      </c>
      <c r="U774" t="s">
        <v>47</v>
      </c>
      <c r="V774" t="s">
        <v>51</v>
      </c>
      <c r="W774" t="s">
        <v>46</v>
      </c>
      <c r="X774" t="s">
        <v>46</v>
      </c>
      <c r="Y774" t="s">
        <v>46</v>
      </c>
      <c r="Z774" t="s">
        <v>46</v>
      </c>
      <c r="AA774" t="s">
        <v>47</v>
      </c>
      <c r="AB774" t="s">
        <v>47</v>
      </c>
      <c r="AC774" t="s">
        <v>47</v>
      </c>
      <c r="AD774" t="s">
        <v>47</v>
      </c>
      <c r="AE774" t="s">
        <v>47</v>
      </c>
      <c r="AF774" t="s">
        <v>47</v>
      </c>
      <c r="AG774" t="s">
        <v>121</v>
      </c>
      <c r="AH774" t="s">
        <v>122</v>
      </c>
      <c r="AI774" t="s">
        <v>87</v>
      </c>
      <c r="AJ774">
        <v>5</v>
      </c>
      <c r="AK774" t="s">
        <v>47</v>
      </c>
      <c r="AL774" t="s">
        <v>100</v>
      </c>
      <c r="AM774" t="s">
        <v>77</v>
      </c>
      <c r="AN774">
        <v>40</v>
      </c>
      <c r="AO774" t="s">
        <v>47</v>
      </c>
    </row>
    <row r="775" spans="1:41">
      <c r="A775" t="s">
        <v>927</v>
      </c>
      <c r="B775">
        <v>2023</v>
      </c>
      <c r="C775" s="1">
        <v>45174</v>
      </c>
      <c r="D775" t="s">
        <v>42</v>
      </c>
      <c r="E775" t="s">
        <v>247</v>
      </c>
      <c r="F775">
        <v>63</v>
      </c>
      <c r="G775" t="s">
        <v>60</v>
      </c>
      <c r="H775" t="s">
        <v>70</v>
      </c>
      <c r="I775">
        <v>0</v>
      </c>
      <c r="J775">
        <v>0</v>
      </c>
      <c r="K775" t="s">
        <v>47</v>
      </c>
      <c r="L775" t="s">
        <v>47</v>
      </c>
      <c r="M775" t="s">
        <v>47</v>
      </c>
      <c r="N775" t="s">
        <v>62</v>
      </c>
      <c r="O775" t="s">
        <v>49</v>
      </c>
      <c r="P775">
        <v>29.7</v>
      </c>
      <c r="Q775" t="s">
        <v>48</v>
      </c>
      <c r="R775" t="s">
        <v>47</v>
      </c>
      <c r="S775" t="s">
        <v>47</v>
      </c>
      <c r="T775" t="s">
        <v>47</v>
      </c>
      <c r="U775" t="s">
        <v>47</v>
      </c>
      <c r="V775" t="s">
        <v>51</v>
      </c>
      <c r="W775" t="s">
        <v>47</v>
      </c>
      <c r="X775" t="s">
        <v>47</v>
      </c>
      <c r="Y775" t="s">
        <v>47</v>
      </c>
      <c r="Z775" t="s">
        <v>47</v>
      </c>
      <c r="AA775" t="s">
        <v>46</v>
      </c>
      <c r="AB775" t="s">
        <v>46</v>
      </c>
      <c r="AC775" t="s">
        <v>47</v>
      </c>
      <c r="AD775" t="s">
        <v>47</v>
      </c>
      <c r="AE775" t="s">
        <v>47</v>
      </c>
      <c r="AF775" t="s">
        <v>47</v>
      </c>
      <c r="AG775" t="s">
        <v>52</v>
      </c>
      <c r="AH775" t="s">
        <v>53</v>
      </c>
      <c r="AI775" t="s">
        <v>80</v>
      </c>
      <c r="AJ775">
        <v>6.1</v>
      </c>
      <c r="AK775" t="s">
        <v>47</v>
      </c>
      <c r="AL775" t="s">
        <v>76</v>
      </c>
      <c r="AM775" t="s">
        <v>56</v>
      </c>
      <c r="AN775">
        <v>8</v>
      </c>
      <c r="AO775" t="s">
        <v>46</v>
      </c>
    </row>
    <row r="776" spans="1:41">
      <c r="A776" t="s">
        <v>928</v>
      </c>
      <c r="B776">
        <v>2021</v>
      </c>
      <c r="C776" s="1">
        <v>44261</v>
      </c>
      <c r="D776" t="s">
        <v>58</v>
      </c>
      <c r="E776" t="s">
        <v>138</v>
      </c>
      <c r="F776">
        <v>62</v>
      </c>
      <c r="G776" t="s">
        <v>60</v>
      </c>
      <c r="H776" t="s">
        <v>70</v>
      </c>
      <c r="I776">
        <v>0</v>
      </c>
      <c r="J776">
        <v>0</v>
      </c>
      <c r="K776" t="s">
        <v>47</v>
      </c>
      <c r="L776" t="s">
        <v>46</v>
      </c>
      <c r="M776" t="s">
        <v>47</v>
      </c>
      <c r="N776" t="s">
        <v>48</v>
      </c>
      <c r="O776" t="s">
        <v>48</v>
      </c>
      <c r="P776">
        <v>22.3</v>
      </c>
      <c r="Q776" t="s">
        <v>62</v>
      </c>
      <c r="R776" t="s">
        <v>47</v>
      </c>
      <c r="S776" t="s">
        <v>47</v>
      </c>
      <c r="T776" t="s">
        <v>47</v>
      </c>
      <c r="U776" t="s">
        <v>47</v>
      </c>
      <c r="V776" t="s">
        <v>117</v>
      </c>
      <c r="W776" t="s">
        <v>47</v>
      </c>
      <c r="X776" t="s">
        <v>47</v>
      </c>
      <c r="Y776" t="s">
        <v>47</v>
      </c>
      <c r="Z776" t="s">
        <v>47</v>
      </c>
      <c r="AA776" t="s">
        <v>46</v>
      </c>
      <c r="AB776" t="s">
        <v>46</v>
      </c>
      <c r="AC776" t="s">
        <v>47</v>
      </c>
      <c r="AD776" t="s">
        <v>46</v>
      </c>
      <c r="AE776" t="s">
        <v>47</v>
      </c>
      <c r="AF776" t="s">
        <v>46</v>
      </c>
      <c r="AG776" t="s">
        <v>52</v>
      </c>
      <c r="AH776" t="s">
        <v>53</v>
      </c>
      <c r="AI776" t="s">
        <v>54</v>
      </c>
      <c r="AJ776">
        <v>6.8</v>
      </c>
      <c r="AK776" t="s">
        <v>46</v>
      </c>
      <c r="AL776" t="s">
        <v>156</v>
      </c>
      <c r="AM776" t="s">
        <v>103</v>
      </c>
      <c r="AN776">
        <v>5</v>
      </c>
      <c r="AO776" t="s">
        <v>47</v>
      </c>
    </row>
    <row r="777" spans="1:41">
      <c r="A777" t="s">
        <v>929</v>
      </c>
      <c r="B777">
        <v>2023</v>
      </c>
      <c r="C777" s="1">
        <v>45268</v>
      </c>
      <c r="D777" t="s">
        <v>58</v>
      </c>
      <c r="E777" t="s">
        <v>138</v>
      </c>
      <c r="F777">
        <v>62</v>
      </c>
      <c r="G777" t="s">
        <v>60</v>
      </c>
      <c r="H777" t="s">
        <v>45</v>
      </c>
      <c r="I777">
        <v>18</v>
      </c>
      <c r="J777">
        <v>26</v>
      </c>
      <c r="K777" t="s">
        <v>46</v>
      </c>
      <c r="L777" t="s">
        <v>47</v>
      </c>
      <c r="M777" t="s">
        <v>47</v>
      </c>
      <c r="N777" t="s">
        <v>50</v>
      </c>
      <c r="O777" t="s">
        <v>48</v>
      </c>
      <c r="P777">
        <v>23.2</v>
      </c>
      <c r="Q777" t="s">
        <v>50</v>
      </c>
      <c r="R777" t="s">
        <v>47</v>
      </c>
      <c r="S777" t="s">
        <v>47</v>
      </c>
      <c r="T777" t="s">
        <v>47</v>
      </c>
      <c r="U777" t="s">
        <v>47</v>
      </c>
      <c r="V777" t="s">
        <v>92</v>
      </c>
      <c r="W777" t="s">
        <v>46</v>
      </c>
      <c r="X777" t="s">
        <v>46</v>
      </c>
      <c r="Y777" t="s">
        <v>46</v>
      </c>
      <c r="Z777" t="s">
        <v>46</v>
      </c>
      <c r="AA777" t="s">
        <v>46</v>
      </c>
      <c r="AB777" t="s">
        <v>46</v>
      </c>
      <c r="AC777" t="s">
        <v>47</v>
      </c>
      <c r="AD777" t="s">
        <v>47</v>
      </c>
      <c r="AE777" t="s">
        <v>46</v>
      </c>
      <c r="AF777" t="s">
        <v>47</v>
      </c>
      <c r="AG777" t="s">
        <v>52</v>
      </c>
      <c r="AH777" t="s">
        <v>53</v>
      </c>
      <c r="AI777" t="s">
        <v>65</v>
      </c>
      <c r="AJ777">
        <v>2.6</v>
      </c>
      <c r="AK777" t="s">
        <v>47</v>
      </c>
      <c r="AL777" t="s">
        <v>156</v>
      </c>
      <c r="AM777" t="s">
        <v>73</v>
      </c>
      <c r="AN777">
        <v>43</v>
      </c>
      <c r="AO777" t="s">
        <v>47</v>
      </c>
    </row>
    <row r="778" spans="1:41">
      <c r="A778" t="s">
        <v>930</v>
      </c>
      <c r="B778">
        <v>2016</v>
      </c>
      <c r="C778" s="1">
        <v>42623</v>
      </c>
      <c r="D778" t="s">
        <v>110</v>
      </c>
      <c r="E778" t="s">
        <v>227</v>
      </c>
      <c r="F778">
        <v>56</v>
      </c>
      <c r="G778" t="s">
        <v>60</v>
      </c>
      <c r="H778" t="s">
        <v>70</v>
      </c>
      <c r="I778">
        <v>0</v>
      </c>
      <c r="J778">
        <v>0</v>
      </c>
      <c r="K778" t="s">
        <v>47</v>
      </c>
      <c r="L778" t="s">
        <v>47</v>
      </c>
      <c r="M778" t="s">
        <v>47</v>
      </c>
      <c r="N778" t="s">
        <v>50</v>
      </c>
      <c r="O778" t="s">
        <v>48</v>
      </c>
      <c r="P778">
        <v>30.3</v>
      </c>
      <c r="Q778" t="s">
        <v>50</v>
      </c>
      <c r="R778" t="s">
        <v>47</v>
      </c>
      <c r="S778" t="s">
        <v>47</v>
      </c>
      <c r="T778" t="s">
        <v>47</v>
      </c>
      <c r="U778" t="s">
        <v>47</v>
      </c>
      <c r="V778" t="s">
        <v>128</v>
      </c>
      <c r="W778" t="s">
        <v>46</v>
      </c>
      <c r="X778" t="s">
        <v>46</v>
      </c>
      <c r="Y778" t="s">
        <v>47</v>
      </c>
      <c r="Z778" t="s">
        <v>46</v>
      </c>
      <c r="AA778" t="s">
        <v>46</v>
      </c>
      <c r="AB778" t="s">
        <v>47</v>
      </c>
      <c r="AC778" t="s">
        <v>47</v>
      </c>
      <c r="AD778" t="s">
        <v>47</v>
      </c>
      <c r="AE778" t="s">
        <v>47</v>
      </c>
      <c r="AF778" t="s">
        <v>47</v>
      </c>
      <c r="AG778" t="s">
        <v>52</v>
      </c>
      <c r="AH778" t="s">
        <v>53</v>
      </c>
      <c r="AI778" t="s">
        <v>80</v>
      </c>
      <c r="AJ778">
        <v>8.1999999999999993</v>
      </c>
      <c r="AK778" t="s">
        <v>47</v>
      </c>
      <c r="AL778" t="s">
        <v>55</v>
      </c>
      <c r="AM778" t="s">
        <v>77</v>
      </c>
      <c r="AN778">
        <v>10</v>
      </c>
      <c r="AO778" t="s">
        <v>46</v>
      </c>
    </row>
    <row r="779" spans="1:41">
      <c r="A779" t="s">
        <v>931</v>
      </c>
      <c r="B779">
        <v>2016</v>
      </c>
      <c r="C779" s="1">
        <v>42497</v>
      </c>
      <c r="D779" t="s">
        <v>95</v>
      </c>
      <c r="E779" t="s">
        <v>147</v>
      </c>
      <c r="F779">
        <v>61</v>
      </c>
      <c r="G779" t="s">
        <v>60</v>
      </c>
      <c r="H779" t="s">
        <v>45</v>
      </c>
      <c r="I779">
        <v>5</v>
      </c>
      <c r="J779">
        <v>15</v>
      </c>
      <c r="K779" t="s">
        <v>47</v>
      </c>
      <c r="L779" t="s">
        <v>47</v>
      </c>
      <c r="M779" t="s">
        <v>47</v>
      </c>
      <c r="N779" t="s">
        <v>48</v>
      </c>
      <c r="O779" t="s">
        <v>48</v>
      </c>
      <c r="P779">
        <v>27.8</v>
      </c>
      <c r="Q779" t="s">
        <v>48</v>
      </c>
      <c r="R779" t="s">
        <v>47</v>
      </c>
      <c r="S779" t="s">
        <v>47</v>
      </c>
      <c r="T779" t="s">
        <v>46</v>
      </c>
      <c r="U779" t="s">
        <v>47</v>
      </c>
      <c r="V779" t="s">
        <v>151</v>
      </c>
      <c r="W779" t="s">
        <v>46</v>
      </c>
      <c r="X779" t="s">
        <v>46</v>
      </c>
      <c r="Y779" t="s">
        <v>47</v>
      </c>
      <c r="Z779" t="s">
        <v>47</v>
      </c>
      <c r="AA779" t="s">
        <v>46</v>
      </c>
      <c r="AB779" t="s">
        <v>47</v>
      </c>
      <c r="AC779" t="s">
        <v>47</v>
      </c>
      <c r="AD779" t="s">
        <v>47</v>
      </c>
      <c r="AE779" t="s">
        <v>47</v>
      </c>
      <c r="AF779" t="s">
        <v>47</v>
      </c>
      <c r="AG779" t="s">
        <v>121</v>
      </c>
      <c r="AH779" t="s">
        <v>122</v>
      </c>
      <c r="AI779" t="s">
        <v>80</v>
      </c>
      <c r="AJ779">
        <v>4.3</v>
      </c>
      <c r="AK779" t="s">
        <v>47</v>
      </c>
      <c r="AL779" t="s">
        <v>66</v>
      </c>
      <c r="AM779" t="s">
        <v>56</v>
      </c>
      <c r="AN779">
        <v>5</v>
      </c>
      <c r="AO779" t="s">
        <v>47</v>
      </c>
    </row>
    <row r="780" spans="1:41">
      <c r="A780" t="s">
        <v>932</v>
      </c>
      <c r="B780">
        <v>2017</v>
      </c>
      <c r="C780" s="1">
        <v>42860</v>
      </c>
      <c r="D780" t="s">
        <v>110</v>
      </c>
      <c r="E780" t="s">
        <v>410</v>
      </c>
      <c r="F780">
        <v>49</v>
      </c>
      <c r="G780" t="s">
        <v>44</v>
      </c>
      <c r="H780" t="s">
        <v>70</v>
      </c>
      <c r="I780">
        <v>0</v>
      </c>
      <c r="J780">
        <v>0</v>
      </c>
      <c r="K780" t="s">
        <v>46</v>
      </c>
      <c r="L780" t="s">
        <v>46</v>
      </c>
      <c r="M780" t="s">
        <v>46</v>
      </c>
      <c r="N780" t="s">
        <v>48</v>
      </c>
      <c r="O780" t="s">
        <v>49</v>
      </c>
      <c r="P780">
        <v>31.4</v>
      </c>
      <c r="Q780" t="s">
        <v>48</v>
      </c>
      <c r="R780" t="s">
        <v>47</v>
      </c>
      <c r="S780" t="s">
        <v>47</v>
      </c>
      <c r="T780" t="s">
        <v>47</v>
      </c>
      <c r="U780" t="s">
        <v>47</v>
      </c>
      <c r="V780" t="s">
        <v>86</v>
      </c>
      <c r="W780" t="s">
        <v>47</v>
      </c>
      <c r="X780" t="s">
        <v>47</v>
      </c>
      <c r="Y780" t="s">
        <v>47</v>
      </c>
      <c r="Z780" t="s">
        <v>47</v>
      </c>
      <c r="AA780" t="s">
        <v>46</v>
      </c>
      <c r="AB780" t="s">
        <v>47</v>
      </c>
      <c r="AC780" t="s">
        <v>47</v>
      </c>
      <c r="AD780" t="s">
        <v>46</v>
      </c>
      <c r="AE780" t="s">
        <v>47</v>
      </c>
      <c r="AF780" t="s">
        <v>46</v>
      </c>
      <c r="AG780" t="s">
        <v>121</v>
      </c>
      <c r="AH780" t="s">
        <v>122</v>
      </c>
      <c r="AI780" t="s">
        <v>65</v>
      </c>
      <c r="AJ780">
        <v>1.9</v>
      </c>
      <c r="AK780" t="s">
        <v>47</v>
      </c>
      <c r="AL780" t="s">
        <v>72</v>
      </c>
      <c r="AM780" t="s">
        <v>73</v>
      </c>
      <c r="AN780">
        <v>44</v>
      </c>
      <c r="AO780" t="s">
        <v>47</v>
      </c>
    </row>
    <row r="781" spans="1:41">
      <c r="A781" t="s">
        <v>933</v>
      </c>
      <c r="B781">
        <v>2018</v>
      </c>
      <c r="C781" s="1">
        <v>43391</v>
      </c>
      <c r="D781" t="s">
        <v>84</v>
      </c>
      <c r="E781" t="s">
        <v>85</v>
      </c>
      <c r="F781">
        <v>47</v>
      </c>
      <c r="G781" t="s">
        <v>60</v>
      </c>
      <c r="H781" t="s">
        <v>45</v>
      </c>
      <c r="I781">
        <v>16</v>
      </c>
      <c r="J781">
        <v>13</v>
      </c>
      <c r="K781" t="s">
        <v>47</v>
      </c>
      <c r="L781" t="s">
        <v>47</v>
      </c>
      <c r="M781" t="s">
        <v>47</v>
      </c>
      <c r="N781" t="s">
        <v>62</v>
      </c>
      <c r="O781" t="s">
        <v>63</v>
      </c>
      <c r="P781">
        <v>27.9</v>
      </c>
      <c r="Q781" t="s">
        <v>48</v>
      </c>
      <c r="R781" t="s">
        <v>47</v>
      </c>
      <c r="S781" t="s">
        <v>47</v>
      </c>
      <c r="T781" t="s">
        <v>47</v>
      </c>
      <c r="U781" t="s">
        <v>47</v>
      </c>
      <c r="V781" t="s">
        <v>51</v>
      </c>
      <c r="W781" t="s">
        <v>46</v>
      </c>
      <c r="X781" t="s">
        <v>46</v>
      </c>
      <c r="Y781" t="s">
        <v>46</v>
      </c>
      <c r="Z781" t="s">
        <v>47</v>
      </c>
      <c r="AA781" t="s">
        <v>46</v>
      </c>
      <c r="AB781" t="s">
        <v>46</v>
      </c>
      <c r="AC781" t="s">
        <v>46</v>
      </c>
      <c r="AD781" t="s">
        <v>46</v>
      </c>
      <c r="AE781" t="s">
        <v>47</v>
      </c>
      <c r="AF781" t="s">
        <v>47</v>
      </c>
      <c r="AG781" t="s">
        <v>52</v>
      </c>
      <c r="AH781" t="s">
        <v>71</v>
      </c>
      <c r="AI781" t="s">
        <v>54</v>
      </c>
      <c r="AJ781">
        <v>7.3</v>
      </c>
      <c r="AK781" t="s">
        <v>46</v>
      </c>
      <c r="AL781" t="s">
        <v>55</v>
      </c>
      <c r="AM781" t="s">
        <v>118</v>
      </c>
      <c r="AN781">
        <v>1</v>
      </c>
      <c r="AO781" t="s">
        <v>47</v>
      </c>
    </row>
    <row r="782" spans="1:41">
      <c r="A782" t="s">
        <v>934</v>
      </c>
      <c r="B782">
        <v>2018</v>
      </c>
      <c r="C782" s="1">
        <v>43364</v>
      </c>
      <c r="D782" t="s">
        <v>95</v>
      </c>
      <c r="E782" t="s">
        <v>105</v>
      </c>
      <c r="F782">
        <v>57</v>
      </c>
      <c r="G782" t="s">
        <v>60</v>
      </c>
      <c r="H782" t="s">
        <v>70</v>
      </c>
      <c r="I782">
        <v>0</v>
      </c>
      <c r="J782">
        <v>0</v>
      </c>
      <c r="K782" t="s">
        <v>47</v>
      </c>
      <c r="L782" t="s">
        <v>47</v>
      </c>
      <c r="M782" t="s">
        <v>47</v>
      </c>
      <c r="N782" t="s">
        <v>62</v>
      </c>
      <c r="O782" t="s">
        <v>49</v>
      </c>
      <c r="P782">
        <v>25.7</v>
      </c>
      <c r="Q782" t="s">
        <v>50</v>
      </c>
      <c r="R782" t="s">
        <v>47</v>
      </c>
      <c r="S782" t="s">
        <v>47</v>
      </c>
      <c r="T782" t="s">
        <v>47</v>
      </c>
      <c r="U782" t="s">
        <v>47</v>
      </c>
      <c r="V782" t="s">
        <v>151</v>
      </c>
      <c r="W782" t="s">
        <v>47</v>
      </c>
      <c r="X782" t="s">
        <v>46</v>
      </c>
      <c r="Y782" t="s">
        <v>47</v>
      </c>
      <c r="Z782" t="s">
        <v>47</v>
      </c>
      <c r="AA782" t="s">
        <v>46</v>
      </c>
      <c r="AB782" t="s">
        <v>46</v>
      </c>
      <c r="AC782" t="s">
        <v>47</v>
      </c>
      <c r="AD782" t="s">
        <v>46</v>
      </c>
      <c r="AE782" t="s">
        <v>47</v>
      </c>
      <c r="AF782" t="s">
        <v>47</v>
      </c>
      <c r="AG782" t="s">
        <v>121</v>
      </c>
      <c r="AH782" t="s">
        <v>122</v>
      </c>
      <c r="AI782" t="s">
        <v>80</v>
      </c>
      <c r="AJ782">
        <v>3.2</v>
      </c>
      <c r="AK782" t="s">
        <v>47</v>
      </c>
      <c r="AL782" t="s">
        <v>76</v>
      </c>
      <c r="AM782" t="s">
        <v>82</v>
      </c>
      <c r="AN782">
        <v>10</v>
      </c>
      <c r="AO782" t="s">
        <v>47</v>
      </c>
    </row>
    <row r="783" spans="1:41">
      <c r="A783" t="s">
        <v>935</v>
      </c>
      <c r="B783">
        <v>2023</v>
      </c>
      <c r="C783" s="1">
        <v>45218</v>
      </c>
      <c r="D783" t="s">
        <v>42</v>
      </c>
      <c r="E783" t="s">
        <v>166</v>
      </c>
      <c r="F783">
        <v>81</v>
      </c>
      <c r="G783" t="s">
        <v>60</v>
      </c>
      <c r="H783" t="s">
        <v>45</v>
      </c>
      <c r="I783">
        <v>9</v>
      </c>
      <c r="J783">
        <v>43</v>
      </c>
      <c r="K783" t="s">
        <v>47</v>
      </c>
      <c r="L783" t="s">
        <v>46</v>
      </c>
      <c r="M783" t="s">
        <v>47</v>
      </c>
      <c r="N783" t="s">
        <v>62</v>
      </c>
      <c r="O783" t="s">
        <v>49</v>
      </c>
      <c r="P783">
        <v>21.9</v>
      </c>
      <c r="Q783" t="s">
        <v>48</v>
      </c>
      <c r="R783" t="s">
        <v>46</v>
      </c>
      <c r="S783" t="s">
        <v>47</v>
      </c>
      <c r="T783" t="s">
        <v>47</v>
      </c>
      <c r="U783" t="s">
        <v>46</v>
      </c>
      <c r="V783" t="s">
        <v>64</v>
      </c>
      <c r="W783" t="s">
        <v>46</v>
      </c>
      <c r="X783" t="s">
        <v>46</v>
      </c>
      <c r="Y783" t="s">
        <v>47</v>
      </c>
      <c r="Z783" t="s">
        <v>46</v>
      </c>
      <c r="AA783" t="s">
        <v>46</v>
      </c>
      <c r="AB783" t="s">
        <v>47</v>
      </c>
      <c r="AC783" t="s">
        <v>46</v>
      </c>
      <c r="AD783" t="s">
        <v>47</v>
      </c>
      <c r="AE783" t="s">
        <v>47</v>
      </c>
      <c r="AF783" t="s">
        <v>47</v>
      </c>
      <c r="AG783" t="s">
        <v>121</v>
      </c>
      <c r="AH783" t="s">
        <v>122</v>
      </c>
      <c r="AI783" t="s">
        <v>54</v>
      </c>
      <c r="AJ783">
        <v>5.6</v>
      </c>
      <c r="AK783" t="s">
        <v>46</v>
      </c>
      <c r="AL783" t="s">
        <v>76</v>
      </c>
      <c r="AM783" t="s">
        <v>56</v>
      </c>
      <c r="AN783">
        <v>4</v>
      </c>
      <c r="AO783" t="s">
        <v>47</v>
      </c>
    </row>
    <row r="784" spans="1:41">
      <c r="A784" t="s">
        <v>936</v>
      </c>
      <c r="B784">
        <v>2023</v>
      </c>
      <c r="C784" s="1">
        <v>45007</v>
      </c>
      <c r="D784" t="s">
        <v>98</v>
      </c>
      <c r="E784" t="s">
        <v>484</v>
      </c>
      <c r="F784">
        <v>67</v>
      </c>
      <c r="G784" t="s">
        <v>60</v>
      </c>
      <c r="H784" t="s">
        <v>70</v>
      </c>
      <c r="I784">
        <v>0</v>
      </c>
      <c r="J784">
        <v>0</v>
      </c>
      <c r="K784" t="s">
        <v>46</v>
      </c>
      <c r="L784" t="s">
        <v>47</v>
      </c>
      <c r="M784" t="s">
        <v>47</v>
      </c>
      <c r="N784" t="s">
        <v>48</v>
      </c>
      <c r="O784" t="s">
        <v>49</v>
      </c>
      <c r="P784">
        <v>28</v>
      </c>
      <c r="Q784" t="s">
        <v>50</v>
      </c>
      <c r="R784" t="s">
        <v>47</v>
      </c>
      <c r="S784" t="s">
        <v>47</v>
      </c>
      <c r="T784" t="s">
        <v>47</v>
      </c>
      <c r="U784" t="s">
        <v>47</v>
      </c>
      <c r="V784" t="s">
        <v>86</v>
      </c>
      <c r="W784" t="s">
        <v>47</v>
      </c>
      <c r="X784" t="s">
        <v>46</v>
      </c>
      <c r="Y784" t="s">
        <v>47</v>
      </c>
      <c r="Z784" t="s">
        <v>47</v>
      </c>
      <c r="AA784" t="s">
        <v>46</v>
      </c>
      <c r="AB784" t="s">
        <v>47</v>
      </c>
      <c r="AC784" t="s">
        <v>47</v>
      </c>
      <c r="AD784" t="s">
        <v>47</v>
      </c>
      <c r="AE784" t="s">
        <v>47</v>
      </c>
      <c r="AF784" t="s">
        <v>47</v>
      </c>
      <c r="AG784" t="s">
        <v>52</v>
      </c>
      <c r="AH784" t="s">
        <v>53</v>
      </c>
      <c r="AI784" t="s">
        <v>54</v>
      </c>
      <c r="AJ784">
        <v>10.3</v>
      </c>
      <c r="AK784" t="s">
        <v>46</v>
      </c>
      <c r="AL784" t="s">
        <v>72</v>
      </c>
      <c r="AM784" t="s">
        <v>118</v>
      </c>
      <c r="AN784">
        <v>8</v>
      </c>
      <c r="AO784" t="s">
        <v>47</v>
      </c>
    </row>
    <row r="785" spans="1:41">
      <c r="A785" t="s">
        <v>937</v>
      </c>
      <c r="B785">
        <v>2024</v>
      </c>
      <c r="C785" s="1">
        <v>45646</v>
      </c>
      <c r="D785" t="s">
        <v>84</v>
      </c>
      <c r="E785" t="s">
        <v>189</v>
      </c>
      <c r="F785">
        <v>72</v>
      </c>
      <c r="G785" t="s">
        <v>60</v>
      </c>
      <c r="H785" t="s">
        <v>70</v>
      </c>
      <c r="I785">
        <v>0</v>
      </c>
      <c r="J785">
        <v>0</v>
      </c>
      <c r="K785" t="s">
        <v>46</v>
      </c>
      <c r="L785" t="s">
        <v>47</v>
      </c>
      <c r="M785" t="s">
        <v>47</v>
      </c>
      <c r="N785" t="s">
        <v>62</v>
      </c>
      <c r="O785" t="s">
        <v>63</v>
      </c>
      <c r="P785">
        <v>28.1</v>
      </c>
      <c r="Q785" t="s">
        <v>62</v>
      </c>
      <c r="R785" t="s">
        <v>47</v>
      </c>
      <c r="S785" t="s">
        <v>47</v>
      </c>
      <c r="T785" t="s">
        <v>47</v>
      </c>
      <c r="U785" t="s">
        <v>47</v>
      </c>
      <c r="V785" t="s">
        <v>171</v>
      </c>
      <c r="W785" t="s">
        <v>47</v>
      </c>
      <c r="X785" t="s">
        <v>47</v>
      </c>
      <c r="Y785" t="s">
        <v>47</v>
      </c>
      <c r="Z785" t="s">
        <v>47</v>
      </c>
      <c r="AA785" t="s">
        <v>46</v>
      </c>
      <c r="AB785" t="s">
        <v>47</v>
      </c>
      <c r="AC785" t="s">
        <v>47</v>
      </c>
      <c r="AD785" t="s">
        <v>47</v>
      </c>
      <c r="AE785" t="s">
        <v>47</v>
      </c>
      <c r="AF785" t="s">
        <v>47</v>
      </c>
      <c r="AG785" t="s">
        <v>52</v>
      </c>
      <c r="AH785" t="s">
        <v>53</v>
      </c>
      <c r="AI785" t="s">
        <v>87</v>
      </c>
      <c r="AJ785">
        <v>2.2999999999999998</v>
      </c>
      <c r="AK785" t="s">
        <v>47</v>
      </c>
      <c r="AL785" t="s">
        <v>76</v>
      </c>
      <c r="AM785" t="s">
        <v>103</v>
      </c>
      <c r="AN785">
        <v>42</v>
      </c>
      <c r="AO785" t="s">
        <v>46</v>
      </c>
    </row>
    <row r="786" spans="1:41">
      <c r="A786" t="s">
        <v>938</v>
      </c>
      <c r="B786">
        <v>2021</v>
      </c>
      <c r="C786" s="1">
        <v>44471</v>
      </c>
      <c r="D786" t="s">
        <v>42</v>
      </c>
      <c r="E786" t="s">
        <v>43</v>
      </c>
      <c r="F786">
        <v>66</v>
      </c>
      <c r="G786" t="s">
        <v>44</v>
      </c>
      <c r="H786" t="s">
        <v>45</v>
      </c>
      <c r="I786">
        <v>30</v>
      </c>
      <c r="J786">
        <v>20</v>
      </c>
      <c r="K786" t="s">
        <v>47</v>
      </c>
      <c r="L786" t="s">
        <v>47</v>
      </c>
      <c r="M786" t="s">
        <v>47</v>
      </c>
      <c r="N786" t="s">
        <v>50</v>
      </c>
      <c r="O786" t="s">
        <v>49</v>
      </c>
      <c r="P786">
        <v>30</v>
      </c>
      <c r="Q786" t="s">
        <v>50</v>
      </c>
      <c r="R786" t="s">
        <v>46</v>
      </c>
      <c r="S786" t="s">
        <v>47</v>
      </c>
      <c r="T786" t="s">
        <v>47</v>
      </c>
      <c r="U786" t="s">
        <v>47</v>
      </c>
      <c r="V786" t="s">
        <v>193</v>
      </c>
      <c r="W786" t="s">
        <v>46</v>
      </c>
      <c r="X786" t="s">
        <v>46</v>
      </c>
      <c r="Y786" t="s">
        <v>47</v>
      </c>
      <c r="Z786" t="s">
        <v>47</v>
      </c>
      <c r="AA786" t="s">
        <v>46</v>
      </c>
      <c r="AB786" t="s">
        <v>46</v>
      </c>
      <c r="AC786" t="s">
        <v>46</v>
      </c>
      <c r="AD786" t="s">
        <v>47</v>
      </c>
      <c r="AE786" t="s">
        <v>47</v>
      </c>
      <c r="AF786" t="s">
        <v>47</v>
      </c>
      <c r="AG786" t="s">
        <v>52</v>
      </c>
      <c r="AH786" t="s">
        <v>53</v>
      </c>
      <c r="AI786" t="s">
        <v>54</v>
      </c>
      <c r="AJ786">
        <v>6.8</v>
      </c>
      <c r="AK786" t="s">
        <v>46</v>
      </c>
      <c r="AL786" t="s">
        <v>100</v>
      </c>
      <c r="AM786" t="s">
        <v>82</v>
      </c>
      <c r="AN786">
        <v>9</v>
      </c>
      <c r="AO786" t="s">
        <v>47</v>
      </c>
    </row>
    <row r="787" spans="1:41">
      <c r="A787" t="s">
        <v>939</v>
      </c>
      <c r="B787">
        <v>2024</v>
      </c>
      <c r="C787" s="1">
        <v>45324</v>
      </c>
      <c r="D787" t="s">
        <v>110</v>
      </c>
      <c r="E787" t="s">
        <v>124</v>
      </c>
      <c r="F787">
        <v>52</v>
      </c>
      <c r="G787" t="s">
        <v>44</v>
      </c>
      <c r="H787" t="s">
        <v>70</v>
      </c>
      <c r="I787">
        <v>0</v>
      </c>
      <c r="J787">
        <v>0</v>
      </c>
      <c r="K787" t="s">
        <v>46</v>
      </c>
      <c r="L787" t="s">
        <v>47</v>
      </c>
      <c r="M787" t="s">
        <v>46</v>
      </c>
      <c r="N787" t="s">
        <v>62</v>
      </c>
      <c r="O787" t="s">
        <v>63</v>
      </c>
      <c r="P787">
        <v>28.2</v>
      </c>
      <c r="Q787" t="s">
        <v>48</v>
      </c>
      <c r="R787" t="s">
        <v>47</v>
      </c>
      <c r="S787" t="s">
        <v>47</v>
      </c>
      <c r="T787" t="s">
        <v>47</v>
      </c>
      <c r="U787" t="s">
        <v>47</v>
      </c>
      <c r="V787" t="s">
        <v>64</v>
      </c>
      <c r="W787" t="s">
        <v>47</v>
      </c>
      <c r="X787" t="s">
        <v>47</v>
      </c>
      <c r="Y787" t="s">
        <v>47</v>
      </c>
      <c r="Z787" t="s">
        <v>47</v>
      </c>
      <c r="AA787" t="s">
        <v>46</v>
      </c>
      <c r="AB787" t="s">
        <v>47</v>
      </c>
      <c r="AC787" t="s">
        <v>47</v>
      </c>
      <c r="AD787" t="s">
        <v>47</v>
      </c>
      <c r="AE787" t="s">
        <v>47</v>
      </c>
      <c r="AF787" t="s">
        <v>47</v>
      </c>
      <c r="AG787" t="s">
        <v>52</v>
      </c>
      <c r="AH787" t="s">
        <v>53</v>
      </c>
      <c r="AI787" t="s">
        <v>87</v>
      </c>
      <c r="AJ787">
        <v>5.0999999999999996</v>
      </c>
      <c r="AK787" t="s">
        <v>47</v>
      </c>
      <c r="AL787" t="s">
        <v>100</v>
      </c>
      <c r="AM787" t="s">
        <v>73</v>
      </c>
      <c r="AN787">
        <v>27</v>
      </c>
      <c r="AO787" t="s">
        <v>47</v>
      </c>
    </row>
    <row r="788" spans="1:41">
      <c r="A788" t="s">
        <v>940</v>
      </c>
      <c r="B788">
        <v>2023</v>
      </c>
      <c r="C788" s="1">
        <v>45067</v>
      </c>
      <c r="D788" t="s">
        <v>42</v>
      </c>
      <c r="E788" t="s">
        <v>160</v>
      </c>
      <c r="F788">
        <v>68</v>
      </c>
      <c r="G788" t="s">
        <v>60</v>
      </c>
      <c r="H788" t="s">
        <v>45</v>
      </c>
      <c r="I788">
        <v>25</v>
      </c>
      <c r="J788">
        <v>26</v>
      </c>
      <c r="K788" t="s">
        <v>47</v>
      </c>
      <c r="L788" t="s">
        <v>46</v>
      </c>
      <c r="M788" t="s">
        <v>47</v>
      </c>
      <c r="N788" t="s">
        <v>48</v>
      </c>
      <c r="O788" t="s">
        <v>63</v>
      </c>
      <c r="P788">
        <v>23.4</v>
      </c>
      <c r="Q788" t="s">
        <v>50</v>
      </c>
      <c r="R788" t="s">
        <v>46</v>
      </c>
      <c r="S788" t="s">
        <v>47</v>
      </c>
      <c r="T788" t="s">
        <v>47</v>
      </c>
      <c r="U788" t="s">
        <v>47</v>
      </c>
      <c r="V788" t="s">
        <v>51</v>
      </c>
      <c r="W788" t="s">
        <v>46</v>
      </c>
      <c r="X788" t="s">
        <v>46</v>
      </c>
      <c r="Y788" t="s">
        <v>46</v>
      </c>
      <c r="Z788" t="s">
        <v>46</v>
      </c>
      <c r="AA788" t="s">
        <v>46</v>
      </c>
      <c r="AB788" t="s">
        <v>46</v>
      </c>
      <c r="AC788" t="s">
        <v>47</v>
      </c>
      <c r="AD788" t="s">
        <v>47</v>
      </c>
      <c r="AE788" t="s">
        <v>47</v>
      </c>
      <c r="AF788" t="s">
        <v>47</v>
      </c>
      <c r="AG788" t="s">
        <v>52</v>
      </c>
      <c r="AH788" t="s">
        <v>71</v>
      </c>
      <c r="AI788" t="s">
        <v>54</v>
      </c>
      <c r="AJ788">
        <v>3.6</v>
      </c>
      <c r="AK788" t="s">
        <v>46</v>
      </c>
      <c r="AL788" t="s">
        <v>81</v>
      </c>
      <c r="AM788" t="s">
        <v>77</v>
      </c>
      <c r="AN788">
        <v>8</v>
      </c>
      <c r="AO788" t="s">
        <v>47</v>
      </c>
    </row>
    <row r="789" spans="1:41">
      <c r="A789" t="s">
        <v>941</v>
      </c>
      <c r="B789">
        <v>2025</v>
      </c>
      <c r="C789" s="1">
        <v>45944</v>
      </c>
      <c r="D789" t="s">
        <v>110</v>
      </c>
      <c r="E789" t="s">
        <v>124</v>
      </c>
      <c r="F789">
        <v>56</v>
      </c>
      <c r="G789" t="s">
        <v>44</v>
      </c>
      <c r="H789" t="s">
        <v>70</v>
      </c>
      <c r="I789">
        <v>0</v>
      </c>
      <c r="J789">
        <v>0</v>
      </c>
      <c r="K789" t="s">
        <v>46</v>
      </c>
      <c r="L789" t="s">
        <v>47</v>
      </c>
      <c r="M789" t="s">
        <v>46</v>
      </c>
      <c r="N789" t="s">
        <v>62</v>
      </c>
      <c r="O789" t="s">
        <v>63</v>
      </c>
      <c r="P789">
        <v>27.7</v>
      </c>
      <c r="Q789" t="s">
        <v>48</v>
      </c>
      <c r="R789" t="s">
        <v>47</v>
      </c>
      <c r="S789" t="s">
        <v>47</v>
      </c>
      <c r="T789" t="s">
        <v>47</v>
      </c>
      <c r="U789" t="s">
        <v>47</v>
      </c>
      <c r="V789" t="s">
        <v>193</v>
      </c>
      <c r="W789" t="s">
        <v>46</v>
      </c>
      <c r="X789" t="s">
        <v>47</v>
      </c>
      <c r="Y789" t="s">
        <v>47</v>
      </c>
      <c r="Z789" t="s">
        <v>47</v>
      </c>
      <c r="AA789" t="s">
        <v>47</v>
      </c>
      <c r="AB789" t="s">
        <v>47</v>
      </c>
      <c r="AC789" t="s">
        <v>47</v>
      </c>
      <c r="AD789" t="s">
        <v>47</v>
      </c>
      <c r="AE789" t="s">
        <v>47</v>
      </c>
      <c r="AF789" t="s">
        <v>47</v>
      </c>
      <c r="AG789" t="s">
        <v>52</v>
      </c>
      <c r="AH789" t="s">
        <v>71</v>
      </c>
      <c r="AI789" t="s">
        <v>65</v>
      </c>
      <c r="AJ789">
        <v>1.1000000000000001</v>
      </c>
      <c r="AK789" t="s">
        <v>47</v>
      </c>
      <c r="AL789" t="s">
        <v>81</v>
      </c>
      <c r="AM789" t="s">
        <v>103</v>
      </c>
      <c r="AN789">
        <v>93</v>
      </c>
      <c r="AO789" t="s">
        <v>46</v>
      </c>
    </row>
    <row r="790" spans="1:41">
      <c r="A790" t="s">
        <v>942</v>
      </c>
      <c r="B790">
        <v>2021</v>
      </c>
      <c r="C790" s="1">
        <v>44501</v>
      </c>
      <c r="D790" t="s">
        <v>42</v>
      </c>
      <c r="E790" t="s">
        <v>210</v>
      </c>
      <c r="F790">
        <v>67</v>
      </c>
      <c r="G790" t="s">
        <v>60</v>
      </c>
      <c r="H790" t="s">
        <v>45</v>
      </c>
      <c r="I790">
        <v>18</v>
      </c>
      <c r="J790">
        <v>32</v>
      </c>
      <c r="K790" t="s">
        <v>47</v>
      </c>
      <c r="L790" t="s">
        <v>47</v>
      </c>
      <c r="M790" t="s">
        <v>46</v>
      </c>
      <c r="N790" t="s">
        <v>50</v>
      </c>
      <c r="O790" t="s">
        <v>48</v>
      </c>
      <c r="P790">
        <v>31.1</v>
      </c>
      <c r="Q790" t="s">
        <v>48</v>
      </c>
      <c r="R790" t="s">
        <v>46</v>
      </c>
      <c r="S790" t="s">
        <v>46</v>
      </c>
      <c r="T790" t="s">
        <v>47</v>
      </c>
      <c r="U790" t="s">
        <v>46</v>
      </c>
      <c r="V790" t="s">
        <v>51</v>
      </c>
      <c r="W790" t="s">
        <v>47</v>
      </c>
      <c r="X790" t="s">
        <v>47</v>
      </c>
      <c r="Y790" t="s">
        <v>46</v>
      </c>
      <c r="Z790" t="s">
        <v>46</v>
      </c>
      <c r="AA790" t="s">
        <v>46</v>
      </c>
      <c r="AB790" t="s">
        <v>47</v>
      </c>
      <c r="AC790" t="s">
        <v>46</v>
      </c>
      <c r="AD790" t="s">
        <v>47</v>
      </c>
      <c r="AE790" t="s">
        <v>46</v>
      </c>
      <c r="AF790" t="s">
        <v>47</v>
      </c>
      <c r="AG790" t="s">
        <v>52</v>
      </c>
      <c r="AH790" t="s">
        <v>53</v>
      </c>
      <c r="AI790" t="s">
        <v>80</v>
      </c>
      <c r="AJ790">
        <v>6.3</v>
      </c>
      <c r="AK790" t="s">
        <v>47</v>
      </c>
      <c r="AL790" t="s">
        <v>66</v>
      </c>
      <c r="AM790" t="s">
        <v>56</v>
      </c>
      <c r="AN790">
        <v>25</v>
      </c>
      <c r="AO790" t="s">
        <v>47</v>
      </c>
    </row>
    <row r="791" spans="1:41">
      <c r="A791" t="s">
        <v>943</v>
      </c>
      <c r="B791">
        <v>2024</v>
      </c>
      <c r="C791" s="1">
        <v>45614</v>
      </c>
      <c r="D791" t="s">
        <v>42</v>
      </c>
      <c r="E791" t="s">
        <v>247</v>
      </c>
      <c r="F791">
        <v>67</v>
      </c>
      <c r="G791" t="s">
        <v>60</v>
      </c>
      <c r="H791" t="s">
        <v>45</v>
      </c>
      <c r="I791">
        <v>20</v>
      </c>
      <c r="J791">
        <v>31</v>
      </c>
      <c r="K791" t="s">
        <v>47</v>
      </c>
      <c r="L791" t="s">
        <v>47</v>
      </c>
      <c r="M791" t="s">
        <v>47</v>
      </c>
      <c r="N791" t="s">
        <v>48</v>
      </c>
      <c r="O791" t="s">
        <v>49</v>
      </c>
      <c r="P791">
        <v>29.5</v>
      </c>
      <c r="Q791" t="s">
        <v>50</v>
      </c>
      <c r="R791" t="s">
        <v>47</v>
      </c>
      <c r="S791" t="s">
        <v>47</v>
      </c>
      <c r="T791" t="s">
        <v>47</v>
      </c>
      <c r="U791" t="s">
        <v>47</v>
      </c>
      <c r="V791" t="s">
        <v>51</v>
      </c>
      <c r="W791" t="s">
        <v>46</v>
      </c>
      <c r="X791" t="s">
        <v>46</v>
      </c>
      <c r="Y791" t="s">
        <v>47</v>
      </c>
      <c r="Z791" t="s">
        <v>47</v>
      </c>
      <c r="AA791" t="s">
        <v>46</v>
      </c>
      <c r="AB791" t="s">
        <v>46</v>
      </c>
      <c r="AC791" t="s">
        <v>46</v>
      </c>
      <c r="AD791" t="s">
        <v>47</v>
      </c>
      <c r="AE791" t="s">
        <v>47</v>
      </c>
      <c r="AF791" t="s">
        <v>47</v>
      </c>
      <c r="AG791" t="s">
        <v>121</v>
      </c>
      <c r="AH791" t="s">
        <v>122</v>
      </c>
      <c r="AI791" t="s">
        <v>80</v>
      </c>
      <c r="AJ791">
        <v>3.5</v>
      </c>
      <c r="AK791" t="s">
        <v>46</v>
      </c>
      <c r="AL791" t="s">
        <v>81</v>
      </c>
      <c r="AM791" t="s">
        <v>56</v>
      </c>
      <c r="AN791">
        <v>22</v>
      </c>
      <c r="AO791" t="s">
        <v>47</v>
      </c>
    </row>
    <row r="792" spans="1:41">
      <c r="A792" t="s">
        <v>944</v>
      </c>
      <c r="B792">
        <v>2021</v>
      </c>
      <c r="C792" s="1">
        <v>44510</v>
      </c>
      <c r="D792" t="s">
        <v>98</v>
      </c>
      <c r="E792" t="s">
        <v>202</v>
      </c>
      <c r="F792">
        <v>73</v>
      </c>
      <c r="G792" t="s">
        <v>60</v>
      </c>
      <c r="H792" t="s">
        <v>70</v>
      </c>
      <c r="I792">
        <v>0</v>
      </c>
      <c r="J792">
        <v>0</v>
      </c>
      <c r="K792" t="s">
        <v>46</v>
      </c>
      <c r="L792" t="s">
        <v>47</v>
      </c>
      <c r="M792" t="s">
        <v>47</v>
      </c>
      <c r="N792" t="s">
        <v>62</v>
      </c>
      <c r="O792" t="s">
        <v>48</v>
      </c>
      <c r="P792">
        <v>28</v>
      </c>
      <c r="Q792" t="s">
        <v>62</v>
      </c>
      <c r="R792" t="s">
        <v>47</v>
      </c>
      <c r="S792" t="s">
        <v>47</v>
      </c>
      <c r="T792" t="s">
        <v>47</v>
      </c>
      <c r="U792" t="s">
        <v>47</v>
      </c>
      <c r="V792" t="s">
        <v>51</v>
      </c>
      <c r="W792" t="s">
        <v>47</v>
      </c>
      <c r="X792" t="s">
        <v>47</v>
      </c>
      <c r="Y792" t="s">
        <v>46</v>
      </c>
      <c r="Z792" t="s">
        <v>47</v>
      </c>
      <c r="AA792" t="s">
        <v>46</v>
      </c>
      <c r="AB792" t="s">
        <v>47</v>
      </c>
      <c r="AC792" t="s">
        <v>47</v>
      </c>
      <c r="AD792" t="s">
        <v>46</v>
      </c>
      <c r="AE792" t="s">
        <v>47</v>
      </c>
      <c r="AF792" t="s">
        <v>47</v>
      </c>
      <c r="AG792" t="s">
        <v>52</v>
      </c>
      <c r="AH792" t="s">
        <v>53</v>
      </c>
      <c r="AI792" t="s">
        <v>54</v>
      </c>
      <c r="AJ792">
        <v>8.1</v>
      </c>
      <c r="AK792" t="s">
        <v>46</v>
      </c>
      <c r="AL792" t="s">
        <v>81</v>
      </c>
      <c r="AM792" t="s">
        <v>82</v>
      </c>
      <c r="AN792">
        <v>3</v>
      </c>
      <c r="AO792" t="s">
        <v>47</v>
      </c>
    </row>
    <row r="793" spans="1:41">
      <c r="A793" t="s">
        <v>945</v>
      </c>
      <c r="B793">
        <v>2020</v>
      </c>
      <c r="C793" s="1">
        <v>43947</v>
      </c>
      <c r="D793" t="s">
        <v>110</v>
      </c>
      <c r="E793" t="s">
        <v>231</v>
      </c>
      <c r="F793">
        <v>46</v>
      </c>
      <c r="G793" t="s">
        <v>44</v>
      </c>
      <c r="H793" t="s">
        <v>70</v>
      </c>
      <c r="I793">
        <v>0</v>
      </c>
      <c r="J793">
        <v>0</v>
      </c>
      <c r="K793" t="s">
        <v>46</v>
      </c>
      <c r="L793" t="s">
        <v>47</v>
      </c>
      <c r="M793" t="s">
        <v>47</v>
      </c>
      <c r="N793" t="s">
        <v>48</v>
      </c>
      <c r="O793" t="s">
        <v>48</v>
      </c>
      <c r="P793">
        <v>30.3</v>
      </c>
      <c r="Q793" t="s">
        <v>48</v>
      </c>
      <c r="R793" t="s">
        <v>47</v>
      </c>
      <c r="S793" t="s">
        <v>47</v>
      </c>
      <c r="T793" t="s">
        <v>47</v>
      </c>
      <c r="U793" t="s">
        <v>47</v>
      </c>
      <c r="V793" t="s">
        <v>92</v>
      </c>
      <c r="W793" t="s">
        <v>46</v>
      </c>
      <c r="X793" t="s">
        <v>46</v>
      </c>
      <c r="Y793" t="s">
        <v>47</v>
      </c>
      <c r="Z793" t="s">
        <v>47</v>
      </c>
      <c r="AA793" t="s">
        <v>47</v>
      </c>
      <c r="AB793" t="s">
        <v>47</v>
      </c>
      <c r="AC793" t="s">
        <v>47</v>
      </c>
      <c r="AD793" t="s">
        <v>47</v>
      </c>
      <c r="AE793" t="s">
        <v>47</v>
      </c>
      <c r="AF793" t="s">
        <v>46</v>
      </c>
      <c r="AG793" t="s">
        <v>52</v>
      </c>
      <c r="AH793" t="s">
        <v>53</v>
      </c>
      <c r="AI793" t="s">
        <v>65</v>
      </c>
      <c r="AJ793">
        <v>0.7</v>
      </c>
      <c r="AK793" t="s">
        <v>47</v>
      </c>
      <c r="AL793" t="s">
        <v>72</v>
      </c>
      <c r="AM793" t="s">
        <v>73</v>
      </c>
      <c r="AN793">
        <v>36</v>
      </c>
      <c r="AO793" t="s">
        <v>46</v>
      </c>
    </row>
    <row r="794" spans="1:41">
      <c r="A794" t="s">
        <v>946</v>
      </c>
      <c r="B794">
        <v>2018</v>
      </c>
      <c r="C794" s="1">
        <v>43235</v>
      </c>
      <c r="D794" t="s">
        <v>58</v>
      </c>
      <c r="E794" t="s">
        <v>169</v>
      </c>
      <c r="F794">
        <v>64</v>
      </c>
      <c r="G794" t="s">
        <v>60</v>
      </c>
      <c r="H794" t="s">
        <v>61</v>
      </c>
      <c r="I794">
        <v>11</v>
      </c>
      <c r="J794">
        <v>11</v>
      </c>
      <c r="K794" t="s">
        <v>46</v>
      </c>
      <c r="L794" t="s">
        <v>46</v>
      </c>
      <c r="M794" t="s">
        <v>47</v>
      </c>
      <c r="N794" t="s">
        <v>62</v>
      </c>
      <c r="O794" t="s">
        <v>49</v>
      </c>
      <c r="P794">
        <v>25</v>
      </c>
      <c r="Q794" t="s">
        <v>48</v>
      </c>
      <c r="R794" t="s">
        <v>46</v>
      </c>
      <c r="S794" t="s">
        <v>47</v>
      </c>
      <c r="T794" t="s">
        <v>47</v>
      </c>
      <c r="U794" t="s">
        <v>47</v>
      </c>
      <c r="V794" t="s">
        <v>151</v>
      </c>
      <c r="W794" t="s">
        <v>47</v>
      </c>
      <c r="X794" t="s">
        <v>47</v>
      </c>
      <c r="Y794" t="s">
        <v>47</v>
      </c>
      <c r="Z794" t="s">
        <v>47</v>
      </c>
      <c r="AA794" t="s">
        <v>47</v>
      </c>
      <c r="AB794" t="s">
        <v>46</v>
      </c>
      <c r="AC794" t="s">
        <v>46</v>
      </c>
      <c r="AD794" t="s">
        <v>47</v>
      </c>
      <c r="AE794" t="s">
        <v>47</v>
      </c>
      <c r="AF794" t="s">
        <v>47</v>
      </c>
      <c r="AG794" t="s">
        <v>121</v>
      </c>
      <c r="AH794" t="s">
        <v>122</v>
      </c>
      <c r="AI794" t="s">
        <v>65</v>
      </c>
      <c r="AJ794">
        <v>1.9</v>
      </c>
      <c r="AK794" t="s">
        <v>47</v>
      </c>
      <c r="AL794" t="s">
        <v>72</v>
      </c>
      <c r="AM794" t="s">
        <v>73</v>
      </c>
      <c r="AN794">
        <v>85</v>
      </c>
      <c r="AO794" t="s">
        <v>46</v>
      </c>
    </row>
    <row r="795" spans="1:41">
      <c r="A795" t="s">
        <v>947</v>
      </c>
      <c r="B795">
        <v>2022</v>
      </c>
      <c r="C795" s="1">
        <v>44897</v>
      </c>
      <c r="D795" t="s">
        <v>95</v>
      </c>
      <c r="E795" t="s">
        <v>105</v>
      </c>
      <c r="F795">
        <v>60</v>
      </c>
      <c r="G795" t="s">
        <v>44</v>
      </c>
      <c r="H795" t="s">
        <v>61</v>
      </c>
      <c r="I795">
        <v>12</v>
      </c>
      <c r="J795">
        <v>19</v>
      </c>
      <c r="K795" t="s">
        <v>47</v>
      </c>
      <c r="L795" t="s">
        <v>47</v>
      </c>
      <c r="M795" t="s">
        <v>47</v>
      </c>
      <c r="N795" t="s">
        <v>48</v>
      </c>
      <c r="O795" t="s">
        <v>49</v>
      </c>
      <c r="P795">
        <v>20.3</v>
      </c>
      <c r="Q795" t="s">
        <v>62</v>
      </c>
      <c r="R795" t="s">
        <v>47</v>
      </c>
      <c r="S795" t="s">
        <v>47</v>
      </c>
      <c r="T795" t="s">
        <v>47</v>
      </c>
      <c r="U795" t="s">
        <v>47</v>
      </c>
      <c r="V795" t="s">
        <v>64</v>
      </c>
      <c r="W795" t="s">
        <v>46</v>
      </c>
      <c r="X795" t="s">
        <v>46</v>
      </c>
      <c r="Y795" t="s">
        <v>47</v>
      </c>
      <c r="Z795" t="s">
        <v>47</v>
      </c>
      <c r="AA795" t="s">
        <v>46</v>
      </c>
      <c r="AB795" t="s">
        <v>46</v>
      </c>
      <c r="AC795" t="s">
        <v>47</v>
      </c>
      <c r="AD795" t="s">
        <v>46</v>
      </c>
      <c r="AE795" t="s">
        <v>47</v>
      </c>
      <c r="AF795" t="s">
        <v>47</v>
      </c>
      <c r="AG795" t="s">
        <v>52</v>
      </c>
      <c r="AH795" t="s">
        <v>53</v>
      </c>
      <c r="AI795" t="s">
        <v>54</v>
      </c>
      <c r="AJ795">
        <v>5.4</v>
      </c>
      <c r="AK795" t="s">
        <v>46</v>
      </c>
      <c r="AL795" t="s">
        <v>156</v>
      </c>
      <c r="AM795" t="s">
        <v>56</v>
      </c>
      <c r="AN795">
        <v>5</v>
      </c>
      <c r="AO795" t="s">
        <v>47</v>
      </c>
    </row>
    <row r="796" spans="1:41">
      <c r="A796" t="s">
        <v>948</v>
      </c>
      <c r="B796">
        <v>2020</v>
      </c>
      <c r="C796" s="1">
        <v>44057</v>
      </c>
      <c r="D796" t="s">
        <v>42</v>
      </c>
      <c r="E796" t="s">
        <v>210</v>
      </c>
      <c r="F796">
        <v>70</v>
      </c>
      <c r="G796" t="s">
        <v>60</v>
      </c>
      <c r="H796" t="s">
        <v>70</v>
      </c>
      <c r="I796">
        <v>0</v>
      </c>
      <c r="J796">
        <v>0</v>
      </c>
      <c r="K796" t="s">
        <v>46</v>
      </c>
      <c r="L796" t="s">
        <v>47</v>
      </c>
      <c r="M796" t="s">
        <v>47</v>
      </c>
      <c r="N796" t="s">
        <v>62</v>
      </c>
      <c r="O796" t="s">
        <v>63</v>
      </c>
      <c r="P796">
        <v>25.7</v>
      </c>
      <c r="Q796" t="s">
        <v>62</v>
      </c>
      <c r="R796" t="s">
        <v>47</v>
      </c>
      <c r="S796" t="s">
        <v>47</v>
      </c>
      <c r="T796" t="s">
        <v>47</v>
      </c>
      <c r="U796" t="s">
        <v>47</v>
      </c>
      <c r="V796" t="s">
        <v>51</v>
      </c>
      <c r="W796" t="s">
        <v>47</v>
      </c>
      <c r="X796" t="s">
        <v>46</v>
      </c>
      <c r="Y796" t="s">
        <v>47</v>
      </c>
      <c r="Z796" t="s">
        <v>47</v>
      </c>
      <c r="AA796" t="s">
        <v>47</v>
      </c>
      <c r="AB796" t="s">
        <v>47</v>
      </c>
      <c r="AC796" t="s">
        <v>47</v>
      </c>
      <c r="AD796" t="s">
        <v>46</v>
      </c>
      <c r="AE796" t="s">
        <v>47</v>
      </c>
      <c r="AF796" t="s">
        <v>47</v>
      </c>
      <c r="AG796" t="s">
        <v>52</v>
      </c>
      <c r="AH796" t="s">
        <v>53</v>
      </c>
      <c r="AI796" t="s">
        <v>65</v>
      </c>
      <c r="AJ796">
        <v>2.1</v>
      </c>
      <c r="AK796" t="s">
        <v>47</v>
      </c>
      <c r="AL796" t="s">
        <v>72</v>
      </c>
      <c r="AM796" t="s">
        <v>103</v>
      </c>
      <c r="AN796">
        <v>51</v>
      </c>
      <c r="AO796" t="s">
        <v>46</v>
      </c>
    </row>
    <row r="797" spans="1:41">
      <c r="A797" t="s">
        <v>949</v>
      </c>
      <c r="B797">
        <v>2016</v>
      </c>
      <c r="C797" s="1">
        <v>42589</v>
      </c>
      <c r="D797" t="s">
        <v>58</v>
      </c>
      <c r="E797" t="s">
        <v>138</v>
      </c>
      <c r="F797">
        <v>58</v>
      </c>
      <c r="G797" t="s">
        <v>60</v>
      </c>
      <c r="H797" t="s">
        <v>70</v>
      </c>
      <c r="I797">
        <v>0</v>
      </c>
      <c r="J797">
        <v>0</v>
      </c>
      <c r="K797" t="s">
        <v>46</v>
      </c>
      <c r="L797" t="s">
        <v>47</v>
      </c>
      <c r="M797" t="s">
        <v>46</v>
      </c>
      <c r="N797" t="s">
        <v>48</v>
      </c>
      <c r="O797" t="s">
        <v>49</v>
      </c>
      <c r="P797">
        <v>29.2</v>
      </c>
      <c r="Q797" t="s">
        <v>48</v>
      </c>
      <c r="R797" t="s">
        <v>47</v>
      </c>
      <c r="S797" t="s">
        <v>47</v>
      </c>
      <c r="T797" t="s">
        <v>47</v>
      </c>
      <c r="U797" t="s">
        <v>47</v>
      </c>
      <c r="V797" t="s">
        <v>86</v>
      </c>
      <c r="W797" t="s">
        <v>47</v>
      </c>
      <c r="X797" t="s">
        <v>47</v>
      </c>
      <c r="Y797" t="s">
        <v>46</v>
      </c>
      <c r="Z797" t="s">
        <v>47</v>
      </c>
      <c r="AA797" t="s">
        <v>46</v>
      </c>
      <c r="AB797" t="s">
        <v>47</v>
      </c>
      <c r="AC797" t="s">
        <v>47</v>
      </c>
      <c r="AD797" t="s">
        <v>46</v>
      </c>
      <c r="AE797" t="s">
        <v>46</v>
      </c>
      <c r="AF797" t="s">
        <v>47</v>
      </c>
      <c r="AG797" t="s">
        <v>121</v>
      </c>
      <c r="AH797" t="s">
        <v>122</v>
      </c>
      <c r="AI797" t="s">
        <v>80</v>
      </c>
      <c r="AJ797">
        <v>3.5</v>
      </c>
      <c r="AK797" t="s">
        <v>47</v>
      </c>
      <c r="AL797" t="s">
        <v>76</v>
      </c>
      <c r="AM797" t="s">
        <v>56</v>
      </c>
      <c r="AN797">
        <v>24</v>
      </c>
      <c r="AO797" t="s">
        <v>47</v>
      </c>
    </row>
    <row r="798" spans="1:41">
      <c r="A798" t="s">
        <v>950</v>
      </c>
      <c r="B798">
        <v>2018</v>
      </c>
      <c r="C798" s="1">
        <v>43378</v>
      </c>
      <c r="D798" t="s">
        <v>95</v>
      </c>
      <c r="E798" t="s">
        <v>107</v>
      </c>
      <c r="F798">
        <v>54</v>
      </c>
      <c r="G798" t="s">
        <v>44</v>
      </c>
      <c r="H798" t="s">
        <v>70</v>
      </c>
      <c r="I798">
        <v>0</v>
      </c>
      <c r="J798">
        <v>0</v>
      </c>
      <c r="K798" t="s">
        <v>46</v>
      </c>
      <c r="L798" t="s">
        <v>47</v>
      </c>
      <c r="M798" t="s">
        <v>47</v>
      </c>
      <c r="N798" t="s">
        <v>62</v>
      </c>
      <c r="O798" t="s">
        <v>48</v>
      </c>
      <c r="P798">
        <v>31.3</v>
      </c>
      <c r="Q798" t="s">
        <v>50</v>
      </c>
      <c r="R798" t="s">
        <v>47</v>
      </c>
      <c r="S798" t="s">
        <v>46</v>
      </c>
      <c r="T798" t="s">
        <v>47</v>
      </c>
      <c r="U798" t="s">
        <v>47</v>
      </c>
      <c r="V798" t="s">
        <v>117</v>
      </c>
      <c r="W798" t="s">
        <v>47</v>
      </c>
      <c r="X798" t="s">
        <v>47</v>
      </c>
      <c r="Y798" t="s">
        <v>47</v>
      </c>
      <c r="Z798" t="s">
        <v>47</v>
      </c>
      <c r="AA798" t="s">
        <v>47</v>
      </c>
      <c r="AB798" t="s">
        <v>47</v>
      </c>
      <c r="AC798" t="s">
        <v>47</v>
      </c>
      <c r="AD798" t="s">
        <v>47</v>
      </c>
      <c r="AE798" t="s">
        <v>47</v>
      </c>
      <c r="AF798" t="s">
        <v>47</v>
      </c>
      <c r="AG798" t="s">
        <v>52</v>
      </c>
      <c r="AH798" t="s">
        <v>53</v>
      </c>
      <c r="AI798" t="s">
        <v>54</v>
      </c>
      <c r="AJ798">
        <v>6.9</v>
      </c>
      <c r="AK798" t="s">
        <v>46</v>
      </c>
      <c r="AL798" t="s">
        <v>66</v>
      </c>
      <c r="AM798" t="s">
        <v>103</v>
      </c>
      <c r="AN798">
        <v>8</v>
      </c>
      <c r="AO798" t="s">
        <v>47</v>
      </c>
    </row>
    <row r="799" spans="1:41">
      <c r="A799" t="s">
        <v>951</v>
      </c>
      <c r="B799">
        <v>2015</v>
      </c>
      <c r="C799" s="1">
        <v>42349</v>
      </c>
      <c r="D799" t="s">
        <v>98</v>
      </c>
      <c r="E799" t="s">
        <v>192</v>
      </c>
      <c r="F799">
        <v>63</v>
      </c>
      <c r="G799" t="s">
        <v>60</v>
      </c>
      <c r="H799" t="s">
        <v>70</v>
      </c>
      <c r="I799">
        <v>0</v>
      </c>
      <c r="J799">
        <v>0</v>
      </c>
      <c r="K799" t="s">
        <v>46</v>
      </c>
      <c r="L799" t="s">
        <v>47</v>
      </c>
      <c r="M799" t="s">
        <v>46</v>
      </c>
      <c r="N799" t="s">
        <v>62</v>
      </c>
      <c r="O799" t="s">
        <v>48</v>
      </c>
      <c r="P799">
        <v>23.1</v>
      </c>
      <c r="Q799" t="s">
        <v>62</v>
      </c>
      <c r="R799" t="s">
        <v>47</v>
      </c>
      <c r="S799" t="s">
        <v>47</v>
      </c>
      <c r="T799" t="s">
        <v>47</v>
      </c>
      <c r="U799" t="s">
        <v>47</v>
      </c>
      <c r="V799" t="s">
        <v>86</v>
      </c>
      <c r="W799" t="s">
        <v>47</v>
      </c>
      <c r="X799" t="s">
        <v>47</v>
      </c>
      <c r="Y799" t="s">
        <v>46</v>
      </c>
      <c r="Z799" t="s">
        <v>47</v>
      </c>
      <c r="AA799" t="s">
        <v>47</v>
      </c>
      <c r="AB799" t="s">
        <v>47</v>
      </c>
      <c r="AC799" t="s">
        <v>46</v>
      </c>
      <c r="AD799" t="s">
        <v>47</v>
      </c>
      <c r="AE799" t="s">
        <v>46</v>
      </c>
      <c r="AF799" t="s">
        <v>47</v>
      </c>
      <c r="AG799" t="s">
        <v>52</v>
      </c>
      <c r="AH799" t="s">
        <v>53</v>
      </c>
      <c r="AI799" t="s">
        <v>65</v>
      </c>
      <c r="AJ799">
        <v>1.7</v>
      </c>
      <c r="AK799" t="s">
        <v>47</v>
      </c>
      <c r="AL799" t="s">
        <v>156</v>
      </c>
      <c r="AM799" t="s">
        <v>82</v>
      </c>
      <c r="AN799">
        <v>79</v>
      </c>
      <c r="AO799" t="s">
        <v>46</v>
      </c>
    </row>
    <row r="800" spans="1:41">
      <c r="A800" t="s">
        <v>952</v>
      </c>
      <c r="B800">
        <v>2022</v>
      </c>
      <c r="C800" s="1">
        <v>44747</v>
      </c>
      <c r="D800" t="s">
        <v>110</v>
      </c>
      <c r="E800" t="s">
        <v>111</v>
      </c>
      <c r="F800">
        <v>73</v>
      </c>
      <c r="G800" t="s">
        <v>60</v>
      </c>
      <c r="H800" t="s">
        <v>70</v>
      </c>
      <c r="I800">
        <v>0</v>
      </c>
      <c r="J800">
        <v>0</v>
      </c>
      <c r="K800" t="s">
        <v>47</v>
      </c>
      <c r="L800" t="s">
        <v>47</v>
      </c>
      <c r="M800" t="s">
        <v>47</v>
      </c>
      <c r="N800" t="s">
        <v>48</v>
      </c>
      <c r="O800" t="s">
        <v>48</v>
      </c>
      <c r="P800">
        <v>24.2</v>
      </c>
      <c r="Q800" t="s">
        <v>48</v>
      </c>
      <c r="R800" t="s">
        <v>47</v>
      </c>
      <c r="S800" t="s">
        <v>47</v>
      </c>
      <c r="T800" t="s">
        <v>47</v>
      </c>
      <c r="U800" t="s">
        <v>47</v>
      </c>
      <c r="V800" t="s">
        <v>117</v>
      </c>
      <c r="W800" t="s">
        <v>47</v>
      </c>
      <c r="X800" t="s">
        <v>47</v>
      </c>
      <c r="Y800" t="s">
        <v>47</v>
      </c>
      <c r="Z800" t="s">
        <v>47</v>
      </c>
      <c r="AA800" t="s">
        <v>46</v>
      </c>
      <c r="AB800" t="s">
        <v>47</v>
      </c>
      <c r="AC800" t="s">
        <v>47</v>
      </c>
      <c r="AD800" t="s">
        <v>47</v>
      </c>
      <c r="AE800" t="s">
        <v>47</v>
      </c>
      <c r="AF800" t="s">
        <v>46</v>
      </c>
      <c r="AG800" t="s">
        <v>52</v>
      </c>
      <c r="AH800" t="s">
        <v>71</v>
      </c>
      <c r="AI800" t="s">
        <v>65</v>
      </c>
      <c r="AJ800">
        <v>1.9</v>
      </c>
      <c r="AK800" t="s">
        <v>47</v>
      </c>
      <c r="AL800" t="s">
        <v>72</v>
      </c>
      <c r="AM800" t="s">
        <v>73</v>
      </c>
      <c r="AN800">
        <v>36</v>
      </c>
      <c r="AO800" t="s">
        <v>46</v>
      </c>
    </row>
    <row r="801" spans="1:41">
      <c r="A801" t="s">
        <v>953</v>
      </c>
      <c r="B801">
        <v>2023</v>
      </c>
      <c r="C801" s="1">
        <v>45187</v>
      </c>
      <c r="D801" t="s">
        <v>58</v>
      </c>
      <c r="E801" t="s">
        <v>169</v>
      </c>
      <c r="F801">
        <v>59</v>
      </c>
      <c r="G801" t="s">
        <v>60</v>
      </c>
      <c r="H801" t="s">
        <v>70</v>
      </c>
      <c r="I801">
        <v>0</v>
      </c>
      <c r="J801">
        <v>0</v>
      </c>
      <c r="K801" t="s">
        <v>46</v>
      </c>
      <c r="L801" t="s">
        <v>46</v>
      </c>
      <c r="M801" t="s">
        <v>47</v>
      </c>
      <c r="N801" t="s">
        <v>50</v>
      </c>
      <c r="O801" t="s">
        <v>48</v>
      </c>
      <c r="P801">
        <v>24.9</v>
      </c>
      <c r="Q801" t="s">
        <v>50</v>
      </c>
      <c r="R801" t="s">
        <v>47</v>
      </c>
      <c r="S801" t="s">
        <v>47</v>
      </c>
      <c r="T801" t="s">
        <v>47</v>
      </c>
      <c r="U801" t="s">
        <v>47</v>
      </c>
      <c r="V801" t="s">
        <v>51</v>
      </c>
      <c r="W801" t="s">
        <v>46</v>
      </c>
      <c r="X801" t="s">
        <v>46</v>
      </c>
      <c r="Y801" t="s">
        <v>46</v>
      </c>
      <c r="Z801" t="s">
        <v>47</v>
      </c>
      <c r="AA801" t="s">
        <v>46</v>
      </c>
      <c r="AB801" t="s">
        <v>47</v>
      </c>
      <c r="AC801" t="s">
        <v>47</v>
      </c>
      <c r="AD801" t="s">
        <v>47</v>
      </c>
      <c r="AE801" t="s">
        <v>47</v>
      </c>
      <c r="AF801" t="s">
        <v>47</v>
      </c>
      <c r="AG801" t="s">
        <v>52</v>
      </c>
      <c r="AH801" t="s">
        <v>90</v>
      </c>
      <c r="AI801" t="s">
        <v>54</v>
      </c>
      <c r="AJ801">
        <v>9.1</v>
      </c>
      <c r="AK801" t="s">
        <v>46</v>
      </c>
      <c r="AL801" t="s">
        <v>100</v>
      </c>
      <c r="AM801" t="s">
        <v>82</v>
      </c>
      <c r="AN801">
        <v>3</v>
      </c>
      <c r="AO801" t="s">
        <v>47</v>
      </c>
    </row>
    <row r="802" spans="1:41">
      <c r="A802" t="s">
        <v>954</v>
      </c>
      <c r="B802">
        <v>2016</v>
      </c>
      <c r="C802" s="1">
        <v>42529</v>
      </c>
      <c r="D802" t="s">
        <v>95</v>
      </c>
      <c r="E802" t="s">
        <v>96</v>
      </c>
      <c r="F802">
        <v>52</v>
      </c>
      <c r="G802" t="s">
        <v>60</v>
      </c>
      <c r="H802" t="s">
        <v>70</v>
      </c>
      <c r="I802">
        <v>0</v>
      </c>
      <c r="J802">
        <v>0</v>
      </c>
      <c r="K802" t="s">
        <v>46</v>
      </c>
      <c r="L802" t="s">
        <v>47</v>
      </c>
      <c r="M802" t="s">
        <v>47</v>
      </c>
      <c r="N802" t="s">
        <v>48</v>
      </c>
      <c r="O802" t="s">
        <v>49</v>
      </c>
      <c r="P802">
        <v>23</v>
      </c>
      <c r="Q802" t="s">
        <v>50</v>
      </c>
      <c r="R802" t="s">
        <v>47</v>
      </c>
      <c r="S802" t="s">
        <v>46</v>
      </c>
      <c r="T802" t="s">
        <v>47</v>
      </c>
      <c r="U802" t="s">
        <v>47</v>
      </c>
      <c r="V802" t="s">
        <v>86</v>
      </c>
      <c r="W802" t="s">
        <v>47</v>
      </c>
      <c r="X802" t="s">
        <v>47</v>
      </c>
      <c r="Y802" t="s">
        <v>47</v>
      </c>
      <c r="Z802" t="s">
        <v>47</v>
      </c>
      <c r="AA802" t="s">
        <v>47</v>
      </c>
      <c r="AB802" t="s">
        <v>47</v>
      </c>
      <c r="AC802" t="s">
        <v>47</v>
      </c>
      <c r="AD802" t="s">
        <v>47</v>
      </c>
      <c r="AE802" t="s">
        <v>47</v>
      </c>
      <c r="AF802" t="s">
        <v>47</v>
      </c>
      <c r="AG802" t="s">
        <v>52</v>
      </c>
      <c r="AH802" t="s">
        <v>53</v>
      </c>
      <c r="AI802" t="s">
        <v>65</v>
      </c>
      <c r="AJ802">
        <v>1.9</v>
      </c>
      <c r="AK802" t="s">
        <v>47</v>
      </c>
      <c r="AL802" t="s">
        <v>156</v>
      </c>
      <c r="AM802" t="s">
        <v>103</v>
      </c>
      <c r="AN802">
        <v>43</v>
      </c>
      <c r="AO802" t="s">
        <v>47</v>
      </c>
    </row>
    <row r="803" spans="1:41">
      <c r="A803" t="s">
        <v>955</v>
      </c>
      <c r="B803">
        <v>2016</v>
      </c>
      <c r="C803" s="1">
        <v>42409</v>
      </c>
      <c r="D803" t="s">
        <v>84</v>
      </c>
      <c r="E803" t="s">
        <v>571</v>
      </c>
      <c r="F803">
        <v>61</v>
      </c>
      <c r="G803" t="s">
        <v>60</v>
      </c>
      <c r="H803" t="s">
        <v>70</v>
      </c>
      <c r="I803">
        <v>0</v>
      </c>
      <c r="J803">
        <v>0</v>
      </c>
      <c r="K803" t="s">
        <v>47</v>
      </c>
      <c r="L803" t="s">
        <v>47</v>
      </c>
      <c r="M803" t="s">
        <v>46</v>
      </c>
      <c r="N803" t="s">
        <v>62</v>
      </c>
      <c r="O803" t="s">
        <v>63</v>
      </c>
      <c r="P803">
        <v>24.4</v>
      </c>
      <c r="Q803" t="s">
        <v>48</v>
      </c>
      <c r="R803" t="s">
        <v>47</v>
      </c>
      <c r="S803" t="s">
        <v>47</v>
      </c>
      <c r="T803" t="s">
        <v>47</v>
      </c>
      <c r="U803" t="s">
        <v>47</v>
      </c>
      <c r="V803" t="s">
        <v>51</v>
      </c>
      <c r="W803" t="s">
        <v>47</v>
      </c>
      <c r="X803" t="s">
        <v>47</v>
      </c>
      <c r="Y803" t="s">
        <v>47</v>
      </c>
      <c r="Z803" t="s">
        <v>47</v>
      </c>
      <c r="AA803" t="s">
        <v>47</v>
      </c>
      <c r="AB803" t="s">
        <v>46</v>
      </c>
      <c r="AC803" t="s">
        <v>47</v>
      </c>
      <c r="AD803" t="s">
        <v>47</v>
      </c>
      <c r="AE803" t="s">
        <v>47</v>
      </c>
      <c r="AF803" t="s">
        <v>47</v>
      </c>
      <c r="AG803" t="s">
        <v>52</v>
      </c>
      <c r="AH803" t="s">
        <v>53</v>
      </c>
      <c r="AI803" t="s">
        <v>87</v>
      </c>
      <c r="AJ803">
        <v>3.4</v>
      </c>
      <c r="AK803" t="s">
        <v>47</v>
      </c>
      <c r="AL803" t="s">
        <v>66</v>
      </c>
      <c r="AM803" t="s">
        <v>73</v>
      </c>
      <c r="AN803">
        <v>32</v>
      </c>
      <c r="AO803" t="s">
        <v>46</v>
      </c>
    </row>
    <row r="804" spans="1:41">
      <c r="A804" t="s">
        <v>956</v>
      </c>
      <c r="B804">
        <v>2022</v>
      </c>
      <c r="C804" s="1">
        <v>44656</v>
      </c>
      <c r="D804" t="s">
        <v>42</v>
      </c>
      <c r="E804" t="s">
        <v>69</v>
      </c>
      <c r="F804">
        <v>42</v>
      </c>
      <c r="G804" t="s">
        <v>60</v>
      </c>
      <c r="H804" t="s">
        <v>70</v>
      </c>
      <c r="I804">
        <v>0</v>
      </c>
      <c r="J804">
        <v>0</v>
      </c>
      <c r="K804" t="s">
        <v>47</v>
      </c>
      <c r="L804" t="s">
        <v>47</v>
      </c>
      <c r="M804" t="s">
        <v>46</v>
      </c>
      <c r="N804" t="s">
        <v>62</v>
      </c>
      <c r="O804" t="s">
        <v>48</v>
      </c>
      <c r="P804">
        <v>25.8</v>
      </c>
      <c r="Q804" t="s">
        <v>62</v>
      </c>
      <c r="R804" t="s">
        <v>47</v>
      </c>
      <c r="S804" t="s">
        <v>47</v>
      </c>
      <c r="T804" t="s">
        <v>46</v>
      </c>
      <c r="U804" t="s">
        <v>47</v>
      </c>
      <c r="V804" t="s">
        <v>117</v>
      </c>
      <c r="W804" t="s">
        <v>46</v>
      </c>
      <c r="X804" t="s">
        <v>46</v>
      </c>
      <c r="Y804" t="s">
        <v>47</v>
      </c>
      <c r="Z804" t="s">
        <v>47</v>
      </c>
      <c r="AA804" t="s">
        <v>47</v>
      </c>
      <c r="AB804" t="s">
        <v>47</v>
      </c>
      <c r="AC804" t="s">
        <v>47</v>
      </c>
      <c r="AD804" t="s">
        <v>47</v>
      </c>
      <c r="AE804" t="s">
        <v>47</v>
      </c>
      <c r="AF804" t="s">
        <v>47</v>
      </c>
      <c r="AG804" t="s">
        <v>52</v>
      </c>
      <c r="AH804" t="s">
        <v>53</v>
      </c>
      <c r="AI804" t="s">
        <v>87</v>
      </c>
      <c r="AJ804">
        <v>4.2</v>
      </c>
      <c r="AK804" t="s">
        <v>47</v>
      </c>
      <c r="AL804" t="s">
        <v>76</v>
      </c>
      <c r="AM804" t="s">
        <v>77</v>
      </c>
      <c r="AN804">
        <v>51</v>
      </c>
      <c r="AO804" t="s">
        <v>47</v>
      </c>
    </row>
    <row r="805" spans="1:41">
      <c r="A805" t="s">
        <v>957</v>
      </c>
      <c r="B805">
        <v>2020</v>
      </c>
      <c r="C805" s="1">
        <v>43840</v>
      </c>
      <c r="D805" t="s">
        <v>95</v>
      </c>
      <c r="E805" t="s">
        <v>145</v>
      </c>
      <c r="F805">
        <v>56</v>
      </c>
      <c r="G805" t="s">
        <v>44</v>
      </c>
      <c r="H805" t="s">
        <v>70</v>
      </c>
      <c r="I805">
        <v>0</v>
      </c>
      <c r="J805">
        <v>0</v>
      </c>
      <c r="K805" t="s">
        <v>46</v>
      </c>
      <c r="L805" t="s">
        <v>47</v>
      </c>
      <c r="M805" t="s">
        <v>47</v>
      </c>
      <c r="N805" t="s">
        <v>50</v>
      </c>
      <c r="O805" t="s">
        <v>49</v>
      </c>
      <c r="P805">
        <v>22.1</v>
      </c>
      <c r="Q805" t="s">
        <v>62</v>
      </c>
      <c r="R805" t="s">
        <v>47</v>
      </c>
      <c r="S805" t="s">
        <v>47</v>
      </c>
      <c r="T805" t="s">
        <v>47</v>
      </c>
      <c r="U805" t="s">
        <v>47</v>
      </c>
      <c r="V805" t="s">
        <v>51</v>
      </c>
      <c r="W805" t="s">
        <v>47</v>
      </c>
      <c r="X805" t="s">
        <v>47</v>
      </c>
      <c r="Y805" t="s">
        <v>47</v>
      </c>
      <c r="Z805" t="s">
        <v>47</v>
      </c>
      <c r="AA805" t="s">
        <v>46</v>
      </c>
      <c r="AB805" t="s">
        <v>46</v>
      </c>
      <c r="AC805" t="s">
        <v>46</v>
      </c>
      <c r="AD805" t="s">
        <v>47</v>
      </c>
      <c r="AE805" t="s">
        <v>47</v>
      </c>
      <c r="AF805" t="s">
        <v>47</v>
      </c>
      <c r="AG805" t="s">
        <v>52</v>
      </c>
      <c r="AH805" t="s">
        <v>53</v>
      </c>
      <c r="AI805" t="s">
        <v>65</v>
      </c>
      <c r="AJ805">
        <v>2.9</v>
      </c>
      <c r="AK805" t="s">
        <v>47</v>
      </c>
      <c r="AL805" t="s">
        <v>66</v>
      </c>
      <c r="AM805" t="s">
        <v>73</v>
      </c>
      <c r="AN805">
        <v>52</v>
      </c>
      <c r="AO805" t="s">
        <v>46</v>
      </c>
    </row>
    <row r="806" spans="1:41">
      <c r="A806" t="s">
        <v>958</v>
      </c>
      <c r="B806">
        <v>2025</v>
      </c>
      <c r="C806" s="1">
        <v>45944</v>
      </c>
      <c r="D806" t="s">
        <v>42</v>
      </c>
      <c r="E806" t="s">
        <v>160</v>
      </c>
      <c r="F806">
        <v>70</v>
      </c>
      <c r="G806" t="s">
        <v>44</v>
      </c>
      <c r="H806" t="s">
        <v>70</v>
      </c>
      <c r="I806">
        <v>0</v>
      </c>
      <c r="J806">
        <v>0</v>
      </c>
      <c r="K806" t="s">
        <v>46</v>
      </c>
      <c r="L806" t="s">
        <v>47</v>
      </c>
      <c r="M806" t="s">
        <v>46</v>
      </c>
      <c r="N806" t="s">
        <v>48</v>
      </c>
      <c r="O806" t="s">
        <v>49</v>
      </c>
      <c r="P806">
        <v>25</v>
      </c>
      <c r="Q806" t="s">
        <v>62</v>
      </c>
      <c r="R806" t="s">
        <v>47</v>
      </c>
      <c r="S806" t="s">
        <v>47</v>
      </c>
      <c r="T806" t="s">
        <v>47</v>
      </c>
      <c r="U806" t="s">
        <v>47</v>
      </c>
      <c r="V806" t="s">
        <v>86</v>
      </c>
      <c r="W806" t="s">
        <v>47</v>
      </c>
      <c r="X806" t="s">
        <v>47</v>
      </c>
      <c r="Y806" t="s">
        <v>46</v>
      </c>
      <c r="Z806" t="s">
        <v>47</v>
      </c>
      <c r="AA806" t="s">
        <v>46</v>
      </c>
      <c r="AB806" t="s">
        <v>47</v>
      </c>
      <c r="AC806" t="s">
        <v>47</v>
      </c>
      <c r="AD806" t="s">
        <v>47</v>
      </c>
      <c r="AE806" t="s">
        <v>47</v>
      </c>
      <c r="AF806" t="s">
        <v>47</v>
      </c>
      <c r="AG806" t="s">
        <v>52</v>
      </c>
      <c r="AH806" t="s">
        <v>90</v>
      </c>
      <c r="AI806" t="s">
        <v>80</v>
      </c>
      <c r="AJ806">
        <v>6.6</v>
      </c>
      <c r="AK806" t="s">
        <v>47</v>
      </c>
      <c r="AL806" t="s">
        <v>76</v>
      </c>
      <c r="AM806" t="s">
        <v>77</v>
      </c>
      <c r="AN806">
        <v>20</v>
      </c>
      <c r="AO806" t="s">
        <v>47</v>
      </c>
    </row>
    <row r="807" spans="1:41">
      <c r="A807" t="s">
        <v>959</v>
      </c>
      <c r="B807">
        <v>2019</v>
      </c>
      <c r="C807" s="1">
        <v>43551</v>
      </c>
      <c r="D807" t="s">
        <v>110</v>
      </c>
      <c r="E807" t="s">
        <v>111</v>
      </c>
      <c r="F807">
        <v>59</v>
      </c>
      <c r="G807" t="s">
        <v>60</v>
      </c>
      <c r="H807" t="s">
        <v>70</v>
      </c>
      <c r="I807">
        <v>0</v>
      </c>
      <c r="J807">
        <v>0</v>
      </c>
      <c r="K807" t="s">
        <v>46</v>
      </c>
      <c r="L807" t="s">
        <v>46</v>
      </c>
      <c r="M807" t="s">
        <v>47</v>
      </c>
      <c r="N807" t="s">
        <v>62</v>
      </c>
      <c r="O807" t="s">
        <v>48</v>
      </c>
      <c r="P807">
        <v>20.100000000000001</v>
      </c>
      <c r="Q807" t="s">
        <v>48</v>
      </c>
      <c r="R807" t="s">
        <v>47</v>
      </c>
      <c r="S807" t="s">
        <v>47</v>
      </c>
      <c r="T807" t="s">
        <v>47</v>
      </c>
      <c r="U807" t="s">
        <v>47</v>
      </c>
      <c r="V807" t="s">
        <v>117</v>
      </c>
      <c r="W807" t="s">
        <v>46</v>
      </c>
      <c r="X807" t="s">
        <v>47</v>
      </c>
      <c r="Y807" t="s">
        <v>47</v>
      </c>
      <c r="Z807" t="s">
        <v>47</v>
      </c>
      <c r="AA807" t="s">
        <v>46</v>
      </c>
      <c r="AB807" t="s">
        <v>47</v>
      </c>
      <c r="AC807" t="s">
        <v>47</v>
      </c>
      <c r="AD807" t="s">
        <v>47</v>
      </c>
      <c r="AE807" t="s">
        <v>47</v>
      </c>
      <c r="AF807" t="s">
        <v>47</v>
      </c>
      <c r="AG807" t="s">
        <v>52</v>
      </c>
      <c r="AH807" t="s">
        <v>53</v>
      </c>
      <c r="AI807" t="s">
        <v>54</v>
      </c>
      <c r="AJ807">
        <v>4.9000000000000004</v>
      </c>
      <c r="AK807" t="s">
        <v>46</v>
      </c>
      <c r="AL807" t="s">
        <v>76</v>
      </c>
      <c r="AM807" t="s">
        <v>56</v>
      </c>
      <c r="AN807">
        <v>6</v>
      </c>
      <c r="AO807" t="s">
        <v>47</v>
      </c>
    </row>
    <row r="808" spans="1:41">
      <c r="A808" t="s">
        <v>960</v>
      </c>
      <c r="B808">
        <v>2017</v>
      </c>
      <c r="C808" s="1">
        <v>43032</v>
      </c>
      <c r="D808" t="s">
        <v>42</v>
      </c>
      <c r="E808" t="s">
        <v>136</v>
      </c>
      <c r="F808">
        <v>61</v>
      </c>
      <c r="G808" t="s">
        <v>44</v>
      </c>
      <c r="H808" t="s">
        <v>70</v>
      </c>
      <c r="I808">
        <v>0</v>
      </c>
      <c r="J808">
        <v>0</v>
      </c>
      <c r="K808" t="s">
        <v>47</v>
      </c>
      <c r="L808" t="s">
        <v>47</v>
      </c>
      <c r="M808" t="s">
        <v>47</v>
      </c>
      <c r="N808" t="s">
        <v>62</v>
      </c>
      <c r="O808" t="s">
        <v>49</v>
      </c>
      <c r="P808">
        <v>27.9</v>
      </c>
      <c r="Q808" t="s">
        <v>62</v>
      </c>
      <c r="R808" t="s">
        <v>47</v>
      </c>
      <c r="S808" t="s">
        <v>47</v>
      </c>
      <c r="T808" t="s">
        <v>47</v>
      </c>
      <c r="U808" t="s">
        <v>47</v>
      </c>
      <c r="V808" t="s">
        <v>51</v>
      </c>
      <c r="W808" t="s">
        <v>47</v>
      </c>
      <c r="X808" t="s">
        <v>47</v>
      </c>
      <c r="Y808" t="s">
        <v>47</v>
      </c>
      <c r="Z808" t="s">
        <v>47</v>
      </c>
      <c r="AA808" t="s">
        <v>47</v>
      </c>
      <c r="AB808" t="s">
        <v>46</v>
      </c>
      <c r="AC808" t="s">
        <v>47</v>
      </c>
      <c r="AD808" t="s">
        <v>47</v>
      </c>
      <c r="AE808" t="s">
        <v>47</v>
      </c>
      <c r="AF808" t="s">
        <v>47</v>
      </c>
      <c r="AG808" t="s">
        <v>52</v>
      </c>
      <c r="AH808" t="s">
        <v>53</v>
      </c>
      <c r="AI808" t="s">
        <v>54</v>
      </c>
      <c r="AJ808">
        <v>7.4</v>
      </c>
      <c r="AK808" t="s">
        <v>46</v>
      </c>
      <c r="AL808" t="s">
        <v>81</v>
      </c>
      <c r="AM808" t="s">
        <v>118</v>
      </c>
      <c r="AN808">
        <v>11</v>
      </c>
      <c r="AO808" t="s">
        <v>47</v>
      </c>
    </row>
    <row r="809" spans="1:41">
      <c r="A809" t="s">
        <v>961</v>
      </c>
      <c r="B809">
        <v>2023</v>
      </c>
      <c r="C809" s="1">
        <v>45041</v>
      </c>
      <c r="D809" t="s">
        <v>98</v>
      </c>
      <c r="E809" t="s">
        <v>465</v>
      </c>
      <c r="F809">
        <v>56</v>
      </c>
      <c r="G809" t="s">
        <v>60</v>
      </c>
      <c r="H809" t="s">
        <v>70</v>
      </c>
      <c r="I809">
        <v>0</v>
      </c>
      <c r="J809">
        <v>0</v>
      </c>
      <c r="K809" t="s">
        <v>47</v>
      </c>
      <c r="L809" t="s">
        <v>47</v>
      </c>
      <c r="M809" t="s">
        <v>46</v>
      </c>
      <c r="N809" t="s">
        <v>62</v>
      </c>
      <c r="O809" t="s">
        <v>63</v>
      </c>
      <c r="P809">
        <v>23.6</v>
      </c>
      <c r="Q809" t="s">
        <v>50</v>
      </c>
      <c r="R809" t="s">
        <v>47</v>
      </c>
      <c r="S809" t="s">
        <v>47</v>
      </c>
      <c r="T809" t="s">
        <v>47</v>
      </c>
      <c r="U809" t="s">
        <v>47</v>
      </c>
      <c r="V809" t="s">
        <v>51</v>
      </c>
      <c r="W809" t="s">
        <v>47</v>
      </c>
      <c r="X809" t="s">
        <v>46</v>
      </c>
      <c r="Y809" t="s">
        <v>46</v>
      </c>
      <c r="Z809" t="s">
        <v>47</v>
      </c>
      <c r="AA809" t="s">
        <v>47</v>
      </c>
      <c r="AB809" t="s">
        <v>47</v>
      </c>
      <c r="AC809" t="s">
        <v>47</v>
      </c>
      <c r="AD809" t="s">
        <v>47</v>
      </c>
      <c r="AE809" t="s">
        <v>47</v>
      </c>
      <c r="AF809" t="s">
        <v>46</v>
      </c>
      <c r="AG809" t="s">
        <v>52</v>
      </c>
      <c r="AH809" t="s">
        <v>71</v>
      </c>
      <c r="AI809" t="s">
        <v>65</v>
      </c>
      <c r="AJ809">
        <v>2.2999999999999998</v>
      </c>
      <c r="AK809" t="s">
        <v>47</v>
      </c>
      <c r="AL809" t="s">
        <v>72</v>
      </c>
      <c r="AM809" t="s">
        <v>118</v>
      </c>
      <c r="AN809">
        <v>55</v>
      </c>
      <c r="AO809" t="s">
        <v>47</v>
      </c>
    </row>
    <row r="810" spans="1:41">
      <c r="A810" t="s">
        <v>962</v>
      </c>
      <c r="B810">
        <v>2019</v>
      </c>
      <c r="C810" s="1">
        <v>43694</v>
      </c>
      <c r="D810" t="s">
        <v>84</v>
      </c>
      <c r="E810" t="s">
        <v>571</v>
      </c>
      <c r="F810">
        <v>48</v>
      </c>
      <c r="G810" t="s">
        <v>44</v>
      </c>
      <c r="H810" t="s">
        <v>45</v>
      </c>
      <c r="I810">
        <v>41</v>
      </c>
      <c r="J810">
        <v>30</v>
      </c>
      <c r="K810" t="s">
        <v>47</v>
      </c>
      <c r="L810" t="s">
        <v>47</v>
      </c>
      <c r="M810" t="s">
        <v>47</v>
      </c>
      <c r="N810" t="s">
        <v>48</v>
      </c>
      <c r="O810" t="s">
        <v>49</v>
      </c>
      <c r="P810">
        <v>31.2</v>
      </c>
      <c r="Q810" t="s">
        <v>50</v>
      </c>
      <c r="R810" t="s">
        <v>47</v>
      </c>
      <c r="S810" t="s">
        <v>47</v>
      </c>
      <c r="T810" t="s">
        <v>47</v>
      </c>
      <c r="U810" t="s">
        <v>47</v>
      </c>
      <c r="V810" t="s">
        <v>171</v>
      </c>
      <c r="W810" t="s">
        <v>46</v>
      </c>
      <c r="X810" t="s">
        <v>46</v>
      </c>
      <c r="Y810" t="s">
        <v>47</v>
      </c>
      <c r="Z810" t="s">
        <v>47</v>
      </c>
      <c r="AA810" t="s">
        <v>46</v>
      </c>
      <c r="AB810" t="s">
        <v>46</v>
      </c>
      <c r="AC810" t="s">
        <v>46</v>
      </c>
      <c r="AD810" t="s">
        <v>47</v>
      </c>
      <c r="AE810" t="s">
        <v>47</v>
      </c>
      <c r="AF810" t="s">
        <v>47</v>
      </c>
      <c r="AG810" t="s">
        <v>52</v>
      </c>
      <c r="AH810" t="s">
        <v>53</v>
      </c>
      <c r="AI810" t="s">
        <v>80</v>
      </c>
      <c r="AJ810">
        <v>5.5</v>
      </c>
      <c r="AK810" t="s">
        <v>47</v>
      </c>
      <c r="AL810" t="s">
        <v>81</v>
      </c>
      <c r="AM810" t="s">
        <v>103</v>
      </c>
      <c r="AN810">
        <v>7</v>
      </c>
      <c r="AO810" t="s">
        <v>47</v>
      </c>
    </row>
    <row r="811" spans="1:41">
      <c r="A811" t="s">
        <v>963</v>
      </c>
      <c r="B811">
        <v>2016</v>
      </c>
      <c r="C811" s="1">
        <v>42592</v>
      </c>
      <c r="D811" t="s">
        <v>42</v>
      </c>
      <c r="E811" t="s">
        <v>210</v>
      </c>
      <c r="F811">
        <v>83</v>
      </c>
      <c r="G811" t="s">
        <v>44</v>
      </c>
      <c r="H811" t="s">
        <v>70</v>
      </c>
      <c r="I811">
        <v>0</v>
      </c>
      <c r="J811">
        <v>0</v>
      </c>
      <c r="K811" t="s">
        <v>47</v>
      </c>
      <c r="L811" t="s">
        <v>46</v>
      </c>
      <c r="M811" t="s">
        <v>46</v>
      </c>
      <c r="N811" t="s">
        <v>48</v>
      </c>
      <c r="O811" t="s">
        <v>48</v>
      </c>
      <c r="P811">
        <v>21.8</v>
      </c>
      <c r="Q811" t="s">
        <v>48</v>
      </c>
      <c r="R811" t="s">
        <v>47</v>
      </c>
      <c r="S811" t="s">
        <v>47</v>
      </c>
      <c r="T811" t="s">
        <v>47</v>
      </c>
      <c r="U811" t="s">
        <v>47</v>
      </c>
      <c r="V811" t="s">
        <v>64</v>
      </c>
      <c r="W811" t="s">
        <v>47</v>
      </c>
      <c r="X811" t="s">
        <v>47</v>
      </c>
      <c r="Y811" t="s">
        <v>47</v>
      </c>
      <c r="Z811" t="s">
        <v>47</v>
      </c>
      <c r="AA811" t="s">
        <v>46</v>
      </c>
      <c r="AB811" t="s">
        <v>47</v>
      </c>
      <c r="AC811" t="s">
        <v>47</v>
      </c>
      <c r="AD811" t="s">
        <v>46</v>
      </c>
      <c r="AE811" t="s">
        <v>46</v>
      </c>
      <c r="AF811" t="s">
        <v>47</v>
      </c>
      <c r="AG811" t="s">
        <v>52</v>
      </c>
      <c r="AH811" t="s">
        <v>53</v>
      </c>
      <c r="AI811" t="s">
        <v>65</v>
      </c>
      <c r="AJ811">
        <v>1.5</v>
      </c>
      <c r="AK811" t="s">
        <v>47</v>
      </c>
      <c r="AL811" t="s">
        <v>76</v>
      </c>
      <c r="AM811" t="s">
        <v>73</v>
      </c>
      <c r="AN811">
        <v>60</v>
      </c>
      <c r="AO811" t="s">
        <v>46</v>
      </c>
    </row>
    <row r="812" spans="1:41">
      <c r="A812" t="s">
        <v>964</v>
      </c>
      <c r="B812">
        <v>2025</v>
      </c>
      <c r="C812" s="1">
        <v>45660</v>
      </c>
      <c r="D812" t="s">
        <v>58</v>
      </c>
      <c r="E812" t="s">
        <v>229</v>
      </c>
      <c r="F812">
        <v>62</v>
      </c>
      <c r="G812" t="s">
        <v>60</v>
      </c>
      <c r="H812" t="s">
        <v>70</v>
      </c>
      <c r="I812">
        <v>0</v>
      </c>
      <c r="J812">
        <v>0</v>
      </c>
      <c r="K812" t="s">
        <v>47</v>
      </c>
      <c r="L812" t="s">
        <v>47</v>
      </c>
      <c r="M812" t="s">
        <v>47</v>
      </c>
      <c r="N812" t="s">
        <v>50</v>
      </c>
      <c r="O812" t="s">
        <v>49</v>
      </c>
      <c r="P812">
        <v>23.3</v>
      </c>
      <c r="Q812" t="s">
        <v>48</v>
      </c>
      <c r="R812" t="s">
        <v>47</v>
      </c>
      <c r="S812" t="s">
        <v>47</v>
      </c>
      <c r="T812" t="s">
        <v>47</v>
      </c>
      <c r="U812" t="s">
        <v>47</v>
      </c>
      <c r="V812" t="s">
        <v>64</v>
      </c>
      <c r="W812" t="s">
        <v>47</v>
      </c>
      <c r="X812" t="s">
        <v>46</v>
      </c>
      <c r="Y812" t="s">
        <v>46</v>
      </c>
      <c r="Z812" t="s">
        <v>47</v>
      </c>
      <c r="AA812" t="s">
        <v>46</v>
      </c>
      <c r="AB812" t="s">
        <v>46</v>
      </c>
      <c r="AC812" t="s">
        <v>47</v>
      </c>
      <c r="AD812" t="s">
        <v>47</v>
      </c>
      <c r="AE812" t="s">
        <v>47</v>
      </c>
      <c r="AF812" t="s">
        <v>47</v>
      </c>
      <c r="AG812" t="s">
        <v>52</v>
      </c>
      <c r="AH812" t="s">
        <v>53</v>
      </c>
      <c r="AI812" t="s">
        <v>65</v>
      </c>
      <c r="AJ812">
        <v>2.5</v>
      </c>
      <c r="AK812" t="s">
        <v>47</v>
      </c>
      <c r="AL812" t="s">
        <v>81</v>
      </c>
      <c r="AM812" t="s">
        <v>73</v>
      </c>
      <c r="AN812">
        <v>58</v>
      </c>
      <c r="AO812" t="s">
        <v>47</v>
      </c>
    </row>
    <row r="813" spans="1:41">
      <c r="A813" t="s">
        <v>965</v>
      </c>
      <c r="B813">
        <v>2024</v>
      </c>
      <c r="C813" s="1">
        <v>45550</v>
      </c>
      <c r="D813" t="s">
        <v>98</v>
      </c>
      <c r="E813" t="s">
        <v>212</v>
      </c>
      <c r="F813">
        <v>71</v>
      </c>
      <c r="G813" t="s">
        <v>60</v>
      </c>
      <c r="H813" t="s">
        <v>45</v>
      </c>
      <c r="I813">
        <v>32</v>
      </c>
      <c r="J813">
        <v>18</v>
      </c>
      <c r="K813" t="s">
        <v>46</v>
      </c>
      <c r="L813" t="s">
        <v>47</v>
      </c>
      <c r="M813" t="s">
        <v>47</v>
      </c>
      <c r="N813" t="s">
        <v>48</v>
      </c>
      <c r="O813" t="s">
        <v>48</v>
      </c>
      <c r="P813">
        <v>19.600000000000001</v>
      </c>
      <c r="Q813" t="s">
        <v>62</v>
      </c>
      <c r="R813" t="s">
        <v>46</v>
      </c>
      <c r="S813" t="s">
        <v>47</v>
      </c>
      <c r="T813" t="s">
        <v>47</v>
      </c>
      <c r="U813" t="s">
        <v>47</v>
      </c>
      <c r="V813" t="s">
        <v>51</v>
      </c>
      <c r="W813" t="s">
        <v>46</v>
      </c>
      <c r="X813" t="s">
        <v>46</v>
      </c>
      <c r="Y813" t="s">
        <v>46</v>
      </c>
      <c r="Z813" t="s">
        <v>47</v>
      </c>
      <c r="AA813" t="s">
        <v>46</v>
      </c>
      <c r="AB813" t="s">
        <v>46</v>
      </c>
      <c r="AC813" t="s">
        <v>47</v>
      </c>
      <c r="AD813" t="s">
        <v>47</v>
      </c>
      <c r="AE813" t="s">
        <v>47</v>
      </c>
      <c r="AF813" t="s">
        <v>47</v>
      </c>
      <c r="AG813" t="s">
        <v>121</v>
      </c>
      <c r="AH813" t="s">
        <v>122</v>
      </c>
      <c r="AI813" t="s">
        <v>54</v>
      </c>
      <c r="AJ813">
        <v>9.3000000000000007</v>
      </c>
      <c r="AK813" t="s">
        <v>46</v>
      </c>
      <c r="AL813" t="s">
        <v>72</v>
      </c>
      <c r="AM813" t="s">
        <v>82</v>
      </c>
      <c r="AN813">
        <v>11</v>
      </c>
      <c r="AO813" t="s">
        <v>47</v>
      </c>
    </row>
    <row r="814" spans="1:41">
      <c r="A814" t="s">
        <v>966</v>
      </c>
      <c r="B814">
        <v>2024</v>
      </c>
      <c r="C814" s="1">
        <v>45401</v>
      </c>
      <c r="D814" t="s">
        <v>58</v>
      </c>
      <c r="E814" t="s">
        <v>138</v>
      </c>
      <c r="F814">
        <v>70</v>
      </c>
      <c r="G814" t="s">
        <v>60</v>
      </c>
      <c r="H814" t="s">
        <v>70</v>
      </c>
      <c r="I814">
        <v>0</v>
      </c>
      <c r="J814">
        <v>0</v>
      </c>
      <c r="K814" t="s">
        <v>46</v>
      </c>
      <c r="L814" t="s">
        <v>47</v>
      </c>
      <c r="M814" t="s">
        <v>47</v>
      </c>
      <c r="N814" t="s">
        <v>50</v>
      </c>
      <c r="O814" t="s">
        <v>49</v>
      </c>
      <c r="P814">
        <v>24.2</v>
      </c>
      <c r="Q814" t="s">
        <v>48</v>
      </c>
      <c r="R814" t="s">
        <v>47</v>
      </c>
      <c r="S814" t="s">
        <v>47</v>
      </c>
      <c r="T814" t="s">
        <v>47</v>
      </c>
      <c r="U814" t="s">
        <v>46</v>
      </c>
      <c r="V814" t="s">
        <v>112</v>
      </c>
      <c r="W814" t="s">
        <v>47</v>
      </c>
      <c r="X814" t="s">
        <v>47</v>
      </c>
      <c r="Y814" t="s">
        <v>47</v>
      </c>
      <c r="Z814" t="s">
        <v>46</v>
      </c>
      <c r="AA814" t="s">
        <v>47</v>
      </c>
      <c r="AB814" t="s">
        <v>47</v>
      </c>
      <c r="AC814" t="s">
        <v>47</v>
      </c>
      <c r="AD814" t="s">
        <v>47</v>
      </c>
      <c r="AE814" t="s">
        <v>47</v>
      </c>
      <c r="AF814" t="s">
        <v>47</v>
      </c>
      <c r="AG814" t="s">
        <v>52</v>
      </c>
      <c r="AH814" t="s">
        <v>53</v>
      </c>
      <c r="AI814" t="s">
        <v>65</v>
      </c>
      <c r="AJ814">
        <v>0.9</v>
      </c>
      <c r="AK814" t="s">
        <v>47</v>
      </c>
      <c r="AL814" t="s">
        <v>72</v>
      </c>
      <c r="AM814" t="s">
        <v>103</v>
      </c>
      <c r="AN814">
        <v>61</v>
      </c>
      <c r="AO814" t="s">
        <v>46</v>
      </c>
    </row>
    <row r="815" spans="1:41">
      <c r="A815" t="s">
        <v>967</v>
      </c>
      <c r="B815">
        <v>2019</v>
      </c>
      <c r="C815" s="1">
        <v>43467</v>
      </c>
      <c r="D815" t="s">
        <v>42</v>
      </c>
      <c r="E815" t="s">
        <v>247</v>
      </c>
      <c r="F815">
        <v>72</v>
      </c>
      <c r="G815" t="s">
        <v>60</v>
      </c>
      <c r="H815" t="s">
        <v>45</v>
      </c>
      <c r="I815">
        <v>39</v>
      </c>
      <c r="J815">
        <v>39</v>
      </c>
      <c r="K815" t="s">
        <v>47</v>
      </c>
      <c r="L815" t="s">
        <v>47</v>
      </c>
      <c r="M815" t="s">
        <v>46</v>
      </c>
      <c r="N815" t="s">
        <v>50</v>
      </c>
      <c r="O815" t="s">
        <v>49</v>
      </c>
      <c r="P815">
        <v>35</v>
      </c>
      <c r="Q815" t="s">
        <v>62</v>
      </c>
      <c r="R815" t="s">
        <v>46</v>
      </c>
      <c r="S815" t="s">
        <v>47</v>
      </c>
      <c r="T815" t="s">
        <v>47</v>
      </c>
      <c r="U815" t="s">
        <v>47</v>
      </c>
      <c r="V815" t="s">
        <v>64</v>
      </c>
      <c r="W815" t="s">
        <v>46</v>
      </c>
      <c r="X815" t="s">
        <v>46</v>
      </c>
      <c r="Y815" t="s">
        <v>46</v>
      </c>
      <c r="Z815" t="s">
        <v>46</v>
      </c>
      <c r="AA815" t="s">
        <v>46</v>
      </c>
      <c r="AB815" t="s">
        <v>47</v>
      </c>
      <c r="AC815" t="s">
        <v>46</v>
      </c>
      <c r="AD815" t="s">
        <v>46</v>
      </c>
      <c r="AE815" t="s">
        <v>47</v>
      </c>
      <c r="AF815" t="s">
        <v>47</v>
      </c>
      <c r="AG815" t="s">
        <v>52</v>
      </c>
      <c r="AH815" t="s">
        <v>53</v>
      </c>
      <c r="AI815" t="s">
        <v>54</v>
      </c>
      <c r="AJ815">
        <v>8.8000000000000007</v>
      </c>
      <c r="AK815" t="s">
        <v>46</v>
      </c>
      <c r="AL815" t="s">
        <v>76</v>
      </c>
      <c r="AM815" t="s">
        <v>265</v>
      </c>
      <c r="AN815">
        <v>10</v>
      </c>
      <c r="AO815" t="s">
        <v>47</v>
      </c>
    </row>
    <row r="816" spans="1:41">
      <c r="A816" t="s">
        <v>968</v>
      </c>
      <c r="B816">
        <v>2017</v>
      </c>
      <c r="C816" s="1">
        <v>42967</v>
      </c>
      <c r="D816" t="s">
        <v>58</v>
      </c>
      <c r="E816" t="s">
        <v>252</v>
      </c>
      <c r="F816">
        <v>54</v>
      </c>
      <c r="G816" t="s">
        <v>60</v>
      </c>
      <c r="H816" t="s">
        <v>70</v>
      </c>
      <c r="I816">
        <v>0</v>
      </c>
      <c r="J816">
        <v>0</v>
      </c>
      <c r="K816" t="s">
        <v>46</v>
      </c>
      <c r="L816" t="s">
        <v>47</v>
      </c>
      <c r="M816" t="s">
        <v>47</v>
      </c>
      <c r="N816" t="s">
        <v>48</v>
      </c>
      <c r="O816" t="s">
        <v>63</v>
      </c>
      <c r="P816">
        <v>22.2</v>
      </c>
      <c r="Q816" t="s">
        <v>48</v>
      </c>
      <c r="R816" t="s">
        <v>47</v>
      </c>
      <c r="S816" t="s">
        <v>47</v>
      </c>
      <c r="T816" t="s">
        <v>47</v>
      </c>
      <c r="U816" t="s">
        <v>47</v>
      </c>
      <c r="V816" t="s">
        <v>51</v>
      </c>
      <c r="W816" t="s">
        <v>47</v>
      </c>
      <c r="X816" t="s">
        <v>46</v>
      </c>
      <c r="Y816" t="s">
        <v>47</v>
      </c>
      <c r="Z816" t="s">
        <v>47</v>
      </c>
      <c r="AA816" t="s">
        <v>46</v>
      </c>
      <c r="AB816" t="s">
        <v>46</v>
      </c>
      <c r="AC816" t="s">
        <v>47</v>
      </c>
      <c r="AD816" t="s">
        <v>47</v>
      </c>
      <c r="AE816" t="s">
        <v>47</v>
      </c>
      <c r="AF816" t="s">
        <v>47</v>
      </c>
      <c r="AG816" t="s">
        <v>52</v>
      </c>
      <c r="AH816" t="s">
        <v>71</v>
      </c>
      <c r="AI816" t="s">
        <v>65</v>
      </c>
      <c r="AJ816">
        <v>1.5</v>
      </c>
      <c r="AK816" t="s">
        <v>47</v>
      </c>
      <c r="AL816" t="s">
        <v>81</v>
      </c>
      <c r="AM816" t="s">
        <v>73</v>
      </c>
      <c r="AN816">
        <v>63</v>
      </c>
      <c r="AO816" t="s">
        <v>47</v>
      </c>
    </row>
    <row r="817" spans="1:41">
      <c r="A817" t="s">
        <v>969</v>
      </c>
      <c r="B817">
        <v>2024</v>
      </c>
      <c r="C817" s="1">
        <v>45430</v>
      </c>
      <c r="D817" t="s">
        <v>58</v>
      </c>
      <c r="E817" t="s">
        <v>150</v>
      </c>
      <c r="F817">
        <v>76</v>
      </c>
      <c r="G817" t="s">
        <v>44</v>
      </c>
      <c r="H817" t="s">
        <v>70</v>
      </c>
      <c r="I817">
        <v>0</v>
      </c>
      <c r="J817">
        <v>0</v>
      </c>
      <c r="K817" t="s">
        <v>47</v>
      </c>
      <c r="L817" t="s">
        <v>46</v>
      </c>
      <c r="M817" t="s">
        <v>47</v>
      </c>
      <c r="N817" t="s">
        <v>50</v>
      </c>
      <c r="O817" t="s">
        <v>48</v>
      </c>
      <c r="P817">
        <v>34.4</v>
      </c>
      <c r="Q817" t="s">
        <v>62</v>
      </c>
      <c r="R817" t="s">
        <v>47</v>
      </c>
      <c r="S817" t="s">
        <v>47</v>
      </c>
      <c r="T817" t="s">
        <v>47</v>
      </c>
      <c r="U817" t="s">
        <v>47</v>
      </c>
      <c r="V817" t="s">
        <v>193</v>
      </c>
      <c r="W817" t="s">
        <v>46</v>
      </c>
      <c r="X817" t="s">
        <v>47</v>
      </c>
      <c r="Y817" t="s">
        <v>47</v>
      </c>
      <c r="Z817" t="s">
        <v>47</v>
      </c>
      <c r="AA817" t="s">
        <v>46</v>
      </c>
      <c r="AB817" t="s">
        <v>47</v>
      </c>
      <c r="AC817" t="s">
        <v>46</v>
      </c>
      <c r="AD817" t="s">
        <v>46</v>
      </c>
      <c r="AE817" t="s">
        <v>47</v>
      </c>
      <c r="AF817" t="s">
        <v>47</v>
      </c>
      <c r="AG817" t="s">
        <v>52</v>
      </c>
      <c r="AH817" t="s">
        <v>71</v>
      </c>
      <c r="AI817" t="s">
        <v>87</v>
      </c>
      <c r="AJ817">
        <v>5.3</v>
      </c>
      <c r="AK817" t="s">
        <v>47</v>
      </c>
      <c r="AL817" t="s">
        <v>81</v>
      </c>
      <c r="AM817" t="s">
        <v>77</v>
      </c>
      <c r="AN817">
        <v>23</v>
      </c>
      <c r="AO817" t="s">
        <v>46</v>
      </c>
    </row>
    <row r="818" spans="1:41">
      <c r="A818" t="s">
        <v>970</v>
      </c>
      <c r="B818">
        <v>2018</v>
      </c>
      <c r="C818" s="1">
        <v>43145</v>
      </c>
      <c r="D818" t="s">
        <v>42</v>
      </c>
      <c r="E818" t="s">
        <v>166</v>
      </c>
      <c r="F818">
        <v>68</v>
      </c>
      <c r="G818" t="s">
        <v>60</v>
      </c>
      <c r="H818" t="s">
        <v>70</v>
      </c>
      <c r="I818">
        <v>0</v>
      </c>
      <c r="J818">
        <v>0</v>
      </c>
      <c r="K818" t="s">
        <v>46</v>
      </c>
      <c r="L818" t="s">
        <v>46</v>
      </c>
      <c r="M818" t="s">
        <v>47</v>
      </c>
      <c r="N818" t="s">
        <v>50</v>
      </c>
      <c r="O818" t="s">
        <v>49</v>
      </c>
      <c r="P818">
        <v>21.3</v>
      </c>
      <c r="Q818" t="s">
        <v>50</v>
      </c>
      <c r="R818" t="s">
        <v>47</v>
      </c>
      <c r="S818" t="s">
        <v>47</v>
      </c>
      <c r="T818" t="s">
        <v>47</v>
      </c>
      <c r="U818" t="s">
        <v>47</v>
      </c>
      <c r="V818" t="s">
        <v>51</v>
      </c>
      <c r="W818" t="s">
        <v>47</v>
      </c>
      <c r="X818" t="s">
        <v>47</v>
      </c>
      <c r="Y818" t="s">
        <v>46</v>
      </c>
      <c r="Z818" t="s">
        <v>47</v>
      </c>
      <c r="AA818" t="s">
        <v>46</v>
      </c>
      <c r="AB818" t="s">
        <v>47</v>
      </c>
      <c r="AC818" t="s">
        <v>46</v>
      </c>
      <c r="AD818" t="s">
        <v>47</v>
      </c>
      <c r="AE818" t="s">
        <v>47</v>
      </c>
      <c r="AF818" t="s">
        <v>47</v>
      </c>
      <c r="AG818" t="s">
        <v>52</v>
      </c>
      <c r="AH818" t="s">
        <v>53</v>
      </c>
      <c r="AI818" t="s">
        <v>87</v>
      </c>
      <c r="AJ818">
        <v>2.7</v>
      </c>
      <c r="AK818" t="s">
        <v>47</v>
      </c>
      <c r="AL818" t="s">
        <v>76</v>
      </c>
      <c r="AM818" t="s">
        <v>77</v>
      </c>
      <c r="AN818">
        <v>15</v>
      </c>
      <c r="AO818" t="s">
        <v>47</v>
      </c>
    </row>
    <row r="819" spans="1:41">
      <c r="A819" t="s">
        <v>971</v>
      </c>
      <c r="B819">
        <v>2017</v>
      </c>
      <c r="C819" s="1">
        <v>42879</v>
      </c>
      <c r="D819" t="s">
        <v>42</v>
      </c>
      <c r="E819" t="s">
        <v>136</v>
      </c>
      <c r="F819">
        <v>49</v>
      </c>
      <c r="G819" t="s">
        <v>44</v>
      </c>
      <c r="H819" t="s">
        <v>70</v>
      </c>
      <c r="I819">
        <v>0</v>
      </c>
      <c r="J819">
        <v>0</v>
      </c>
      <c r="K819" t="s">
        <v>46</v>
      </c>
      <c r="L819" t="s">
        <v>46</v>
      </c>
      <c r="M819" t="s">
        <v>47</v>
      </c>
      <c r="N819" t="s">
        <v>48</v>
      </c>
      <c r="O819" t="s">
        <v>49</v>
      </c>
      <c r="P819">
        <v>24.2</v>
      </c>
      <c r="Q819" t="s">
        <v>62</v>
      </c>
      <c r="R819" t="s">
        <v>47</v>
      </c>
      <c r="S819" t="s">
        <v>47</v>
      </c>
      <c r="T819" t="s">
        <v>47</v>
      </c>
      <c r="U819" t="s">
        <v>47</v>
      </c>
      <c r="V819" t="s">
        <v>64</v>
      </c>
      <c r="W819" t="s">
        <v>46</v>
      </c>
      <c r="X819" t="s">
        <v>47</v>
      </c>
      <c r="Y819" t="s">
        <v>47</v>
      </c>
      <c r="Z819" t="s">
        <v>47</v>
      </c>
      <c r="AA819" t="s">
        <v>47</v>
      </c>
      <c r="AB819" t="s">
        <v>47</v>
      </c>
      <c r="AC819" t="s">
        <v>47</v>
      </c>
      <c r="AD819" t="s">
        <v>47</v>
      </c>
      <c r="AE819" t="s">
        <v>46</v>
      </c>
      <c r="AF819" t="s">
        <v>47</v>
      </c>
      <c r="AG819" t="s">
        <v>52</v>
      </c>
      <c r="AH819" t="s">
        <v>90</v>
      </c>
      <c r="AI819" t="s">
        <v>65</v>
      </c>
      <c r="AJ819">
        <v>3.2</v>
      </c>
      <c r="AK819" t="s">
        <v>47</v>
      </c>
      <c r="AL819" t="s">
        <v>156</v>
      </c>
      <c r="AM819" t="s">
        <v>73</v>
      </c>
      <c r="AN819">
        <v>73</v>
      </c>
      <c r="AO819" t="s">
        <v>47</v>
      </c>
    </row>
    <row r="820" spans="1:41">
      <c r="A820" t="s">
        <v>972</v>
      </c>
      <c r="B820">
        <v>2017</v>
      </c>
      <c r="C820" s="1">
        <v>42928</v>
      </c>
      <c r="D820" t="s">
        <v>110</v>
      </c>
      <c r="E820" t="s">
        <v>177</v>
      </c>
      <c r="F820">
        <v>62</v>
      </c>
      <c r="G820" t="s">
        <v>44</v>
      </c>
      <c r="H820" t="s">
        <v>70</v>
      </c>
      <c r="I820">
        <v>0</v>
      </c>
      <c r="J820">
        <v>0</v>
      </c>
      <c r="K820" t="s">
        <v>47</v>
      </c>
      <c r="L820" t="s">
        <v>46</v>
      </c>
      <c r="M820" t="s">
        <v>46</v>
      </c>
      <c r="N820" t="s">
        <v>62</v>
      </c>
      <c r="O820" t="s">
        <v>49</v>
      </c>
      <c r="P820">
        <v>23.5</v>
      </c>
      <c r="Q820" t="s">
        <v>48</v>
      </c>
      <c r="R820" t="s">
        <v>47</v>
      </c>
      <c r="S820" t="s">
        <v>47</v>
      </c>
      <c r="T820" t="s">
        <v>47</v>
      </c>
      <c r="U820" t="s">
        <v>47</v>
      </c>
      <c r="V820" t="s">
        <v>64</v>
      </c>
      <c r="W820" t="s">
        <v>47</v>
      </c>
      <c r="X820" t="s">
        <v>47</v>
      </c>
      <c r="Y820" t="s">
        <v>47</v>
      </c>
      <c r="Z820" t="s">
        <v>47</v>
      </c>
      <c r="AA820" t="s">
        <v>46</v>
      </c>
      <c r="AB820" t="s">
        <v>47</v>
      </c>
      <c r="AC820" t="s">
        <v>47</v>
      </c>
      <c r="AD820" t="s">
        <v>47</v>
      </c>
      <c r="AE820" t="s">
        <v>47</v>
      </c>
      <c r="AF820" t="s">
        <v>47</v>
      </c>
      <c r="AG820" t="s">
        <v>52</v>
      </c>
      <c r="AH820" t="s">
        <v>71</v>
      </c>
      <c r="AI820" t="s">
        <v>65</v>
      </c>
      <c r="AJ820">
        <v>2.2999999999999998</v>
      </c>
      <c r="AK820" t="s">
        <v>47</v>
      </c>
      <c r="AL820" t="s">
        <v>66</v>
      </c>
      <c r="AM820" t="s">
        <v>73</v>
      </c>
      <c r="AN820">
        <v>55</v>
      </c>
      <c r="AO820" t="s">
        <v>46</v>
      </c>
    </row>
    <row r="821" spans="1:41">
      <c r="A821" t="s">
        <v>973</v>
      </c>
      <c r="B821">
        <v>2018</v>
      </c>
      <c r="C821" s="1">
        <v>43283</v>
      </c>
      <c r="D821" t="s">
        <v>95</v>
      </c>
      <c r="E821" t="s">
        <v>255</v>
      </c>
      <c r="F821">
        <v>83</v>
      </c>
      <c r="G821" t="s">
        <v>60</v>
      </c>
      <c r="H821" t="s">
        <v>45</v>
      </c>
      <c r="I821">
        <v>5</v>
      </c>
      <c r="J821">
        <v>43</v>
      </c>
      <c r="K821" t="s">
        <v>46</v>
      </c>
      <c r="L821" t="s">
        <v>46</v>
      </c>
      <c r="M821" t="s">
        <v>46</v>
      </c>
      <c r="N821" t="s">
        <v>50</v>
      </c>
      <c r="O821" t="s">
        <v>49</v>
      </c>
      <c r="P821">
        <v>35.700000000000003</v>
      </c>
      <c r="Q821" t="s">
        <v>50</v>
      </c>
      <c r="R821" t="s">
        <v>47</v>
      </c>
      <c r="S821" t="s">
        <v>47</v>
      </c>
      <c r="T821" t="s">
        <v>47</v>
      </c>
      <c r="U821" t="s">
        <v>47</v>
      </c>
      <c r="V821" t="s">
        <v>193</v>
      </c>
      <c r="W821" t="s">
        <v>46</v>
      </c>
      <c r="X821" t="s">
        <v>46</v>
      </c>
      <c r="Y821" t="s">
        <v>47</v>
      </c>
      <c r="Z821" t="s">
        <v>47</v>
      </c>
      <c r="AA821" t="s">
        <v>46</v>
      </c>
      <c r="AB821" t="s">
        <v>46</v>
      </c>
      <c r="AC821" t="s">
        <v>46</v>
      </c>
      <c r="AD821" t="s">
        <v>47</v>
      </c>
      <c r="AE821" t="s">
        <v>47</v>
      </c>
      <c r="AF821" t="s">
        <v>47</v>
      </c>
      <c r="AG821" t="s">
        <v>121</v>
      </c>
      <c r="AH821" t="s">
        <v>122</v>
      </c>
      <c r="AI821" t="s">
        <v>80</v>
      </c>
      <c r="AJ821">
        <v>5.7</v>
      </c>
      <c r="AK821" t="s">
        <v>47</v>
      </c>
      <c r="AL821" t="s">
        <v>100</v>
      </c>
      <c r="AM821" t="s">
        <v>77</v>
      </c>
      <c r="AN821">
        <v>26</v>
      </c>
      <c r="AO821" t="s">
        <v>47</v>
      </c>
    </row>
    <row r="822" spans="1:41">
      <c r="A822" t="s">
        <v>974</v>
      </c>
      <c r="B822">
        <v>2020</v>
      </c>
      <c r="C822" s="1">
        <v>44081</v>
      </c>
      <c r="D822" t="s">
        <v>84</v>
      </c>
      <c r="E822" t="s">
        <v>189</v>
      </c>
      <c r="F822">
        <v>51</v>
      </c>
      <c r="G822" t="s">
        <v>44</v>
      </c>
      <c r="H822" t="s">
        <v>70</v>
      </c>
      <c r="I822">
        <v>0</v>
      </c>
      <c r="J822">
        <v>0</v>
      </c>
      <c r="K822" t="s">
        <v>47</v>
      </c>
      <c r="L822" t="s">
        <v>47</v>
      </c>
      <c r="M822" t="s">
        <v>46</v>
      </c>
      <c r="N822" t="s">
        <v>50</v>
      </c>
      <c r="O822" t="s">
        <v>63</v>
      </c>
      <c r="P822">
        <v>16.399999999999999</v>
      </c>
      <c r="Q822" t="s">
        <v>62</v>
      </c>
      <c r="R822" t="s">
        <v>47</v>
      </c>
      <c r="S822" t="s">
        <v>47</v>
      </c>
      <c r="T822" t="s">
        <v>47</v>
      </c>
      <c r="U822" t="s">
        <v>47</v>
      </c>
      <c r="V822" t="s">
        <v>51</v>
      </c>
      <c r="W822" t="s">
        <v>46</v>
      </c>
      <c r="X822" t="s">
        <v>47</v>
      </c>
      <c r="Y822" t="s">
        <v>46</v>
      </c>
      <c r="Z822" t="s">
        <v>47</v>
      </c>
      <c r="AA822" t="s">
        <v>46</v>
      </c>
      <c r="AB822" t="s">
        <v>47</v>
      </c>
      <c r="AC822" t="s">
        <v>47</v>
      </c>
      <c r="AD822" t="s">
        <v>47</v>
      </c>
      <c r="AE822" t="s">
        <v>47</v>
      </c>
      <c r="AF822" t="s">
        <v>46</v>
      </c>
      <c r="AG822" t="s">
        <v>52</v>
      </c>
      <c r="AH822" t="s">
        <v>53</v>
      </c>
      <c r="AI822" t="s">
        <v>65</v>
      </c>
      <c r="AJ822">
        <v>3.5</v>
      </c>
      <c r="AK822" t="s">
        <v>47</v>
      </c>
      <c r="AL822" t="s">
        <v>100</v>
      </c>
      <c r="AM822" t="s">
        <v>103</v>
      </c>
      <c r="AN822">
        <v>64</v>
      </c>
      <c r="AO822" t="s">
        <v>47</v>
      </c>
    </row>
    <row r="823" spans="1:41">
      <c r="A823" t="s">
        <v>975</v>
      </c>
      <c r="B823">
        <v>2023</v>
      </c>
      <c r="C823" s="1">
        <v>45179</v>
      </c>
      <c r="D823" t="s">
        <v>42</v>
      </c>
      <c r="E823" t="s">
        <v>69</v>
      </c>
      <c r="F823">
        <v>72</v>
      </c>
      <c r="G823" t="s">
        <v>60</v>
      </c>
      <c r="H823" t="s">
        <v>61</v>
      </c>
      <c r="I823">
        <v>20</v>
      </c>
      <c r="J823">
        <v>20</v>
      </c>
      <c r="K823" t="s">
        <v>46</v>
      </c>
      <c r="L823" t="s">
        <v>47</v>
      </c>
      <c r="M823" t="s">
        <v>47</v>
      </c>
      <c r="N823" t="s">
        <v>50</v>
      </c>
      <c r="O823" t="s">
        <v>63</v>
      </c>
      <c r="P823">
        <v>26.3</v>
      </c>
      <c r="Q823" t="s">
        <v>50</v>
      </c>
      <c r="R823" t="s">
        <v>46</v>
      </c>
      <c r="S823" t="s">
        <v>47</v>
      </c>
      <c r="T823" t="s">
        <v>47</v>
      </c>
      <c r="U823" t="s">
        <v>47</v>
      </c>
      <c r="V823" t="s">
        <v>51</v>
      </c>
      <c r="W823" t="s">
        <v>47</v>
      </c>
      <c r="X823" t="s">
        <v>47</v>
      </c>
      <c r="Y823" t="s">
        <v>46</v>
      </c>
      <c r="Z823" t="s">
        <v>46</v>
      </c>
      <c r="AA823" t="s">
        <v>46</v>
      </c>
      <c r="AB823" t="s">
        <v>46</v>
      </c>
      <c r="AC823" t="s">
        <v>47</v>
      </c>
      <c r="AD823" t="s">
        <v>47</v>
      </c>
      <c r="AE823" t="s">
        <v>47</v>
      </c>
      <c r="AF823" t="s">
        <v>47</v>
      </c>
      <c r="AG823" t="s">
        <v>52</v>
      </c>
      <c r="AH823" t="s">
        <v>53</v>
      </c>
      <c r="AI823" t="s">
        <v>65</v>
      </c>
      <c r="AJ823">
        <v>2.1</v>
      </c>
      <c r="AK823" t="s">
        <v>47</v>
      </c>
      <c r="AL823" t="s">
        <v>156</v>
      </c>
      <c r="AM823" t="s">
        <v>103</v>
      </c>
      <c r="AN823">
        <v>61</v>
      </c>
      <c r="AO823" t="s">
        <v>47</v>
      </c>
    </row>
    <row r="824" spans="1:41">
      <c r="A824" t="s">
        <v>976</v>
      </c>
      <c r="B824">
        <v>2015</v>
      </c>
      <c r="C824" s="1">
        <v>42202</v>
      </c>
      <c r="D824" t="s">
        <v>58</v>
      </c>
      <c r="E824" t="s">
        <v>252</v>
      </c>
      <c r="F824">
        <v>51</v>
      </c>
      <c r="G824" t="s">
        <v>44</v>
      </c>
      <c r="H824" t="s">
        <v>61</v>
      </c>
      <c r="I824">
        <v>5</v>
      </c>
      <c r="J824">
        <v>16</v>
      </c>
      <c r="K824" t="s">
        <v>46</v>
      </c>
      <c r="L824" t="s">
        <v>47</v>
      </c>
      <c r="M824" t="s">
        <v>46</v>
      </c>
      <c r="N824" t="s">
        <v>48</v>
      </c>
      <c r="O824" t="s">
        <v>48</v>
      </c>
      <c r="P824">
        <v>23.9</v>
      </c>
      <c r="Q824" t="s">
        <v>50</v>
      </c>
      <c r="R824" t="s">
        <v>47</v>
      </c>
      <c r="S824" t="s">
        <v>47</v>
      </c>
      <c r="T824" t="s">
        <v>47</v>
      </c>
      <c r="U824" t="s">
        <v>47</v>
      </c>
      <c r="V824" t="s">
        <v>51</v>
      </c>
      <c r="W824" t="s">
        <v>46</v>
      </c>
      <c r="X824" t="s">
        <v>46</v>
      </c>
      <c r="Y824" t="s">
        <v>46</v>
      </c>
      <c r="Z824" t="s">
        <v>46</v>
      </c>
      <c r="AA824" t="s">
        <v>46</v>
      </c>
      <c r="AB824" t="s">
        <v>46</v>
      </c>
      <c r="AC824" t="s">
        <v>47</v>
      </c>
      <c r="AD824" t="s">
        <v>47</v>
      </c>
      <c r="AE824" t="s">
        <v>47</v>
      </c>
      <c r="AF824" t="s">
        <v>47</v>
      </c>
      <c r="AG824" t="s">
        <v>52</v>
      </c>
      <c r="AH824" t="s">
        <v>90</v>
      </c>
      <c r="AI824" t="s">
        <v>54</v>
      </c>
      <c r="AJ824">
        <v>3.5</v>
      </c>
      <c r="AK824" t="s">
        <v>46</v>
      </c>
      <c r="AL824" t="s">
        <v>81</v>
      </c>
      <c r="AM824" t="s">
        <v>56</v>
      </c>
      <c r="AN824">
        <v>10</v>
      </c>
      <c r="AO824" t="s">
        <v>47</v>
      </c>
    </row>
    <row r="825" spans="1:41">
      <c r="A825" t="s">
        <v>977</v>
      </c>
      <c r="B825">
        <v>2020</v>
      </c>
      <c r="C825" s="1">
        <v>44083</v>
      </c>
      <c r="D825" t="s">
        <v>98</v>
      </c>
      <c r="E825" t="s">
        <v>484</v>
      </c>
      <c r="F825">
        <v>70</v>
      </c>
      <c r="G825" t="s">
        <v>44</v>
      </c>
      <c r="H825" t="s">
        <v>45</v>
      </c>
      <c r="I825">
        <v>27</v>
      </c>
      <c r="J825">
        <v>20</v>
      </c>
      <c r="K825" t="s">
        <v>47</v>
      </c>
      <c r="L825" t="s">
        <v>46</v>
      </c>
      <c r="M825" t="s">
        <v>47</v>
      </c>
      <c r="N825" t="s">
        <v>50</v>
      </c>
      <c r="O825" t="s">
        <v>49</v>
      </c>
      <c r="P825">
        <v>29.1</v>
      </c>
      <c r="Q825" t="s">
        <v>50</v>
      </c>
      <c r="R825" t="s">
        <v>46</v>
      </c>
      <c r="S825" t="s">
        <v>47</v>
      </c>
      <c r="T825" t="s">
        <v>47</v>
      </c>
      <c r="U825" t="s">
        <v>47</v>
      </c>
      <c r="V825" t="s">
        <v>64</v>
      </c>
      <c r="W825" t="s">
        <v>47</v>
      </c>
      <c r="X825" t="s">
        <v>46</v>
      </c>
      <c r="Y825" t="s">
        <v>46</v>
      </c>
      <c r="Z825" t="s">
        <v>47</v>
      </c>
      <c r="AA825" t="s">
        <v>47</v>
      </c>
      <c r="AB825" t="s">
        <v>47</v>
      </c>
      <c r="AC825" t="s">
        <v>47</v>
      </c>
      <c r="AD825" t="s">
        <v>46</v>
      </c>
      <c r="AE825" t="s">
        <v>47</v>
      </c>
      <c r="AF825" t="s">
        <v>47</v>
      </c>
      <c r="AG825" t="s">
        <v>121</v>
      </c>
      <c r="AH825" t="s">
        <v>122</v>
      </c>
      <c r="AI825" t="s">
        <v>80</v>
      </c>
      <c r="AJ825">
        <v>8.3000000000000007</v>
      </c>
      <c r="AK825" t="s">
        <v>47</v>
      </c>
      <c r="AL825" t="s">
        <v>156</v>
      </c>
      <c r="AM825" t="s">
        <v>56</v>
      </c>
      <c r="AN825">
        <v>9</v>
      </c>
      <c r="AO825" t="s">
        <v>47</v>
      </c>
    </row>
    <row r="826" spans="1:41">
      <c r="A826" t="s">
        <v>978</v>
      </c>
      <c r="B826">
        <v>2019</v>
      </c>
      <c r="C826" s="1">
        <v>43789</v>
      </c>
      <c r="D826" t="s">
        <v>42</v>
      </c>
      <c r="E826" t="s">
        <v>69</v>
      </c>
      <c r="F826">
        <v>47</v>
      </c>
      <c r="G826" t="s">
        <v>44</v>
      </c>
      <c r="H826" t="s">
        <v>70</v>
      </c>
      <c r="I826">
        <v>0</v>
      </c>
      <c r="J826">
        <v>0</v>
      </c>
      <c r="K826" t="s">
        <v>47</v>
      </c>
      <c r="L826" t="s">
        <v>46</v>
      </c>
      <c r="M826" t="s">
        <v>47</v>
      </c>
      <c r="N826" t="s">
        <v>48</v>
      </c>
      <c r="O826" t="s">
        <v>49</v>
      </c>
      <c r="P826">
        <v>29.5</v>
      </c>
      <c r="Q826" t="s">
        <v>48</v>
      </c>
      <c r="R826" t="s">
        <v>47</v>
      </c>
      <c r="S826" t="s">
        <v>47</v>
      </c>
      <c r="T826" t="s">
        <v>47</v>
      </c>
      <c r="U826" t="s">
        <v>47</v>
      </c>
      <c r="V826" t="s">
        <v>117</v>
      </c>
      <c r="W826" t="s">
        <v>46</v>
      </c>
      <c r="X826" t="s">
        <v>47</v>
      </c>
      <c r="Y826" t="s">
        <v>47</v>
      </c>
      <c r="Z826" t="s">
        <v>47</v>
      </c>
      <c r="AA826" t="s">
        <v>46</v>
      </c>
      <c r="AB826" t="s">
        <v>47</v>
      </c>
      <c r="AC826" t="s">
        <v>47</v>
      </c>
      <c r="AD826" t="s">
        <v>47</v>
      </c>
      <c r="AE826" t="s">
        <v>47</v>
      </c>
      <c r="AF826" t="s">
        <v>47</v>
      </c>
      <c r="AG826" t="s">
        <v>121</v>
      </c>
      <c r="AH826" t="s">
        <v>122</v>
      </c>
      <c r="AI826" t="s">
        <v>54</v>
      </c>
      <c r="AJ826">
        <v>3.6</v>
      </c>
      <c r="AK826" t="s">
        <v>46</v>
      </c>
      <c r="AL826" t="s">
        <v>76</v>
      </c>
      <c r="AM826" t="s">
        <v>56</v>
      </c>
      <c r="AN826">
        <v>14</v>
      </c>
      <c r="AO826" t="s">
        <v>47</v>
      </c>
    </row>
    <row r="827" spans="1:41">
      <c r="A827" t="s">
        <v>979</v>
      </c>
      <c r="B827">
        <v>2020</v>
      </c>
      <c r="C827" s="1">
        <v>43894</v>
      </c>
      <c r="D827" t="s">
        <v>58</v>
      </c>
      <c r="E827" t="s">
        <v>229</v>
      </c>
      <c r="F827">
        <v>49</v>
      </c>
      <c r="G827" t="s">
        <v>60</v>
      </c>
      <c r="H827" t="s">
        <v>70</v>
      </c>
      <c r="I827">
        <v>0</v>
      </c>
      <c r="J827">
        <v>0</v>
      </c>
      <c r="K827" t="s">
        <v>47</v>
      </c>
      <c r="L827" t="s">
        <v>47</v>
      </c>
      <c r="M827" t="s">
        <v>47</v>
      </c>
      <c r="N827" t="s">
        <v>62</v>
      </c>
      <c r="O827" t="s">
        <v>48</v>
      </c>
      <c r="P827">
        <v>27.3</v>
      </c>
      <c r="Q827" t="s">
        <v>50</v>
      </c>
      <c r="R827" t="s">
        <v>47</v>
      </c>
      <c r="S827" t="s">
        <v>47</v>
      </c>
      <c r="T827" t="s">
        <v>47</v>
      </c>
      <c r="U827" t="s">
        <v>47</v>
      </c>
      <c r="V827" t="s">
        <v>117</v>
      </c>
      <c r="W827" t="s">
        <v>47</v>
      </c>
      <c r="X827" t="s">
        <v>47</v>
      </c>
      <c r="Y827" t="s">
        <v>47</v>
      </c>
      <c r="Z827" t="s">
        <v>47</v>
      </c>
      <c r="AA827" t="s">
        <v>46</v>
      </c>
      <c r="AB827" t="s">
        <v>46</v>
      </c>
      <c r="AC827" t="s">
        <v>47</v>
      </c>
      <c r="AD827" t="s">
        <v>46</v>
      </c>
      <c r="AE827" t="s">
        <v>47</v>
      </c>
      <c r="AF827" t="s">
        <v>47</v>
      </c>
      <c r="AG827" t="s">
        <v>52</v>
      </c>
      <c r="AH827" t="s">
        <v>53</v>
      </c>
      <c r="AI827" t="s">
        <v>65</v>
      </c>
      <c r="AJ827">
        <v>2.7</v>
      </c>
      <c r="AK827" t="s">
        <v>47</v>
      </c>
      <c r="AL827" t="s">
        <v>66</v>
      </c>
      <c r="AM827" t="s">
        <v>73</v>
      </c>
      <c r="AN827">
        <v>62</v>
      </c>
      <c r="AO827" t="s">
        <v>47</v>
      </c>
    </row>
    <row r="828" spans="1:41">
      <c r="A828" t="s">
        <v>980</v>
      </c>
      <c r="B828">
        <v>2021</v>
      </c>
      <c r="C828" s="1">
        <v>44373</v>
      </c>
      <c r="D828" t="s">
        <v>95</v>
      </c>
      <c r="E828" t="s">
        <v>107</v>
      </c>
      <c r="F828">
        <v>62</v>
      </c>
      <c r="G828" t="s">
        <v>44</v>
      </c>
      <c r="H828" t="s">
        <v>70</v>
      </c>
      <c r="I828">
        <v>0</v>
      </c>
      <c r="J828">
        <v>0</v>
      </c>
      <c r="K828" t="s">
        <v>47</v>
      </c>
      <c r="L828" t="s">
        <v>46</v>
      </c>
      <c r="M828" t="s">
        <v>47</v>
      </c>
      <c r="N828" t="s">
        <v>50</v>
      </c>
      <c r="O828" t="s">
        <v>63</v>
      </c>
      <c r="P828">
        <v>25</v>
      </c>
      <c r="Q828" t="s">
        <v>48</v>
      </c>
      <c r="R828" t="s">
        <v>47</v>
      </c>
      <c r="S828" t="s">
        <v>47</v>
      </c>
      <c r="T828" t="s">
        <v>47</v>
      </c>
      <c r="U828" t="s">
        <v>47</v>
      </c>
      <c r="V828" t="s">
        <v>117</v>
      </c>
      <c r="W828" t="s">
        <v>47</v>
      </c>
      <c r="X828" t="s">
        <v>47</v>
      </c>
      <c r="Y828" t="s">
        <v>47</v>
      </c>
      <c r="Z828" t="s">
        <v>46</v>
      </c>
      <c r="AA828" t="s">
        <v>46</v>
      </c>
      <c r="AB828" t="s">
        <v>47</v>
      </c>
      <c r="AC828" t="s">
        <v>47</v>
      </c>
      <c r="AD828" t="s">
        <v>47</v>
      </c>
      <c r="AE828" t="s">
        <v>47</v>
      </c>
      <c r="AF828" t="s">
        <v>47</v>
      </c>
      <c r="AG828" t="s">
        <v>52</v>
      </c>
      <c r="AH828" t="s">
        <v>71</v>
      </c>
      <c r="AI828" t="s">
        <v>87</v>
      </c>
      <c r="AJ828">
        <v>4.3</v>
      </c>
      <c r="AK828" t="s">
        <v>47</v>
      </c>
      <c r="AL828" t="s">
        <v>156</v>
      </c>
      <c r="AM828" t="s">
        <v>73</v>
      </c>
      <c r="AN828">
        <v>27</v>
      </c>
      <c r="AO828" t="s">
        <v>47</v>
      </c>
    </row>
    <row r="829" spans="1:41">
      <c r="A829" t="s">
        <v>981</v>
      </c>
      <c r="B829">
        <v>2017</v>
      </c>
      <c r="C829" s="1">
        <v>42990</v>
      </c>
      <c r="D829" t="s">
        <v>42</v>
      </c>
      <c r="E829" t="s">
        <v>166</v>
      </c>
      <c r="F829">
        <v>55</v>
      </c>
      <c r="G829" t="s">
        <v>60</v>
      </c>
      <c r="H829" t="s">
        <v>70</v>
      </c>
      <c r="I829">
        <v>0</v>
      </c>
      <c r="J829">
        <v>0</v>
      </c>
      <c r="K829" t="s">
        <v>46</v>
      </c>
      <c r="L829" t="s">
        <v>47</v>
      </c>
      <c r="M829" t="s">
        <v>47</v>
      </c>
      <c r="N829" t="s">
        <v>48</v>
      </c>
      <c r="O829" t="s">
        <v>49</v>
      </c>
      <c r="P829">
        <v>25.3</v>
      </c>
      <c r="Q829" t="s">
        <v>50</v>
      </c>
      <c r="R829" t="s">
        <v>46</v>
      </c>
      <c r="S829" t="s">
        <v>47</v>
      </c>
      <c r="T829" t="s">
        <v>47</v>
      </c>
      <c r="U829" t="s">
        <v>47</v>
      </c>
      <c r="V829" t="s">
        <v>51</v>
      </c>
      <c r="W829" t="s">
        <v>47</v>
      </c>
      <c r="X829" t="s">
        <v>46</v>
      </c>
      <c r="Y829" t="s">
        <v>47</v>
      </c>
      <c r="Z829" t="s">
        <v>47</v>
      </c>
      <c r="AA829" t="s">
        <v>46</v>
      </c>
      <c r="AB829" t="s">
        <v>47</v>
      </c>
      <c r="AC829" t="s">
        <v>47</v>
      </c>
      <c r="AD829" t="s">
        <v>47</v>
      </c>
      <c r="AE829" t="s">
        <v>47</v>
      </c>
      <c r="AF829" t="s">
        <v>47</v>
      </c>
      <c r="AG829" t="s">
        <v>52</v>
      </c>
      <c r="AH829" t="s">
        <v>53</v>
      </c>
      <c r="AI829" t="s">
        <v>65</v>
      </c>
      <c r="AJ829">
        <v>2</v>
      </c>
      <c r="AK829" t="s">
        <v>47</v>
      </c>
      <c r="AL829" t="s">
        <v>72</v>
      </c>
      <c r="AM829" t="s">
        <v>73</v>
      </c>
      <c r="AN829">
        <v>88</v>
      </c>
      <c r="AO829" t="s">
        <v>47</v>
      </c>
    </row>
    <row r="830" spans="1:41">
      <c r="A830" t="s">
        <v>982</v>
      </c>
      <c r="B830">
        <v>2022</v>
      </c>
      <c r="C830" s="1">
        <v>44671</v>
      </c>
      <c r="D830" t="s">
        <v>98</v>
      </c>
      <c r="E830" t="s">
        <v>175</v>
      </c>
      <c r="F830">
        <v>57</v>
      </c>
      <c r="G830" t="s">
        <v>60</v>
      </c>
      <c r="H830" t="s">
        <v>70</v>
      </c>
      <c r="I830">
        <v>0</v>
      </c>
      <c r="J830">
        <v>0</v>
      </c>
      <c r="K830" t="s">
        <v>47</v>
      </c>
      <c r="L830" t="s">
        <v>47</v>
      </c>
      <c r="M830" t="s">
        <v>46</v>
      </c>
      <c r="N830" t="s">
        <v>48</v>
      </c>
      <c r="O830" t="s">
        <v>49</v>
      </c>
      <c r="P830">
        <v>32.1</v>
      </c>
      <c r="Q830" t="s">
        <v>48</v>
      </c>
      <c r="R830" t="s">
        <v>47</v>
      </c>
      <c r="S830" t="s">
        <v>47</v>
      </c>
      <c r="T830" t="s">
        <v>47</v>
      </c>
      <c r="U830" t="s">
        <v>47</v>
      </c>
      <c r="V830" t="s">
        <v>51</v>
      </c>
      <c r="W830" t="s">
        <v>46</v>
      </c>
      <c r="X830" t="s">
        <v>47</v>
      </c>
      <c r="Y830" t="s">
        <v>47</v>
      </c>
      <c r="Z830" t="s">
        <v>47</v>
      </c>
      <c r="AA830" t="s">
        <v>47</v>
      </c>
      <c r="AB830" t="s">
        <v>47</v>
      </c>
      <c r="AC830" t="s">
        <v>47</v>
      </c>
      <c r="AD830" t="s">
        <v>47</v>
      </c>
      <c r="AE830" t="s">
        <v>47</v>
      </c>
      <c r="AF830" t="s">
        <v>47</v>
      </c>
      <c r="AG830" t="s">
        <v>52</v>
      </c>
      <c r="AH830" t="s">
        <v>53</v>
      </c>
      <c r="AI830" t="s">
        <v>87</v>
      </c>
      <c r="AJ830">
        <v>2</v>
      </c>
      <c r="AK830" t="s">
        <v>47</v>
      </c>
      <c r="AL830" t="s">
        <v>76</v>
      </c>
      <c r="AM830" t="s">
        <v>77</v>
      </c>
      <c r="AN830">
        <v>16</v>
      </c>
      <c r="AO830" t="s">
        <v>46</v>
      </c>
    </row>
    <row r="831" spans="1:41">
      <c r="A831" t="s">
        <v>983</v>
      </c>
      <c r="B831">
        <v>2019</v>
      </c>
      <c r="C831" s="1">
        <v>43663</v>
      </c>
      <c r="D831" t="s">
        <v>58</v>
      </c>
      <c r="E831" t="s">
        <v>150</v>
      </c>
      <c r="F831">
        <v>61</v>
      </c>
      <c r="G831" t="s">
        <v>60</v>
      </c>
      <c r="H831" t="s">
        <v>70</v>
      </c>
      <c r="I831">
        <v>0</v>
      </c>
      <c r="J831">
        <v>0</v>
      </c>
      <c r="K831" t="s">
        <v>46</v>
      </c>
      <c r="L831" t="s">
        <v>47</v>
      </c>
      <c r="M831" t="s">
        <v>47</v>
      </c>
      <c r="N831" t="s">
        <v>62</v>
      </c>
      <c r="O831" t="s">
        <v>48</v>
      </c>
      <c r="P831">
        <v>27.5</v>
      </c>
      <c r="Q831" t="s">
        <v>48</v>
      </c>
      <c r="R831" t="s">
        <v>47</v>
      </c>
      <c r="S831" t="s">
        <v>47</v>
      </c>
      <c r="T831" t="s">
        <v>47</v>
      </c>
      <c r="U831" t="s">
        <v>47</v>
      </c>
      <c r="V831" t="s">
        <v>86</v>
      </c>
      <c r="W831" t="s">
        <v>46</v>
      </c>
      <c r="X831" t="s">
        <v>47</v>
      </c>
      <c r="Y831" t="s">
        <v>46</v>
      </c>
      <c r="Z831" t="s">
        <v>47</v>
      </c>
      <c r="AA831" t="s">
        <v>46</v>
      </c>
      <c r="AB831" t="s">
        <v>47</v>
      </c>
      <c r="AC831" t="s">
        <v>46</v>
      </c>
      <c r="AD831" t="s">
        <v>47</v>
      </c>
      <c r="AE831" t="s">
        <v>47</v>
      </c>
      <c r="AF831" t="s">
        <v>47</v>
      </c>
      <c r="AG831" t="s">
        <v>52</v>
      </c>
      <c r="AH831" t="s">
        <v>53</v>
      </c>
      <c r="AI831" t="s">
        <v>65</v>
      </c>
      <c r="AJ831">
        <v>1.2</v>
      </c>
      <c r="AK831" t="s">
        <v>47</v>
      </c>
      <c r="AL831" t="s">
        <v>72</v>
      </c>
      <c r="AM831" t="s">
        <v>73</v>
      </c>
      <c r="AN831">
        <v>68</v>
      </c>
      <c r="AO831" t="s">
        <v>46</v>
      </c>
    </row>
    <row r="832" spans="1:41">
      <c r="A832" t="s">
        <v>984</v>
      </c>
      <c r="B832">
        <v>2015</v>
      </c>
      <c r="C832" s="1">
        <v>42006</v>
      </c>
      <c r="D832" t="s">
        <v>42</v>
      </c>
      <c r="E832" t="s">
        <v>166</v>
      </c>
      <c r="F832">
        <v>56</v>
      </c>
      <c r="G832" t="s">
        <v>60</v>
      </c>
      <c r="H832" t="s">
        <v>45</v>
      </c>
      <c r="I832">
        <v>22</v>
      </c>
      <c r="J832">
        <v>35</v>
      </c>
      <c r="K832" t="s">
        <v>47</v>
      </c>
      <c r="L832" t="s">
        <v>47</v>
      </c>
      <c r="M832" t="s">
        <v>47</v>
      </c>
      <c r="N832" t="s">
        <v>62</v>
      </c>
      <c r="O832" t="s">
        <v>48</v>
      </c>
      <c r="P832">
        <v>30.8</v>
      </c>
      <c r="Q832" t="s">
        <v>50</v>
      </c>
      <c r="R832" t="s">
        <v>46</v>
      </c>
      <c r="S832" t="s">
        <v>47</v>
      </c>
      <c r="T832" t="s">
        <v>47</v>
      </c>
      <c r="U832" t="s">
        <v>47</v>
      </c>
      <c r="V832" t="s">
        <v>64</v>
      </c>
      <c r="W832" t="s">
        <v>47</v>
      </c>
      <c r="X832" t="s">
        <v>47</v>
      </c>
      <c r="Y832" t="s">
        <v>46</v>
      </c>
      <c r="Z832" t="s">
        <v>47</v>
      </c>
      <c r="AA832" t="s">
        <v>47</v>
      </c>
      <c r="AB832" t="s">
        <v>47</v>
      </c>
      <c r="AC832" t="s">
        <v>46</v>
      </c>
      <c r="AD832" t="s">
        <v>47</v>
      </c>
      <c r="AE832" t="s">
        <v>47</v>
      </c>
      <c r="AF832" t="s">
        <v>47</v>
      </c>
      <c r="AG832" t="s">
        <v>52</v>
      </c>
      <c r="AH832" t="s">
        <v>71</v>
      </c>
      <c r="AI832" t="s">
        <v>87</v>
      </c>
      <c r="AJ832">
        <v>2.2000000000000002</v>
      </c>
      <c r="AK832" t="s">
        <v>47</v>
      </c>
      <c r="AL832" t="s">
        <v>81</v>
      </c>
      <c r="AM832" t="s">
        <v>73</v>
      </c>
      <c r="AN832">
        <v>39</v>
      </c>
      <c r="AO832" t="s">
        <v>47</v>
      </c>
    </row>
    <row r="833" spans="1:41">
      <c r="A833" t="s">
        <v>985</v>
      </c>
      <c r="B833">
        <v>2024</v>
      </c>
      <c r="C833" s="1">
        <v>45637</v>
      </c>
      <c r="D833" t="s">
        <v>98</v>
      </c>
      <c r="E833" t="s">
        <v>202</v>
      </c>
      <c r="F833">
        <v>47</v>
      </c>
      <c r="G833" t="s">
        <v>60</v>
      </c>
      <c r="H833" t="s">
        <v>45</v>
      </c>
      <c r="I833">
        <v>13</v>
      </c>
      <c r="J833">
        <v>23</v>
      </c>
      <c r="K833" t="s">
        <v>47</v>
      </c>
      <c r="L833" t="s">
        <v>47</v>
      </c>
      <c r="M833" t="s">
        <v>47</v>
      </c>
      <c r="N833" t="s">
        <v>48</v>
      </c>
      <c r="O833" t="s">
        <v>48</v>
      </c>
      <c r="P833">
        <v>30.1</v>
      </c>
      <c r="Q833" t="s">
        <v>48</v>
      </c>
      <c r="R833" t="s">
        <v>47</v>
      </c>
      <c r="S833" t="s">
        <v>47</v>
      </c>
      <c r="T833" t="s">
        <v>47</v>
      </c>
      <c r="U833" t="s">
        <v>47</v>
      </c>
      <c r="V833" t="s">
        <v>64</v>
      </c>
      <c r="W833" t="s">
        <v>47</v>
      </c>
      <c r="X833" t="s">
        <v>47</v>
      </c>
      <c r="Y833" t="s">
        <v>47</v>
      </c>
      <c r="Z833" t="s">
        <v>47</v>
      </c>
      <c r="AA833" t="s">
        <v>46</v>
      </c>
      <c r="AB833" t="s">
        <v>46</v>
      </c>
      <c r="AC833" t="s">
        <v>46</v>
      </c>
      <c r="AD833" t="s">
        <v>46</v>
      </c>
      <c r="AE833" t="s">
        <v>47</v>
      </c>
      <c r="AF833" t="s">
        <v>47</v>
      </c>
      <c r="AG833" t="s">
        <v>121</v>
      </c>
      <c r="AH833" t="s">
        <v>122</v>
      </c>
      <c r="AI833" t="s">
        <v>80</v>
      </c>
      <c r="AJ833">
        <v>5.8</v>
      </c>
      <c r="AK833" t="s">
        <v>47</v>
      </c>
      <c r="AL833" t="s">
        <v>100</v>
      </c>
      <c r="AM833" t="s">
        <v>77</v>
      </c>
      <c r="AN833">
        <v>10</v>
      </c>
      <c r="AO833" t="s">
        <v>47</v>
      </c>
    </row>
    <row r="834" spans="1:41">
      <c r="A834" t="s">
        <v>986</v>
      </c>
      <c r="B834">
        <v>2022</v>
      </c>
      <c r="C834" s="1">
        <v>44819</v>
      </c>
      <c r="D834" t="s">
        <v>58</v>
      </c>
      <c r="E834" t="s">
        <v>142</v>
      </c>
      <c r="F834">
        <v>47</v>
      </c>
      <c r="G834" t="s">
        <v>44</v>
      </c>
      <c r="H834" t="s">
        <v>70</v>
      </c>
      <c r="I834">
        <v>0</v>
      </c>
      <c r="J834">
        <v>0</v>
      </c>
      <c r="K834" t="s">
        <v>47</v>
      </c>
      <c r="L834" t="s">
        <v>47</v>
      </c>
      <c r="M834" t="s">
        <v>47</v>
      </c>
      <c r="N834" t="s">
        <v>50</v>
      </c>
      <c r="O834" t="s">
        <v>49</v>
      </c>
      <c r="P834">
        <v>23.6</v>
      </c>
      <c r="Q834" t="s">
        <v>48</v>
      </c>
      <c r="R834" t="s">
        <v>47</v>
      </c>
      <c r="S834" t="s">
        <v>47</v>
      </c>
      <c r="T834" t="s">
        <v>47</v>
      </c>
      <c r="U834" t="s">
        <v>47</v>
      </c>
      <c r="V834" t="s">
        <v>117</v>
      </c>
      <c r="W834" t="s">
        <v>47</v>
      </c>
      <c r="X834" t="s">
        <v>47</v>
      </c>
      <c r="Y834" t="s">
        <v>47</v>
      </c>
      <c r="Z834" t="s">
        <v>47</v>
      </c>
      <c r="AA834" t="s">
        <v>47</v>
      </c>
      <c r="AB834" t="s">
        <v>47</v>
      </c>
      <c r="AC834" t="s">
        <v>47</v>
      </c>
      <c r="AD834" t="s">
        <v>46</v>
      </c>
      <c r="AE834" t="s">
        <v>47</v>
      </c>
      <c r="AF834" t="s">
        <v>47</v>
      </c>
      <c r="AG834" t="s">
        <v>52</v>
      </c>
      <c r="AH834" t="s">
        <v>90</v>
      </c>
      <c r="AI834" t="s">
        <v>87</v>
      </c>
      <c r="AJ834">
        <v>4</v>
      </c>
      <c r="AK834" t="s">
        <v>47</v>
      </c>
      <c r="AL834" t="s">
        <v>100</v>
      </c>
      <c r="AM834" t="s">
        <v>103</v>
      </c>
      <c r="AN834">
        <v>36</v>
      </c>
      <c r="AO834" t="s">
        <v>47</v>
      </c>
    </row>
    <row r="835" spans="1:41">
      <c r="A835" t="s">
        <v>987</v>
      </c>
      <c r="B835">
        <v>2016</v>
      </c>
      <c r="C835" s="1">
        <v>42660</v>
      </c>
      <c r="D835" t="s">
        <v>110</v>
      </c>
      <c r="E835" t="s">
        <v>294</v>
      </c>
      <c r="F835">
        <v>59</v>
      </c>
      <c r="G835" t="s">
        <v>60</v>
      </c>
      <c r="H835" t="s">
        <v>45</v>
      </c>
      <c r="I835">
        <v>28</v>
      </c>
      <c r="J835">
        <v>26</v>
      </c>
      <c r="K835" t="s">
        <v>47</v>
      </c>
      <c r="L835" t="s">
        <v>46</v>
      </c>
      <c r="M835" t="s">
        <v>46</v>
      </c>
      <c r="N835" t="s">
        <v>62</v>
      </c>
      <c r="O835" t="s">
        <v>63</v>
      </c>
      <c r="P835">
        <v>23.3</v>
      </c>
      <c r="Q835" t="s">
        <v>62</v>
      </c>
      <c r="R835" t="s">
        <v>47</v>
      </c>
      <c r="S835" t="s">
        <v>46</v>
      </c>
      <c r="T835" t="s">
        <v>47</v>
      </c>
      <c r="U835" t="s">
        <v>47</v>
      </c>
      <c r="V835" t="s">
        <v>51</v>
      </c>
      <c r="W835" t="s">
        <v>46</v>
      </c>
      <c r="X835" t="s">
        <v>47</v>
      </c>
      <c r="Y835" t="s">
        <v>47</v>
      </c>
      <c r="Z835" t="s">
        <v>47</v>
      </c>
      <c r="AA835" t="s">
        <v>46</v>
      </c>
      <c r="AB835" t="s">
        <v>47</v>
      </c>
      <c r="AC835" t="s">
        <v>47</v>
      </c>
      <c r="AD835" t="s">
        <v>47</v>
      </c>
      <c r="AE835" t="s">
        <v>47</v>
      </c>
      <c r="AF835" t="s">
        <v>47</v>
      </c>
      <c r="AG835" t="s">
        <v>52</v>
      </c>
      <c r="AH835" t="s">
        <v>53</v>
      </c>
      <c r="AI835" t="s">
        <v>54</v>
      </c>
      <c r="AJ835">
        <v>8.1999999999999993</v>
      </c>
      <c r="AK835" t="s">
        <v>46</v>
      </c>
      <c r="AL835" t="s">
        <v>100</v>
      </c>
      <c r="AM835" t="s">
        <v>77</v>
      </c>
      <c r="AN835">
        <v>7</v>
      </c>
      <c r="AO835" t="s">
        <v>47</v>
      </c>
    </row>
    <row r="836" spans="1:41">
      <c r="A836" t="s">
        <v>988</v>
      </c>
      <c r="B836">
        <v>2022</v>
      </c>
      <c r="C836" s="1">
        <v>44732</v>
      </c>
      <c r="D836" t="s">
        <v>58</v>
      </c>
      <c r="E836" t="s">
        <v>138</v>
      </c>
      <c r="F836">
        <v>58</v>
      </c>
      <c r="G836" t="s">
        <v>60</v>
      </c>
      <c r="H836" t="s">
        <v>70</v>
      </c>
      <c r="I836">
        <v>0</v>
      </c>
      <c r="J836">
        <v>0</v>
      </c>
      <c r="K836" t="s">
        <v>46</v>
      </c>
      <c r="L836" t="s">
        <v>47</v>
      </c>
      <c r="M836" t="s">
        <v>47</v>
      </c>
      <c r="N836" t="s">
        <v>48</v>
      </c>
      <c r="O836" t="s">
        <v>63</v>
      </c>
      <c r="P836">
        <v>28.9</v>
      </c>
      <c r="Q836" t="s">
        <v>50</v>
      </c>
      <c r="R836" t="s">
        <v>46</v>
      </c>
      <c r="S836" t="s">
        <v>46</v>
      </c>
      <c r="T836" t="s">
        <v>47</v>
      </c>
      <c r="U836" t="s">
        <v>47</v>
      </c>
      <c r="V836" t="s">
        <v>51</v>
      </c>
      <c r="W836" t="s">
        <v>47</v>
      </c>
      <c r="X836" t="s">
        <v>46</v>
      </c>
      <c r="Y836" t="s">
        <v>47</v>
      </c>
      <c r="Z836" t="s">
        <v>47</v>
      </c>
      <c r="AA836" t="s">
        <v>47</v>
      </c>
      <c r="AB836" t="s">
        <v>46</v>
      </c>
      <c r="AC836" t="s">
        <v>46</v>
      </c>
      <c r="AD836" t="s">
        <v>47</v>
      </c>
      <c r="AE836" t="s">
        <v>46</v>
      </c>
      <c r="AF836" t="s">
        <v>46</v>
      </c>
      <c r="AG836" t="s">
        <v>52</v>
      </c>
      <c r="AH836" t="s">
        <v>53</v>
      </c>
      <c r="AI836" t="s">
        <v>65</v>
      </c>
      <c r="AJ836">
        <v>1.8</v>
      </c>
      <c r="AK836" t="s">
        <v>47</v>
      </c>
      <c r="AL836" t="s">
        <v>72</v>
      </c>
      <c r="AM836" t="s">
        <v>73</v>
      </c>
      <c r="AN836">
        <v>41</v>
      </c>
      <c r="AO836" t="s">
        <v>46</v>
      </c>
    </row>
    <row r="837" spans="1:41">
      <c r="A837" t="s">
        <v>989</v>
      </c>
      <c r="B837">
        <v>2023</v>
      </c>
      <c r="C837" s="1">
        <v>44998</v>
      </c>
      <c r="D837" t="s">
        <v>95</v>
      </c>
      <c r="E837" t="s">
        <v>255</v>
      </c>
      <c r="F837">
        <v>72</v>
      </c>
      <c r="G837" t="s">
        <v>60</v>
      </c>
      <c r="H837" t="s">
        <v>61</v>
      </c>
      <c r="I837">
        <v>14</v>
      </c>
      <c r="J837">
        <v>11</v>
      </c>
      <c r="K837" t="s">
        <v>47</v>
      </c>
      <c r="L837" t="s">
        <v>46</v>
      </c>
      <c r="M837" t="s">
        <v>47</v>
      </c>
      <c r="N837" t="s">
        <v>48</v>
      </c>
      <c r="O837" t="s">
        <v>49</v>
      </c>
      <c r="P837">
        <v>22.4</v>
      </c>
      <c r="Q837" t="s">
        <v>50</v>
      </c>
      <c r="R837" t="s">
        <v>46</v>
      </c>
      <c r="S837" t="s">
        <v>47</v>
      </c>
      <c r="T837" t="s">
        <v>47</v>
      </c>
      <c r="U837" t="s">
        <v>47</v>
      </c>
      <c r="V837" t="s">
        <v>151</v>
      </c>
      <c r="W837" t="s">
        <v>47</v>
      </c>
      <c r="X837" t="s">
        <v>47</v>
      </c>
      <c r="Y837" t="s">
        <v>47</v>
      </c>
      <c r="Z837" t="s">
        <v>47</v>
      </c>
      <c r="AA837" t="s">
        <v>46</v>
      </c>
      <c r="AB837" t="s">
        <v>47</v>
      </c>
      <c r="AC837" t="s">
        <v>47</v>
      </c>
      <c r="AD837" t="s">
        <v>47</v>
      </c>
      <c r="AE837" t="s">
        <v>47</v>
      </c>
      <c r="AF837" t="s">
        <v>47</v>
      </c>
      <c r="AG837" t="s">
        <v>52</v>
      </c>
      <c r="AH837" t="s">
        <v>53</v>
      </c>
      <c r="AI837" t="s">
        <v>80</v>
      </c>
      <c r="AJ837">
        <v>7.9</v>
      </c>
      <c r="AK837" t="s">
        <v>47</v>
      </c>
      <c r="AL837" t="s">
        <v>55</v>
      </c>
      <c r="AM837" t="s">
        <v>82</v>
      </c>
      <c r="AN837">
        <v>23</v>
      </c>
      <c r="AO837" t="s">
        <v>46</v>
      </c>
    </row>
    <row r="838" spans="1:41">
      <c r="A838" t="s">
        <v>990</v>
      </c>
      <c r="B838">
        <v>2018</v>
      </c>
      <c r="C838" s="1">
        <v>43461</v>
      </c>
      <c r="D838" t="s">
        <v>42</v>
      </c>
      <c r="E838" t="s">
        <v>247</v>
      </c>
      <c r="F838">
        <v>69</v>
      </c>
      <c r="G838" t="s">
        <v>60</v>
      </c>
      <c r="H838" t="s">
        <v>70</v>
      </c>
      <c r="I838">
        <v>0</v>
      </c>
      <c r="J838">
        <v>0</v>
      </c>
      <c r="K838" t="s">
        <v>46</v>
      </c>
      <c r="L838" t="s">
        <v>46</v>
      </c>
      <c r="M838" t="s">
        <v>47</v>
      </c>
      <c r="N838" t="s">
        <v>48</v>
      </c>
      <c r="O838" t="s">
        <v>49</v>
      </c>
      <c r="P838">
        <v>21.2</v>
      </c>
      <c r="Q838" t="s">
        <v>48</v>
      </c>
      <c r="R838" t="s">
        <v>47</v>
      </c>
      <c r="S838" t="s">
        <v>47</v>
      </c>
      <c r="T838" t="s">
        <v>47</v>
      </c>
      <c r="U838" t="s">
        <v>47</v>
      </c>
      <c r="V838" t="s">
        <v>86</v>
      </c>
      <c r="W838" t="s">
        <v>47</v>
      </c>
      <c r="X838" t="s">
        <v>47</v>
      </c>
      <c r="Y838" t="s">
        <v>46</v>
      </c>
      <c r="Z838" t="s">
        <v>47</v>
      </c>
      <c r="AA838" t="s">
        <v>47</v>
      </c>
      <c r="AB838" t="s">
        <v>47</v>
      </c>
      <c r="AC838" t="s">
        <v>47</v>
      </c>
      <c r="AD838" t="s">
        <v>47</v>
      </c>
      <c r="AE838" t="s">
        <v>47</v>
      </c>
      <c r="AF838" t="s">
        <v>47</v>
      </c>
      <c r="AG838" t="s">
        <v>52</v>
      </c>
      <c r="AH838" t="s">
        <v>53</v>
      </c>
      <c r="AI838" t="s">
        <v>80</v>
      </c>
      <c r="AJ838">
        <v>6.5</v>
      </c>
      <c r="AK838" t="s">
        <v>47</v>
      </c>
      <c r="AL838" t="s">
        <v>76</v>
      </c>
      <c r="AM838" t="s">
        <v>56</v>
      </c>
      <c r="AN838">
        <v>31</v>
      </c>
      <c r="AO838" t="s">
        <v>47</v>
      </c>
    </row>
    <row r="839" spans="1:41">
      <c r="A839" t="s">
        <v>991</v>
      </c>
      <c r="B839">
        <v>2017</v>
      </c>
      <c r="C839" s="1">
        <v>43019</v>
      </c>
      <c r="D839" t="s">
        <v>84</v>
      </c>
      <c r="E839" t="s">
        <v>89</v>
      </c>
      <c r="F839">
        <v>59</v>
      </c>
      <c r="G839" t="s">
        <v>44</v>
      </c>
      <c r="H839" t="s">
        <v>70</v>
      </c>
      <c r="I839">
        <v>0</v>
      </c>
      <c r="J839">
        <v>0</v>
      </c>
      <c r="K839" t="s">
        <v>46</v>
      </c>
      <c r="L839" t="s">
        <v>47</v>
      </c>
      <c r="M839" t="s">
        <v>47</v>
      </c>
      <c r="N839" t="s">
        <v>48</v>
      </c>
      <c r="O839" t="s">
        <v>63</v>
      </c>
      <c r="P839">
        <v>30.3</v>
      </c>
      <c r="Q839" t="s">
        <v>62</v>
      </c>
      <c r="R839" t="s">
        <v>46</v>
      </c>
      <c r="S839" t="s">
        <v>47</v>
      </c>
      <c r="T839" t="s">
        <v>47</v>
      </c>
      <c r="U839" t="s">
        <v>47</v>
      </c>
      <c r="V839" t="s">
        <v>151</v>
      </c>
      <c r="W839" t="s">
        <v>47</v>
      </c>
      <c r="X839" t="s">
        <v>46</v>
      </c>
      <c r="Y839" t="s">
        <v>47</v>
      </c>
      <c r="Z839" t="s">
        <v>47</v>
      </c>
      <c r="AA839" t="s">
        <v>46</v>
      </c>
      <c r="AB839" t="s">
        <v>47</v>
      </c>
      <c r="AC839" t="s">
        <v>47</v>
      </c>
      <c r="AD839" t="s">
        <v>47</v>
      </c>
      <c r="AE839" t="s">
        <v>47</v>
      </c>
      <c r="AF839" t="s">
        <v>47</v>
      </c>
      <c r="AG839" t="s">
        <v>52</v>
      </c>
      <c r="AH839" t="s">
        <v>53</v>
      </c>
      <c r="AI839" t="s">
        <v>65</v>
      </c>
      <c r="AJ839">
        <v>2.2999999999999998</v>
      </c>
      <c r="AK839" t="s">
        <v>47</v>
      </c>
      <c r="AL839" t="s">
        <v>156</v>
      </c>
      <c r="AM839" t="s">
        <v>73</v>
      </c>
      <c r="AN839">
        <v>98</v>
      </c>
      <c r="AO839" t="s">
        <v>46</v>
      </c>
    </row>
    <row r="840" spans="1:41">
      <c r="A840" t="s">
        <v>992</v>
      </c>
      <c r="B840">
        <v>2021</v>
      </c>
      <c r="C840" s="1">
        <v>44457</v>
      </c>
      <c r="D840" t="s">
        <v>110</v>
      </c>
      <c r="E840" t="s">
        <v>225</v>
      </c>
      <c r="F840">
        <v>70</v>
      </c>
      <c r="G840" t="s">
        <v>60</v>
      </c>
      <c r="H840" t="s">
        <v>70</v>
      </c>
      <c r="I840">
        <v>0</v>
      </c>
      <c r="J840">
        <v>0</v>
      </c>
      <c r="K840" t="s">
        <v>46</v>
      </c>
      <c r="L840" t="s">
        <v>47</v>
      </c>
      <c r="M840" t="s">
        <v>47</v>
      </c>
      <c r="N840" t="s">
        <v>62</v>
      </c>
      <c r="O840" t="s">
        <v>49</v>
      </c>
      <c r="P840">
        <v>21.5</v>
      </c>
      <c r="Q840" t="s">
        <v>62</v>
      </c>
      <c r="R840" t="s">
        <v>47</v>
      </c>
      <c r="S840" t="s">
        <v>47</v>
      </c>
      <c r="T840" t="s">
        <v>47</v>
      </c>
      <c r="U840" t="s">
        <v>47</v>
      </c>
      <c r="V840" t="s">
        <v>51</v>
      </c>
      <c r="W840" t="s">
        <v>47</v>
      </c>
      <c r="X840" t="s">
        <v>47</v>
      </c>
      <c r="Y840" t="s">
        <v>47</v>
      </c>
      <c r="Z840" t="s">
        <v>47</v>
      </c>
      <c r="AA840" t="s">
        <v>47</v>
      </c>
      <c r="AB840" t="s">
        <v>46</v>
      </c>
      <c r="AC840" t="s">
        <v>47</v>
      </c>
      <c r="AD840" t="s">
        <v>47</v>
      </c>
      <c r="AE840" t="s">
        <v>47</v>
      </c>
      <c r="AF840" t="s">
        <v>47</v>
      </c>
      <c r="AG840" t="s">
        <v>52</v>
      </c>
      <c r="AH840" t="s">
        <v>71</v>
      </c>
      <c r="AI840" t="s">
        <v>80</v>
      </c>
      <c r="AJ840">
        <v>3.2</v>
      </c>
      <c r="AK840" t="s">
        <v>47</v>
      </c>
      <c r="AL840" t="s">
        <v>55</v>
      </c>
      <c r="AM840" t="s">
        <v>67</v>
      </c>
      <c r="AN840">
        <v>20</v>
      </c>
      <c r="AO840" t="s">
        <v>47</v>
      </c>
    </row>
    <row r="841" spans="1:41">
      <c r="A841" t="s">
        <v>993</v>
      </c>
      <c r="B841">
        <v>2016</v>
      </c>
      <c r="C841" s="1">
        <v>42723</v>
      </c>
      <c r="D841" t="s">
        <v>110</v>
      </c>
      <c r="E841" t="s">
        <v>410</v>
      </c>
      <c r="F841">
        <v>43</v>
      </c>
      <c r="G841" t="s">
        <v>44</v>
      </c>
      <c r="H841" t="s">
        <v>70</v>
      </c>
      <c r="I841">
        <v>0</v>
      </c>
      <c r="J841">
        <v>0</v>
      </c>
      <c r="K841" t="s">
        <v>46</v>
      </c>
      <c r="L841" t="s">
        <v>47</v>
      </c>
      <c r="M841" t="s">
        <v>47</v>
      </c>
      <c r="N841" t="s">
        <v>50</v>
      </c>
      <c r="O841" t="s">
        <v>48</v>
      </c>
      <c r="P841">
        <v>20.9</v>
      </c>
      <c r="Q841" t="s">
        <v>50</v>
      </c>
      <c r="R841" t="s">
        <v>46</v>
      </c>
      <c r="S841" t="s">
        <v>47</v>
      </c>
      <c r="T841" t="s">
        <v>47</v>
      </c>
      <c r="U841" t="s">
        <v>47</v>
      </c>
      <c r="V841" t="s">
        <v>117</v>
      </c>
      <c r="W841" t="s">
        <v>47</v>
      </c>
      <c r="X841" t="s">
        <v>47</v>
      </c>
      <c r="Y841" t="s">
        <v>47</v>
      </c>
      <c r="Z841" t="s">
        <v>47</v>
      </c>
      <c r="AA841" t="s">
        <v>47</v>
      </c>
      <c r="AB841" t="s">
        <v>47</v>
      </c>
      <c r="AC841" t="s">
        <v>46</v>
      </c>
      <c r="AD841" t="s">
        <v>46</v>
      </c>
      <c r="AE841" t="s">
        <v>47</v>
      </c>
      <c r="AF841" t="s">
        <v>47</v>
      </c>
      <c r="AG841" t="s">
        <v>52</v>
      </c>
      <c r="AH841" t="s">
        <v>90</v>
      </c>
      <c r="AI841" t="s">
        <v>65</v>
      </c>
      <c r="AJ841">
        <v>1.4</v>
      </c>
      <c r="AK841" t="s">
        <v>47</v>
      </c>
      <c r="AL841" t="s">
        <v>81</v>
      </c>
      <c r="AM841" t="s">
        <v>82</v>
      </c>
      <c r="AN841">
        <v>67</v>
      </c>
      <c r="AO841" t="s">
        <v>46</v>
      </c>
    </row>
    <row r="842" spans="1:41">
      <c r="A842" t="s">
        <v>994</v>
      </c>
      <c r="B842">
        <v>2019</v>
      </c>
      <c r="C842" s="1">
        <v>43704</v>
      </c>
      <c r="D842" t="s">
        <v>110</v>
      </c>
      <c r="E842" t="s">
        <v>177</v>
      </c>
      <c r="F842">
        <v>75</v>
      </c>
      <c r="G842" t="s">
        <v>44</v>
      </c>
      <c r="H842" t="s">
        <v>70</v>
      </c>
      <c r="I842">
        <v>0</v>
      </c>
      <c r="J842">
        <v>0</v>
      </c>
      <c r="K842" t="s">
        <v>47</v>
      </c>
      <c r="L842" t="s">
        <v>47</v>
      </c>
      <c r="M842" t="s">
        <v>46</v>
      </c>
      <c r="N842" t="s">
        <v>62</v>
      </c>
      <c r="O842" t="s">
        <v>48</v>
      </c>
      <c r="P842">
        <v>23.8</v>
      </c>
      <c r="Q842" t="s">
        <v>48</v>
      </c>
      <c r="R842" t="s">
        <v>47</v>
      </c>
      <c r="S842" t="s">
        <v>46</v>
      </c>
      <c r="T842" t="s">
        <v>46</v>
      </c>
      <c r="U842" t="s">
        <v>47</v>
      </c>
      <c r="V842" t="s">
        <v>117</v>
      </c>
      <c r="W842" t="s">
        <v>46</v>
      </c>
      <c r="X842" t="s">
        <v>47</v>
      </c>
      <c r="Y842" t="s">
        <v>46</v>
      </c>
      <c r="Z842" t="s">
        <v>47</v>
      </c>
      <c r="AA842" t="s">
        <v>47</v>
      </c>
      <c r="AB842" t="s">
        <v>47</v>
      </c>
      <c r="AC842" t="s">
        <v>47</v>
      </c>
      <c r="AD842" t="s">
        <v>47</v>
      </c>
      <c r="AE842" t="s">
        <v>47</v>
      </c>
      <c r="AF842" t="s">
        <v>47</v>
      </c>
      <c r="AG842" t="s">
        <v>52</v>
      </c>
      <c r="AH842" t="s">
        <v>90</v>
      </c>
      <c r="AI842" t="s">
        <v>87</v>
      </c>
      <c r="AJ842">
        <v>4.5</v>
      </c>
      <c r="AK842" t="s">
        <v>47</v>
      </c>
      <c r="AL842" t="s">
        <v>76</v>
      </c>
      <c r="AM842" t="s">
        <v>82</v>
      </c>
      <c r="AN842">
        <v>34</v>
      </c>
      <c r="AO842" t="s">
        <v>47</v>
      </c>
    </row>
    <row r="843" spans="1:41">
      <c r="A843" t="s">
        <v>995</v>
      </c>
      <c r="B843">
        <v>2023</v>
      </c>
      <c r="C843" s="1">
        <v>45088</v>
      </c>
      <c r="D843" t="s">
        <v>58</v>
      </c>
      <c r="E843" t="s">
        <v>169</v>
      </c>
      <c r="F843">
        <v>57</v>
      </c>
      <c r="G843" t="s">
        <v>60</v>
      </c>
      <c r="H843" t="s">
        <v>45</v>
      </c>
      <c r="I843">
        <v>37</v>
      </c>
      <c r="J843">
        <v>14</v>
      </c>
      <c r="K843" t="s">
        <v>47</v>
      </c>
      <c r="L843" t="s">
        <v>46</v>
      </c>
      <c r="M843" t="s">
        <v>47</v>
      </c>
      <c r="N843" t="s">
        <v>50</v>
      </c>
      <c r="O843" t="s">
        <v>49</v>
      </c>
      <c r="P843">
        <v>24.7</v>
      </c>
      <c r="Q843" t="s">
        <v>50</v>
      </c>
      <c r="R843" t="s">
        <v>47</v>
      </c>
      <c r="S843" t="s">
        <v>47</v>
      </c>
      <c r="T843" t="s">
        <v>47</v>
      </c>
      <c r="U843" t="s">
        <v>47</v>
      </c>
      <c r="V843" t="s">
        <v>51</v>
      </c>
      <c r="W843" t="s">
        <v>46</v>
      </c>
      <c r="X843" t="s">
        <v>47</v>
      </c>
      <c r="Y843" t="s">
        <v>46</v>
      </c>
      <c r="Z843" t="s">
        <v>46</v>
      </c>
      <c r="AA843" t="s">
        <v>46</v>
      </c>
      <c r="AB843" t="s">
        <v>46</v>
      </c>
      <c r="AC843" t="s">
        <v>47</v>
      </c>
      <c r="AD843" t="s">
        <v>47</v>
      </c>
      <c r="AE843" t="s">
        <v>46</v>
      </c>
      <c r="AF843" t="s">
        <v>47</v>
      </c>
      <c r="AG843" t="s">
        <v>52</v>
      </c>
      <c r="AH843" t="s">
        <v>53</v>
      </c>
      <c r="AI843" t="s">
        <v>80</v>
      </c>
      <c r="AJ843">
        <v>6.7</v>
      </c>
      <c r="AK843" t="s">
        <v>47</v>
      </c>
      <c r="AL843" t="s">
        <v>156</v>
      </c>
      <c r="AM843" t="s">
        <v>77</v>
      </c>
      <c r="AN843">
        <v>12</v>
      </c>
      <c r="AO843" t="s">
        <v>47</v>
      </c>
    </row>
    <row r="844" spans="1:41">
      <c r="A844" t="s">
        <v>996</v>
      </c>
      <c r="B844">
        <v>2019</v>
      </c>
      <c r="C844" s="1">
        <v>43665</v>
      </c>
      <c r="D844" t="s">
        <v>58</v>
      </c>
      <c r="E844" t="s">
        <v>134</v>
      </c>
      <c r="F844">
        <v>71</v>
      </c>
      <c r="G844" t="s">
        <v>60</v>
      </c>
      <c r="H844" t="s">
        <v>45</v>
      </c>
      <c r="I844">
        <v>19</v>
      </c>
      <c r="J844">
        <v>24</v>
      </c>
      <c r="K844" t="s">
        <v>47</v>
      </c>
      <c r="L844" t="s">
        <v>47</v>
      </c>
      <c r="M844" t="s">
        <v>46</v>
      </c>
      <c r="N844" t="s">
        <v>62</v>
      </c>
      <c r="O844" t="s">
        <v>49</v>
      </c>
      <c r="P844">
        <v>30.5</v>
      </c>
      <c r="Q844" t="s">
        <v>48</v>
      </c>
      <c r="R844" t="s">
        <v>47</v>
      </c>
      <c r="S844" t="s">
        <v>47</v>
      </c>
      <c r="T844" t="s">
        <v>47</v>
      </c>
      <c r="U844" t="s">
        <v>47</v>
      </c>
      <c r="V844" t="s">
        <v>51</v>
      </c>
      <c r="W844" t="s">
        <v>47</v>
      </c>
      <c r="X844" t="s">
        <v>46</v>
      </c>
      <c r="Y844" t="s">
        <v>46</v>
      </c>
      <c r="Z844" t="s">
        <v>47</v>
      </c>
      <c r="AA844" t="s">
        <v>46</v>
      </c>
      <c r="AB844" t="s">
        <v>46</v>
      </c>
      <c r="AC844" t="s">
        <v>46</v>
      </c>
      <c r="AD844" t="s">
        <v>47</v>
      </c>
      <c r="AE844" t="s">
        <v>47</v>
      </c>
      <c r="AF844" t="s">
        <v>47</v>
      </c>
      <c r="AG844" t="s">
        <v>52</v>
      </c>
      <c r="AH844" t="s">
        <v>53</v>
      </c>
      <c r="AI844" t="s">
        <v>54</v>
      </c>
      <c r="AJ844">
        <v>3.9</v>
      </c>
      <c r="AK844" t="s">
        <v>46</v>
      </c>
      <c r="AL844" t="s">
        <v>55</v>
      </c>
      <c r="AM844" t="s">
        <v>77</v>
      </c>
      <c r="AN844">
        <v>3</v>
      </c>
      <c r="AO844" t="s">
        <v>47</v>
      </c>
    </row>
    <row r="845" spans="1:41">
      <c r="A845" t="s">
        <v>997</v>
      </c>
      <c r="B845">
        <v>2015</v>
      </c>
      <c r="C845" s="1">
        <v>42366</v>
      </c>
      <c r="D845" t="s">
        <v>58</v>
      </c>
      <c r="E845" t="s">
        <v>150</v>
      </c>
      <c r="F845">
        <v>41</v>
      </c>
      <c r="G845" t="s">
        <v>44</v>
      </c>
      <c r="H845" t="s">
        <v>70</v>
      </c>
      <c r="I845">
        <v>0</v>
      </c>
      <c r="J845">
        <v>0</v>
      </c>
      <c r="K845" t="s">
        <v>47</v>
      </c>
      <c r="L845" t="s">
        <v>47</v>
      </c>
      <c r="M845" t="s">
        <v>47</v>
      </c>
      <c r="N845" t="s">
        <v>62</v>
      </c>
      <c r="O845" t="s">
        <v>48</v>
      </c>
      <c r="P845">
        <v>22.7</v>
      </c>
      <c r="Q845" t="s">
        <v>50</v>
      </c>
      <c r="R845" t="s">
        <v>47</v>
      </c>
      <c r="S845" t="s">
        <v>46</v>
      </c>
      <c r="T845" t="s">
        <v>47</v>
      </c>
      <c r="U845" t="s">
        <v>47</v>
      </c>
      <c r="V845" t="s">
        <v>51</v>
      </c>
      <c r="W845" t="s">
        <v>46</v>
      </c>
      <c r="X845" t="s">
        <v>47</v>
      </c>
      <c r="Y845" t="s">
        <v>46</v>
      </c>
      <c r="Z845" t="s">
        <v>47</v>
      </c>
      <c r="AA845" t="s">
        <v>47</v>
      </c>
      <c r="AB845" t="s">
        <v>46</v>
      </c>
      <c r="AC845" t="s">
        <v>46</v>
      </c>
      <c r="AD845" t="s">
        <v>47</v>
      </c>
      <c r="AE845" t="s">
        <v>47</v>
      </c>
      <c r="AF845" t="s">
        <v>47</v>
      </c>
      <c r="AG845" t="s">
        <v>52</v>
      </c>
      <c r="AH845" t="s">
        <v>53</v>
      </c>
      <c r="AI845" t="s">
        <v>65</v>
      </c>
      <c r="AJ845">
        <v>2.1</v>
      </c>
      <c r="AK845" t="s">
        <v>47</v>
      </c>
      <c r="AL845" t="s">
        <v>76</v>
      </c>
      <c r="AM845" t="s">
        <v>82</v>
      </c>
      <c r="AN845">
        <v>51</v>
      </c>
      <c r="AO845" t="s">
        <v>47</v>
      </c>
    </row>
    <row r="846" spans="1:41">
      <c r="A846" t="s">
        <v>998</v>
      </c>
      <c r="B846">
        <v>2023</v>
      </c>
      <c r="C846" s="1">
        <v>45215</v>
      </c>
      <c r="D846" t="s">
        <v>95</v>
      </c>
      <c r="E846" t="s">
        <v>130</v>
      </c>
      <c r="F846">
        <v>58</v>
      </c>
      <c r="G846" t="s">
        <v>60</v>
      </c>
      <c r="H846" t="s">
        <v>70</v>
      </c>
      <c r="I846">
        <v>0</v>
      </c>
      <c r="J846">
        <v>0</v>
      </c>
      <c r="K846" t="s">
        <v>47</v>
      </c>
      <c r="L846" t="s">
        <v>47</v>
      </c>
      <c r="M846" t="s">
        <v>46</v>
      </c>
      <c r="N846" t="s">
        <v>62</v>
      </c>
      <c r="O846" t="s">
        <v>48</v>
      </c>
      <c r="P846">
        <v>24.8</v>
      </c>
      <c r="Q846" t="s">
        <v>48</v>
      </c>
      <c r="R846" t="s">
        <v>47</v>
      </c>
      <c r="S846" t="s">
        <v>47</v>
      </c>
      <c r="T846" t="s">
        <v>47</v>
      </c>
      <c r="U846" t="s">
        <v>47</v>
      </c>
      <c r="V846" t="s">
        <v>64</v>
      </c>
      <c r="W846" t="s">
        <v>47</v>
      </c>
      <c r="X846" t="s">
        <v>47</v>
      </c>
      <c r="Y846" t="s">
        <v>47</v>
      </c>
      <c r="Z846" t="s">
        <v>47</v>
      </c>
      <c r="AA846" t="s">
        <v>47</v>
      </c>
      <c r="AB846" t="s">
        <v>46</v>
      </c>
      <c r="AC846" t="s">
        <v>46</v>
      </c>
      <c r="AD846" t="s">
        <v>47</v>
      </c>
      <c r="AE846" t="s">
        <v>47</v>
      </c>
      <c r="AF846" t="s">
        <v>47</v>
      </c>
      <c r="AG846" t="s">
        <v>121</v>
      </c>
      <c r="AH846" t="s">
        <v>122</v>
      </c>
      <c r="AI846" t="s">
        <v>87</v>
      </c>
      <c r="AJ846">
        <v>5.3</v>
      </c>
      <c r="AK846" t="s">
        <v>47</v>
      </c>
      <c r="AL846" t="s">
        <v>76</v>
      </c>
      <c r="AM846" t="s">
        <v>67</v>
      </c>
      <c r="AN846">
        <v>29</v>
      </c>
      <c r="AO846" t="s">
        <v>47</v>
      </c>
    </row>
    <row r="847" spans="1:41">
      <c r="A847" t="s">
        <v>999</v>
      </c>
      <c r="B847">
        <v>2021</v>
      </c>
      <c r="C847" s="1">
        <v>44526</v>
      </c>
      <c r="D847" t="s">
        <v>42</v>
      </c>
      <c r="E847" t="s">
        <v>154</v>
      </c>
      <c r="F847">
        <v>82</v>
      </c>
      <c r="G847" t="s">
        <v>60</v>
      </c>
      <c r="H847" t="s">
        <v>45</v>
      </c>
      <c r="I847">
        <v>26</v>
      </c>
      <c r="J847">
        <v>43</v>
      </c>
      <c r="K847" t="s">
        <v>47</v>
      </c>
      <c r="L847" t="s">
        <v>47</v>
      </c>
      <c r="M847" t="s">
        <v>47</v>
      </c>
      <c r="N847" t="s">
        <v>48</v>
      </c>
      <c r="O847" t="s">
        <v>63</v>
      </c>
      <c r="P847">
        <v>21.3</v>
      </c>
      <c r="Q847" t="s">
        <v>48</v>
      </c>
      <c r="R847" t="s">
        <v>46</v>
      </c>
      <c r="S847" t="s">
        <v>47</v>
      </c>
      <c r="T847" t="s">
        <v>47</v>
      </c>
      <c r="U847" t="s">
        <v>47</v>
      </c>
      <c r="V847" t="s">
        <v>171</v>
      </c>
      <c r="W847" t="s">
        <v>46</v>
      </c>
      <c r="X847" t="s">
        <v>46</v>
      </c>
      <c r="Y847" t="s">
        <v>46</v>
      </c>
      <c r="Z847" t="s">
        <v>47</v>
      </c>
      <c r="AA847" t="s">
        <v>46</v>
      </c>
      <c r="AB847" t="s">
        <v>47</v>
      </c>
      <c r="AC847" t="s">
        <v>47</v>
      </c>
      <c r="AD847" t="s">
        <v>47</v>
      </c>
      <c r="AE847" t="s">
        <v>47</v>
      </c>
      <c r="AF847" t="s">
        <v>47</v>
      </c>
      <c r="AG847" t="s">
        <v>121</v>
      </c>
      <c r="AH847" t="s">
        <v>122</v>
      </c>
      <c r="AI847" t="s">
        <v>65</v>
      </c>
      <c r="AJ847">
        <v>2.1</v>
      </c>
      <c r="AK847" t="s">
        <v>47</v>
      </c>
      <c r="AL847" t="s">
        <v>76</v>
      </c>
      <c r="AM847" t="s">
        <v>118</v>
      </c>
      <c r="AN847">
        <v>43</v>
      </c>
      <c r="AO847" t="s">
        <v>46</v>
      </c>
    </row>
    <row r="848" spans="1:41">
      <c r="A848" t="s">
        <v>1000</v>
      </c>
      <c r="B848">
        <v>2019</v>
      </c>
      <c r="C848" s="1">
        <v>43746</v>
      </c>
      <c r="D848" t="s">
        <v>95</v>
      </c>
      <c r="E848" t="s">
        <v>114</v>
      </c>
      <c r="F848">
        <v>54</v>
      </c>
      <c r="G848" t="s">
        <v>60</v>
      </c>
      <c r="H848" t="s">
        <v>70</v>
      </c>
      <c r="I848">
        <v>0</v>
      </c>
      <c r="J848">
        <v>0</v>
      </c>
      <c r="K848" t="s">
        <v>46</v>
      </c>
      <c r="L848" t="s">
        <v>47</v>
      </c>
      <c r="M848" t="s">
        <v>47</v>
      </c>
      <c r="N848" t="s">
        <v>50</v>
      </c>
      <c r="O848" t="s">
        <v>49</v>
      </c>
      <c r="P848">
        <v>26.3</v>
      </c>
      <c r="Q848" t="s">
        <v>62</v>
      </c>
      <c r="R848" t="s">
        <v>47</v>
      </c>
      <c r="S848" t="s">
        <v>47</v>
      </c>
      <c r="T848" t="s">
        <v>47</v>
      </c>
      <c r="U848" t="s">
        <v>46</v>
      </c>
      <c r="V848" t="s">
        <v>86</v>
      </c>
      <c r="W848" t="s">
        <v>47</v>
      </c>
      <c r="X848" t="s">
        <v>46</v>
      </c>
      <c r="Y848" t="s">
        <v>47</v>
      </c>
      <c r="Z848" t="s">
        <v>47</v>
      </c>
      <c r="AA848" t="s">
        <v>46</v>
      </c>
      <c r="AB848" t="s">
        <v>46</v>
      </c>
      <c r="AC848" t="s">
        <v>47</v>
      </c>
      <c r="AD848" t="s">
        <v>47</v>
      </c>
      <c r="AE848" t="s">
        <v>47</v>
      </c>
      <c r="AF848" t="s">
        <v>47</v>
      </c>
      <c r="AG848" t="s">
        <v>52</v>
      </c>
      <c r="AH848" t="s">
        <v>53</v>
      </c>
      <c r="AI848" t="s">
        <v>54</v>
      </c>
      <c r="AJ848">
        <v>7.7</v>
      </c>
      <c r="AK848" t="s">
        <v>46</v>
      </c>
      <c r="AL848" t="s">
        <v>72</v>
      </c>
      <c r="AM848" t="s">
        <v>118</v>
      </c>
      <c r="AN848">
        <v>3</v>
      </c>
      <c r="AO848" t="s">
        <v>47</v>
      </c>
    </row>
    <row r="849" spans="1:41">
      <c r="A849" t="s">
        <v>1001</v>
      </c>
      <c r="B849">
        <v>2025</v>
      </c>
      <c r="C849" s="1">
        <v>45946</v>
      </c>
      <c r="D849" t="s">
        <v>42</v>
      </c>
      <c r="E849" t="s">
        <v>166</v>
      </c>
      <c r="F849">
        <v>70</v>
      </c>
      <c r="G849" t="s">
        <v>60</v>
      </c>
      <c r="H849" t="s">
        <v>45</v>
      </c>
      <c r="I849">
        <v>26</v>
      </c>
      <c r="J849">
        <v>12</v>
      </c>
      <c r="K849" t="s">
        <v>46</v>
      </c>
      <c r="L849" t="s">
        <v>47</v>
      </c>
      <c r="M849" t="s">
        <v>47</v>
      </c>
      <c r="N849" t="s">
        <v>48</v>
      </c>
      <c r="O849" t="s">
        <v>49</v>
      </c>
      <c r="P849">
        <v>22.1</v>
      </c>
      <c r="Q849" t="s">
        <v>48</v>
      </c>
      <c r="R849" t="s">
        <v>46</v>
      </c>
      <c r="S849" t="s">
        <v>47</v>
      </c>
      <c r="T849" t="s">
        <v>47</v>
      </c>
      <c r="U849" t="s">
        <v>47</v>
      </c>
      <c r="V849" t="s">
        <v>51</v>
      </c>
      <c r="W849" t="s">
        <v>46</v>
      </c>
      <c r="X849" t="s">
        <v>46</v>
      </c>
      <c r="Y849" t="s">
        <v>46</v>
      </c>
      <c r="Z849" t="s">
        <v>47</v>
      </c>
      <c r="AA849" t="s">
        <v>46</v>
      </c>
      <c r="AB849" t="s">
        <v>46</v>
      </c>
      <c r="AC849" t="s">
        <v>47</v>
      </c>
      <c r="AD849" t="s">
        <v>47</v>
      </c>
      <c r="AE849" t="s">
        <v>47</v>
      </c>
      <c r="AF849" t="s">
        <v>46</v>
      </c>
      <c r="AG849" t="s">
        <v>52</v>
      </c>
      <c r="AH849" t="s">
        <v>71</v>
      </c>
      <c r="AI849" t="s">
        <v>87</v>
      </c>
      <c r="AJ849">
        <v>4.4000000000000004</v>
      </c>
      <c r="AK849" t="s">
        <v>47</v>
      </c>
      <c r="AL849" t="s">
        <v>100</v>
      </c>
      <c r="AM849" t="s">
        <v>82</v>
      </c>
      <c r="AN849">
        <v>40</v>
      </c>
      <c r="AO849" t="s">
        <v>47</v>
      </c>
    </row>
    <row r="850" spans="1:41">
      <c r="A850" t="s">
        <v>1002</v>
      </c>
      <c r="B850">
        <v>2024</v>
      </c>
      <c r="C850" s="1">
        <v>45556</v>
      </c>
      <c r="D850" t="s">
        <v>110</v>
      </c>
      <c r="E850" t="s">
        <v>124</v>
      </c>
      <c r="F850">
        <v>64</v>
      </c>
      <c r="G850" t="s">
        <v>44</v>
      </c>
      <c r="H850" t="s">
        <v>70</v>
      </c>
      <c r="I850">
        <v>0</v>
      </c>
      <c r="J850">
        <v>0</v>
      </c>
      <c r="K850" t="s">
        <v>46</v>
      </c>
      <c r="L850" t="s">
        <v>47</v>
      </c>
      <c r="M850" t="s">
        <v>47</v>
      </c>
      <c r="N850" t="s">
        <v>62</v>
      </c>
      <c r="O850" t="s">
        <v>48</v>
      </c>
      <c r="P850">
        <v>20.100000000000001</v>
      </c>
      <c r="Q850" t="s">
        <v>48</v>
      </c>
      <c r="R850" t="s">
        <v>47</v>
      </c>
      <c r="S850" t="s">
        <v>47</v>
      </c>
      <c r="T850" t="s">
        <v>47</v>
      </c>
      <c r="U850" t="s">
        <v>47</v>
      </c>
      <c r="V850" t="s">
        <v>64</v>
      </c>
      <c r="W850" t="s">
        <v>47</v>
      </c>
      <c r="X850" t="s">
        <v>47</v>
      </c>
      <c r="Y850" t="s">
        <v>47</v>
      </c>
      <c r="Z850" t="s">
        <v>46</v>
      </c>
      <c r="AA850" t="s">
        <v>47</v>
      </c>
      <c r="AB850" t="s">
        <v>47</v>
      </c>
      <c r="AC850" t="s">
        <v>47</v>
      </c>
      <c r="AD850" t="s">
        <v>47</v>
      </c>
      <c r="AE850" t="s">
        <v>47</v>
      </c>
      <c r="AF850" t="s">
        <v>47</v>
      </c>
      <c r="AG850" t="s">
        <v>52</v>
      </c>
      <c r="AH850" t="s">
        <v>90</v>
      </c>
      <c r="AI850" t="s">
        <v>54</v>
      </c>
      <c r="AJ850">
        <v>8.3000000000000007</v>
      </c>
      <c r="AK850" t="s">
        <v>46</v>
      </c>
      <c r="AL850" t="s">
        <v>100</v>
      </c>
      <c r="AM850" t="s">
        <v>265</v>
      </c>
      <c r="AN850">
        <v>18</v>
      </c>
      <c r="AO850" t="s">
        <v>47</v>
      </c>
    </row>
    <row r="851" spans="1:41">
      <c r="A851" t="s">
        <v>1003</v>
      </c>
      <c r="B851">
        <v>2021</v>
      </c>
      <c r="C851" s="1">
        <v>44382</v>
      </c>
      <c r="D851" t="s">
        <v>58</v>
      </c>
      <c r="E851" t="s">
        <v>59</v>
      </c>
      <c r="F851">
        <v>67</v>
      </c>
      <c r="G851" t="s">
        <v>60</v>
      </c>
      <c r="H851" t="s">
        <v>61</v>
      </c>
      <c r="I851">
        <v>20</v>
      </c>
      <c r="J851">
        <v>20</v>
      </c>
      <c r="K851" t="s">
        <v>47</v>
      </c>
      <c r="L851" t="s">
        <v>47</v>
      </c>
      <c r="M851" t="s">
        <v>47</v>
      </c>
      <c r="N851" t="s">
        <v>50</v>
      </c>
      <c r="O851" t="s">
        <v>48</v>
      </c>
      <c r="P851">
        <v>30.6</v>
      </c>
      <c r="Q851" t="s">
        <v>48</v>
      </c>
      <c r="R851" t="s">
        <v>47</v>
      </c>
      <c r="S851" t="s">
        <v>47</v>
      </c>
      <c r="T851" t="s">
        <v>47</v>
      </c>
      <c r="U851" t="s">
        <v>47</v>
      </c>
      <c r="V851" t="s">
        <v>51</v>
      </c>
      <c r="W851" t="s">
        <v>47</v>
      </c>
      <c r="X851" t="s">
        <v>46</v>
      </c>
      <c r="Y851" t="s">
        <v>46</v>
      </c>
      <c r="Z851" t="s">
        <v>46</v>
      </c>
      <c r="AA851" t="s">
        <v>46</v>
      </c>
      <c r="AB851" t="s">
        <v>46</v>
      </c>
      <c r="AC851" t="s">
        <v>47</v>
      </c>
      <c r="AD851" t="s">
        <v>47</v>
      </c>
      <c r="AE851" t="s">
        <v>47</v>
      </c>
      <c r="AF851" t="s">
        <v>47</v>
      </c>
      <c r="AG851" t="s">
        <v>52</v>
      </c>
      <c r="AH851" t="s">
        <v>90</v>
      </c>
      <c r="AI851" t="s">
        <v>54</v>
      </c>
      <c r="AJ851">
        <v>6</v>
      </c>
      <c r="AK851" t="s">
        <v>46</v>
      </c>
      <c r="AL851" t="s">
        <v>76</v>
      </c>
      <c r="AM851" t="s">
        <v>77</v>
      </c>
      <c r="AN851">
        <v>8</v>
      </c>
      <c r="AO851" t="s">
        <v>47</v>
      </c>
    </row>
    <row r="852" spans="1:41">
      <c r="A852" t="s">
        <v>1004</v>
      </c>
      <c r="B852">
        <v>2019</v>
      </c>
      <c r="C852" s="1">
        <v>43484</v>
      </c>
      <c r="D852" t="s">
        <v>42</v>
      </c>
      <c r="E852" t="s">
        <v>69</v>
      </c>
      <c r="F852">
        <v>59</v>
      </c>
      <c r="G852" t="s">
        <v>60</v>
      </c>
      <c r="H852" t="s">
        <v>45</v>
      </c>
      <c r="I852">
        <v>18</v>
      </c>
      <c r="J852">
        <v>31</v>
      </c>
      <c r="K852" t="s">
        <v>47</v>
      </c>
      <c r="L852" t="s">
        <v>47</v>
      </c>
      <c r="M852" t="s">
        <v>47</v>
      </c>
      <c r="N852" t="s">
        <v>62</v>
      </c>
      <c r="O852" t="s">
        <v>48</v>
      </c>
      <c r="P852">
        <v>24.6</v>
      </c>
      <c r="Q852" t="s">
        <v>62</v>
      </c>
      <c r="R852" t="s">
        <v>46</v>
      </c>
      <c r="S852" t="s">
        <v>47</v>
      </c>
      <c r="T852" t="s">
        <v>47</v>
      </c>
      <c r="U852" t="s">
        <v>47</v>
      </c>
      <c r="V852" t="s">
        <v>117</v>
      </c>
      <c r="W852" t="s">
        <v>46</v>
      </c>
      <c r="X852" t="s">
        <v>47</v>
      </c>
      <c r="Y852" t="s">
        <v>47</v>
      </c>
      <c r="Z852" t="s">
        <v>47</v>
      </c>
      <c r="AA852" t="s">
        <v>47</v>
      </c>
      <c r="AB852" t="s">
        <v>46</v>
      </c>
      <c r="AC852" t="s">
        <v>47</v>
      </c>
      <c r="AD852" t="s">
        <v>47</v>
      </c>
      <c r="AE852" t="s">
        <v>47</v>
      </c>
      <c r="AF852" t="s">
        <v>47</v>
      </c>
      <c r="AG852" t="s">
        <v>52</v>
      </c>
      <c r="AH852" t="s">
        <v>53</v>
      </c>
      <c r="AI852" t="s">
        <v>54</v>
      </c>
      <c r="AJ852">
        <v>7.5</v>
      </c>
      <c r="AK852" t="s">
        <v>46</v>
      </c>
      <c r="AL852" t="s">
        <v>76</v>
      </c>
      <c r="AM852" t="s">
        <v>82</v>
      </c>
      <c r="AN852">
        <v>13</v>
      </c>
      <c r="AO852" t="s">
        <v>46</v>
      </c>
    </row>
    <row r="853" spans="1:41">
      <c r="A853" t="s">
        <v>1005</v>
      </c>
      <c r="B853">
        <v>2017</v>
      </c>
      <c r="C853" s="1">
        <v>42826</v>
      </c>
      <c r="D853" t="s">
        <v>95</v>
      </c>
      <c r="E853" t="s">
        <v>96</v>
      </c>
      <c r="F853">
        <v>71</v>
      </c>
      <c r="G853" t="s">
        <v>44</v>
      </c>
      <c r="H853" t="s">
        <v>45</v>
      </c>
      <c r="I853">
        <v>25</v>
      </c>
      <c r="J853">
        <v>42</v>
      </c>
      <c r="K853" t="s">
        <v>46</v>
      </c>
      <c r="L853" t="s">
        <v>46</v>
      </c>
      <c r="M853" t="s">
        <v>47</v>
      </c>
      <c r="N853" t="s">
        <v>62</v>
      </c>
      <c r="O853" t="s">
        <v>49</v>
      </c>
      <c r="P853">
        <v>21.6</v>
      </c>
      <c r="Q853" t="s">
        <v>48</v>
      </c>
      <c r="R853" t="s">
        <v>47</v>
      </c>
      <c r="S853" t="s">
        <v>47</v>
      </c>
      <c r="T853" t="s">
        <v>46</v>
      </c>
      <c r="U853" t="s">
        <v>47</v>
      </c>
      <c r="V853" t="s">
        <v>51</v>
      </c>
      <c r="W853" t="s">
        <v>47</v>
      </c>
      <c r="X853" t="s">
        <v>46</v>
      </c>
      <c r="Y853" t="s">
        <v>46</v>
      </c>
      <c r="Z853" t="s">
        <v>47</v>
      </c>
      <c r="AA853" t="s">
        <v>46</v>
      </c>
      <c r="AB853" t="s">
        <v>47</v>
      </c>
      <c r="AC853" t="s">
        <v>47</v>
      </c>
      <c r="AD853" t="s">
        <v>47</v>
      </c>
      <c r="AE853" t="s">
        <v>47</v>
      </c>
      <c r="AF853" t="s">
        <v>47</v>
      </c>
      <c r="AG853" t="s">
        <v>121</v>
      </c>
      <c r="AH853" t="s">
        <v>122</v>
      </c>
      <c r="AI853" t="s">
        <v>54</v>
      </c>
      <c r="AJ853">
        <v>7.3</v>
      </c>
      <c r="AK853" t="s">
        <v>46</v>
      </c>
      <c r="AL853" t="s">
        <v>81</v>
      </c>
      <c r="AM853" t="s">
        <v>118</v>
      </c>
      <c r="AN853">
        <v>1</v>
      </c>
      <c r="AO853" t="s">
        <v>47</v>
      </c>
    </row>
    <row r="854" spans="1:41">
      <c r="A854" t="s">
        <v>1006</v>
      </c>
      <c r="B854">
        <v>2021</v>
      </c>
      <c r="C854" s="1">
        <v>44361</v>
      </c>
      <c r="D854" t="s">
        <v>58</v>
      </c>
      <c r="E854" t="s">
        <v>142</v>
      </c>
      <c r="F854">
        <v>66</v>
      </c>
      <c r="G854" t="s">
        <v>60</v>
      </c>
      <c r="H854" t="s">
        <v>45</v>
      </c>
      <c r="I854">
        <v>46</v>
      </c>
      <c r="J854">
        <v>19</v>
      </c>
      <c r="K854" t="s">
        <v>46</v>
      </c>
      <c r="L854" t="s">
        <v>47</v>
      </c>
      <c r="M854" t="s">
        <v>47</v>
      </c>
      <c r="N854" t="s">
        <v>50</v>
      </c>
      <c r="O854" t="s">
        <v>63</v>
      </c>
      <c r="P854">
        <v>22.6</v>
      </c>
      <c r="Q854" t="s">
        <v>62</v>
      </c>
      <c r="R854" t="s">
        <v>46</v>
      </c>
      <c r="S854" t="s">
        <v>47</v>
      </c>
      <c r="T854" t="s">
        <v>47</v>
      </c>
      <c r="U854" t="s">
        <v>47</v>
      </c>
      <c r="V854" t="s">
        <v>51</v>
      </c>
      <c r="W854" t="s">
        <v>46</v>
      </c>
      <c r="X854" t="s">
        <v>46</v>
      </c>
      <c r="Y854" t="s">
        <v>46</v>
      </c>
      <c r="Z854" t="s">
        <v>47</v>
      </c>
      <c r="AA854" t="s">
        <v>47</v>
      </c>
      <c r="AB854" t="s">
        <v>46</v>
      </c>
      <c r="AC854" t="s">
        <v>46</v>
      </c>
      <c r="AD854" t="s">
        <v>47</v>
      </c>
      <c r="AE854" t="s">
        <v>47</v>
      </c>
      <c r="AF854" t="s">
        <v>46</v>
      </c>
      <c r="AG854" t="s">
        <v>52</v>
      </c>
      <c r="AH854" t="s">
        <v>53</v>
      </c>
      <c r="AI854" t="s">
        <v>80</v>
      </c>
      <c r="AJ854">
        <v>5.6</v>
      </c>
      <c r="AK854" t="s">
        <v>47</v>
      </c>
      <c r="AL854" t="s">
        <v>76</v>
      </c>
      <c r="AM854" t="s">
        <v>77</v>
      </c>
      <c r="AN854">
        <v>14</v>
      </c>
      <c r="AO854" t="s">
        <v>47</v>
      </c>
    </row>
    <row r="855" spans="1:41">
      <c r="A855" t="s">
        <v>1007</v>
      </c>
      <c r="B855">
        <v>2023</v>
      </c>
      <c r="C855" s="1">
        <v>45130</v>
      </c>
      <c r="D855" t="s">
        <v>42</v>
      </c>
      <c r="E855" t="s">
        <v>160</v>
      </c>
      <c r="F855">
        <v>69</v>
      </c>
      <c r="G855" t="s">
        <v>60</v>
      </c>
      <c r="H855" t="s">
        <v>45</v>
      </c>
      <c r="I855">
        <v>30</v>
      </c>
      <c r="J855">
        <v>36</v>
      </c>
      <c r="K855" t="s">
        <v>46</v>
      </c>
      <c r="L855" t="s">
        <v>47</v>
      </c>
      <c r="M855" t="s">
        <v>47</v>
      </c>
      <c r="N855" t="s">
        <v>62</v>
      </c>
      <c r="O855" t="s">
        <v>48</v>
      </c>
      <c r="P855">
        <v>23.8</v>
      </c>
      <c r="Q855" t="s">
        <v>62</v>
      </c>
      <c r="R855" t="s">
        <v>47</v>
      </c>
      <c r="S855" t="s">
        <v>47</v>
      </c>
      <c r="T855" t="s">
        <v>47</v>
      </c>
      <c r="U855" t="s">
        <v>47</v>
      </c>
      <c r="V855" t="s">
        <v>151</v>
      </c>
      <c r="W855" t="s">
        <v>46</v>
      </c>
      <c r="X855" t="s">
        <v>46</v>
      </c>
      <c r="Y855" t="s">
        <v>46</v>
      </c>
      <c r="Z855" t="s">
        <v>47</v>
      </c>
      <c r="AA855" t="s">
        <v>46</v>
      </c>
      <c r="AB855" t="s">
        <v>46</v>
      </c>
      <c r="AC855" t="s">
        <v>47</v>
      </c>
      <c r="AD855" t="s">
        <v>47</v>
      </c>
      <c r="AE855" t="s">
        <v>47</v>
      </c>
      <c r="AF855" t="s">
        <v>46</v>
      </c>
      <c r="AG855" t="s">
        <v>52</v>
      </c>
      <c r="AH855" t="s">
        <v>53</v>
      </c>
      <c r="AI855" t="s">
        <v>65</v>
      </c>
      <c r="AJ855">
        <v>2.9</v>
      </c>
      <c r="AK855" t="s">
        <v>47</v>
      </c>
      <c r="AL855" t="s">
        <v>156</v>
      </c>
      <c r="AM855" t="s">
        <v>73</v>
      </c>
      <c r="AN855">
        <v>60</v>
      </c>
      <c r="AO855" t="s">
        <v>46</v>
      </c>
    </row>
    <row r="856" spans="1:41">
      <c r="A856" t="s">
        <v>1008</v>
      </c>
      <c r="B856">
        <v>2022</v>
      </c>
      <c r="C856" s="1">
        <v>44759</v>
      </c>
      <c r="D856" t="s">
        <v>42</v>
      </c>
      <c r="E856" t="s">
        <v>154</v>
      </c>
      <c r="F856">
        <v>62</v>
      </c>
      <c r="G856" t="s">
        <v>44</v>
      </c>
      <c r="H856" t="s">
        <v>70</v>
      </c>
      <c r="I856">
        <v>0</v>
      </c>
      <c r="J856">
        <v>0</v>
      </c>
      <c r="K856" t="s">
        <v>46</v>
      </c>
      <c r="L856" t="s">
        <v>47</v>
      </c>
      <c r="M856" t="s">
        <v>47</v>
      </c>
      <c r="N856" t="s">
        <v>62</v>
      </c>
      <c r="O856" t="s">
        <v>49</v>
      </c>
      <c r="P856">
        <v>22.7</v>
      </c>
      <c r="Q856" t="s">
        <v>50</v>
      </c>
      <c r="R856" t="s">
        <v>47</v>
      </c>
      <c r="S856" t="s">
        <v>47</v>
      </c>
      <c r="T856" t="s">
        <v>47</v>
      </c>
      <c r="U856" t="s">
        <v>47</v>
      </c>
      <c r="V856" t="s">
        <v>51</v>
      </c>
      <c r="W856" t="s">
        <v>46</v>
      </c>
      <c r="X856" t="s">
        <v>46</v>
      </c>
      <c r="Y856" t="s">
        <v>47</v>
      </c>
      <c r="Z856" t="s">
        <v>47</v>
      </c>
      <c r="AA856" t="s">
        <v>46</v>
      </c>
      <c r="AB856" t="s">
        <v>47</v>
      </c>
      <c r="AC856" t="s">
        <v>46</v>
      </c>
      <c r="AD856" t="s">
        <v>46</v>
      </c>
      <c r="AE856" t="s">
        <v>47</v>
      </c>
      <c r="AF856" t="s">
        <v>47</v>
      </c>
      <c r="AG856" t="s">
        <v>52</v>
      </c>
      <c r="AH856" t="s">
        <v>53</v>
      </c>
      <c r="AI856" t="s">
        <v>65</v>
      </c>
      <c r="AJ856">
        <v>2.5</v>
      </c>
      <c r="AK856" t="s">
        <v>47</v>
      </c>
      <c r="AL856" t="s">
        <v>72</v>
      </c>
      <c r="AM856" t="s">
        <v>67</v>
      </c>
      <c r="AN856">
        <v>12</v>
      </c>
      <c r="AO856" t="s">
        <v>46</v>
      </c>
    </row>
    <row r="857" spans="1:41">
      <c r="A857" t="s">
        <v>1009</v>
      </c>
      <c r="B857">
        <v>2016</v>
      </c>
      <c r="C857" s="1">
        <v>42610</v>
      </c>
      <c r="D857" t="s">
        <v>42</v>
      </c>
      <c r="E857" t="s">
        <v>43</v>
      </c>
      <c r="F857">
        <v>63</v>
      </c>
      <c r="G857" t="s">
        <v>44</v>
      </c>
      <c r="H857" t="s">
        <v>70</v>
      </c>
      <c r="I857">
        <v>0</v>
      </c>
      <c r="J857">
        <v>0</v>
      </c>
      <c r="K857" t="s">
        <v>46</v>
      </c>
      <c r="L857" t="s">
        <v>46</v>
      </c>
      <c r="M857" t="s">
        <v>47</v>
      </c>
      <c r="N857" t="s">
        <v>62</v>
      </c>
      <c r="O857" t="s">
        <v>48</v>
      </c>
      <c r="P857">
        <v>24.7</v>
      </c>
      <c r="Q857" t="s">
        <v>50</v>
      </c>
      <c r="R857" t="s">
        <v>47</v>
      </c>
      <c r="S857" t="s">
        <v>47</v>
      </c>
      <c r="T857" t="s">
        <v>47</v>
      </c>
      <c r="U857" t="s">
        <v>47</v>
      </c>
      <c r="V857" t="s">
        <v>51</v>
      </c>
      <c r="W857" t="s">
        <v>46</v>
      </c>
      <c r="X857" t="s">
        <v>46</v>
      </c>
      <c r="Y857" t="s">
        <v>46</v>
      </c>
      <c r="Z857" t="s">
        <v>46</v>
      </c>
      <c r="AA857" t="s">
        <v>46</v>
      </c>
      <c r="AB857" t="s">
        <v>47</v>
      </c>
      <c r="AC857" t="s">
        <v>47</v>
      </c>
      <c r="AD857" t="s">
        <v>47</v>
      </c>
      <c r="AE857" t="s">
        <v>47</v>
      </c>
      <c r="AF857" t="s">
        <v>46</v>
      </c>
      <c r="AG857" t="s">
        <v>121</v>
      </c>
      <c r="AH857" t="s">
        <v>122</v>
      </c>
      <c r="AI857" t="s">
        <v>65</v>
      </c>
      <c r="AJ857">
        <v>2.6</v>
      </c>
      <c r="AK857" t="s">
        <v>47</v>
      </c>
      <c r="AL857" t="s">
        <v>156</v>
      </c>
      <c r="AM857" t="s">
        <v>118</v>
      </c>
      <c r="AN857">
        <v>42</v>
      </c>
      <c r="AO857" t="s">
        <v>46</v>
      </c>
    </row>
    <row r="858" spans="1:41">
      <c r="A858" t="s">
        <v>1010</v>
      </c>
      <c r="B858">
        <v>2022</v>
      </c>
      <c r="C858" s="1">
        <v>44900</v>
      </c>
      <c r="D858" t="s">
        <v>84</v>
      </c>
      <c r="E858" t="s">
        <v>89</v>
      </c>
      <c r="F858">
        <v>51</v>
      </c>
      <c r="G858" t="s">
        <v>44</v>
      </c>
      <c r="H858" t="s">
        <v>70</v>
      </c>
      <c r="I858">
        <v>0</v>
      </c>
      <c r="J858">
        <v>0</v>
      </c>
      <c r="K858" t="s">
        <v>47</v>
      </c>
      <c r="L858" t="s">
        <v>47</v>
      </c>
      <c r="M858" t="s">
        <v>46</v>
      </c>
      <c r="N858" t="s">
        <v>50</v>
      </c>
      <c r="O858" t="s">
        <v>48</v>
      </c>
      <c r="P858">
        <v>28.2</v>
      </c>
      <c r="Q858" t="s">
        <v>50</v>
      </c>
      <c r="R858" t="s">
        <v>47</v>
      </c>
      <c r="S858" t="s">
        <v>47</v>
      </c>
      <c r="T858" t="s">
        <v>47</v>
      </c>
      <c r="U858" t="s">
        <v>47</v>
      </c>
      <c r="V858" t="s">
        <v>64</v>
      </c>
      <c r="W858" t="s">
        <v>47</v>
      </c>
      <c r="X858" t="s">
        <v>47</v>
      </c>
      <c r="Y858" t="s">
        <v>47</v>
      </c>
      <c r="Z858" t="s">
        <v>47</v>
      </c>
      <c r="AA858" t="s">
        <v>46</v>
      </c>
      <c r="AB858" t="s">
        <v>46</v>
      </c>
      <c r="AC858" t="s">
        <v>47</v>
      </c>
      <c r="AD858" t="s">
        <v>47</v>
      </c>
      <c r="AE858" t="s">
        <v>46</v>
      </c>
      <c r="AF858" t="s">
        <v>47</v>
      </c>
      <c r="AG858" t="s">
        <v>52</v>
      </c>
      <c r="AH858" t="s">
        <v>53</v>
      </c>
      <c r="AI858" t="s">
        <v>54</v>
      </c>
      <c r="AJ858">
        <v>10.6</v>
      </c>
      <c r="AK858" t="s">
        <v>46</v>
      </c>
      <c r="AL858" t="s">
        <v>66</v>
      </c>
      <c r="AM858" t="s">
        <v>77</v>
      </c>
      <c r="AN858">
        <v>6</v>
      </c>
      <c r="AO858" t="s">
        <v>47</v>
      </c>
    </row>
    <row r="859" spans="1:41">
      <c r="A859" t="s">
        <v>1011</v>
      </c>
      <c r="B859">
        <v>2023</v>
      </c>
      <c r="C859" s="1">
        <v>45034</v>
      </c>
      <c r="D859" t="s">
        <v>95</v>
      </c>
      <c r="E859" t="s">
        <v>107</v>
      </c>
      <c r="F859">
        <v>47</v>
      </c>
      <c r="G859" t="s">
        <v>44</v>
      </c>
      <c r="H859" t="s">
        <v>70</v>
      </c>
      <c r="I859">
        <v>0</v>
      </c>
      <c r="J859">
        <v>0</v>
      </c>
      <c r="K859" t="s">
        <v>47</v>
      </c>
      <c r="L859" t="s">
        <v>47</v>
      </c>
      <c r="M859" t="s">
        <v>46</v>
      </c>
      <c r="N859" t="s">
        <v>50</v>
      </c>
      <c r="O859" t="s">
        <v>49</v>
      </c>
      <c r="P859">
        <v>29.7</v>
      </c>
      <c r="Q859" t="s">
        <v>50</v>
      </c>
      <c r="R859" t="s">
        <v>47</v>
      </c>
      <c r="S859" t="s">
        <v>47</v>
      </c>
      <c r="T859" t="s">
        <v>47</v>
      </c>
      <c r="U859" t="s">
        <v>47</v>
      </c>
      <c r="V859" t="s">
        <v>51</v>
      </c>
      <c r="W859" t="s">
        <v>47</v>
      </c>
      <c r="X859" t="s">
        <v>47</v>
      </c>
      <c r="Y859" t="s">
        <v>47</v>
      </c>
      <c r="Z859" t="s">
        <v>47</v>
      </c>
      <c r="AA859" t="s">
        <v>47</v>
      </c>
      <c r="AB859" t="s">
        <v>47</v>
      </c>
      <c r="AC859" t="s">
        <v>47</v>
      </c>
      <c r="AD859" t="s">
        <v>46</v>
      </c>
      <c r="AE859" t="s">
        <v>47</v>
      </c>
      <c r="AF859" t="s">
        <v>47</v>
      </c>
      <c r="AG859" t="s">
        <v>52</v>
      </c>
      <c r="AH859" t="s">
        <v>53</v>
      </c>
      <c r="AI859" t="s">
        <v>65</v>
      </c>
      <c r="AJ859">
        <v>2.2000000000000002</v>
      </c>
      <c r="AK859" t="s">
        <v>47</v>
      </c>
      <c r="AL859" t="s">
        <v>156</v>
      </c>
      <c r="AM859" t="s">
        <v>73</v>
      </c>
      <c r="AN859">
        <v>54</v>
      </c>
      <c r="AO859" t="s">
        <v>46</v>
      </c>
    </row>
    <row r="860" spans="1:41">
      <c r="A860" t="s">
        <v>1012</v>
      </c>
      <c r="B860">
        <v>2022</v>
      </c>
      <c r="C860" s="1">
        <v>44881</v>
      </c>
      <c r="D860" t="s">
        <v>58</v>
      </c>
      <c r="E860" t="s">
        <v>220</v>
      </c>
      <c r="F860">
        <v>67</v>
      </c>
      <c r="G860" t="s">
        <v>44</v>
      </c>
      <c r="H860" t="s">
        <v>70</v>
      </c>
      <c r="I860">
        <v>0</v>
      </c>
      <c r="J860">
        <v>0</v>
      </c>
      <c r="K860" t="s">
        <v>46</v>
      </c>
      <c r="L860" t="s">
        <v>47</v>
      </c>
      <c r="M860" t="s">
        <v>47</v>
      </c>
      <c r="N860" t="s">
        <v>62</v>
      </c>
      <c r="O860" t="s">
        <v>63</v>
      </c>
      <c r="P860">
        <v>27.6</v>
      </c>
      <c r="Q860" t="s">
        <v>62</v>
      </c>
      <c r="R860" t="s">
        <v>47</v>
      </c>
      <c r="S860" t="s">
        <v>47</v>
      </c>
      <c r="T860" t="s">
        <v>47</v>
      </c>
      <c r="U860" t="s">
        <v>47</v>
      </c>
      <c r="V860" t="s">
        <v>117</v>
      </c>
      <c r="W860" t="s">
        <v>46</v>
      </c>
      <c r="X860" t="s">
        <v>47</v>
      </c>
      <c r="Y860" t="s">
        <v>47</v>
      </c>
      <c r="Z860" t="s">
        <v>46</v>
      </c>
      <c r="AA860" t="s">
        <v>46</v>
      </c>
      <c r="AB860" t="s">
        <v>47</v>
      </c>
      <c r="AC860" t="s">
        <v>47</v>
      </c>
      <c r="AD860" t="s">
        <v>47</v>
      </c>
      <c r="AE860" t="s">
        <v>47</v>
      </c>
      <c r="AF860" t="s">
        <v>47</v>
      </c>
      <c r="AG860" t="s">
        <v>52</v>
      </c>
      <c r="AH860" t="s">
        <v>53</v>
      </c>
      <c r="AI860" t="s">
        <v>87</v>
      </c>
      <c r="AJ860">
        <v>3.6</v>
      </c>
      <c r="AK860" t="s">
        <v>47</v>
      </c>
      <c r="AL860" t="s">
        <v>81</v>
      </c>
      <c r="AM860" t="s">
        <v>67</v>
      </c>
      <c r="AN860">
        <v>49</v>
      </c>
      <c r="AO860" t="s">
        <v>47</v>
      </c>
    </row>
    <row r="861" spans="1:41">
      <c r="A861" t="s">
        <v>1013</v>
      </c>
      <c r="B861">
        <v>2016</v>
      </c>
      <c r="C861" s="1">
        <v>42562</v>
      </c>
      <c r="D861" t="s">
        <v>110</v>
      </c>
      <c r="E861" t="s">
        <v>294</v>
      </c>
      <c r="F861">
        <v>62</v>
      </c>
      <c r="G861" t="s">
        <v>60</v>
      </c>
      <c r="H861" t="s">
        <v>70</v>
      </c>
      <c r="I861">
        <v>0</v>
      </c>
      <c r="J861">
        <v>0</v>
      </c>
      <c r="K861" t="s">
        <v>46</v>
      </c>
      <c r="L861" t="s">
        <v>47</v>
      </c>
      <c r="M861" t="s">
        <v>47</v>
      </c>
      <c r="N861" t="s">
        <v>62</v>
      </c>
      <c r="O861" t="s">
        <v>63</v>
      </c>
      <c r="P861">
        <v>20.100000000000001</v>
      </c>
      <c r="Q861" t="s">
        <v>48</v>
      </c>
      <c r="R861" t="s">
        <v>47</v>
      </c>
      <c r="S861" t="s">
        <v>47</v>
      </c>
      <c r="T861" t="s">
        <v>47</v>
      </c>
      <c r="U861" t="s">
        <v>47</v>
      </c>
      <c r="V861" t="s">
        <v>64</v>
      </c>
      <c r="W861" t="s">
        <v>46</v>
      </c>
      <c r="X861" t="s">
        <v>47</v>
      </c>
      <c r="Y861" t="s">
        <v>46</v>
      </c>
      <c r="Z861" t="s">
        <v>47</v>
      </c>
      <c r="AA861" t="s">
        <v>46</v>
      </c>
      <c r="AB861" t="s">
        <v>47</v>
      </c>
      <c r="AC861" t="s">
        <v>47</v>
      </c>
      <c r="AD861" t="s">
        <v>47</v>
      </c>
      <c r="AE861" t="s">
        <v>47</v>
      </c>
      <c r="AF861" t="s">
        <v>47</v>
      </c>
      <c r="AG861" t="s">
        <v>52</v>
      </c>
      <c r="AH861" t="s">
        <v>53</v>
      </c>
      <c r="AI861" t="s">
        <v>87</v>
      </c>
      <c r="AJ861">
        <v>4.7</v>
      </c>
      <c r="AK861" t="s">
        <v>47</v>
      </c>
      <c r="AL861" t="s">
        <v>81</v>
      </c>
      <c r="AM861" t="s">
        <v>103</v>
      </c>
      <c r="AN861">
        <v>28</v>
      </c>
      <c r="AO861" t="s">
        <v>46</v>
      </c>
    </row>
    <row r="862" spans="1:41">
      <c r="A862" t="s">
        <v>1014</v>
      </c>
      <c r="B862">
        <v>2021</v>
      </c>
      <c r="C862" s="1">
        <v>44426</v>
      </c>
      <c r="D862" t="s">
        <v>42</v>
      </c>
      <c r="E862" t="s">
        <v>136</v>
      </c>
      <c r="F862">
        <v>66</v>
      </c>
      <c r="G862" t="s">
        <v>60</v>
      </c>
      <c r="H862" t="s">
        <v>70</v>
      </c>
      <c r="I862">
        <v>0</v>
      </c>
      <c r="J862">
        <v>0</v>
      </c>
      <c r="K862" t="s">
        <v>47</v>
      </c>
      <c r="L862" t="s">
        <v>47</v>
      </c>
      <c r="M862" t="s">
        <v>47</v>
      </c>
      <c r="N862" t="s">
        <v>62</v>
      </c>
      <c r="O862" t="s">
        <v>63</v>
      </c>
      <c r="P862">
        <v>23.2</v>
      </c>
      <c r="Q862" t="s">
        <v>48</v>
      </c>
      <c r="R862" t="s">
        <v>47</v>
      </c>
      <c r="S862" t="s">
        <v>47</v>
      </c>
      <c r="T862" t="s">
        <v>47</v>
      </c>
      <c r="U862" t="s">
        <v>47</v>
      </c>
      <c r="V862" t="s">
        <v>193</v>
      </c>
      <c r="W862" t="s">
        <v>47</v>
      </c>
      <c r="X862" t="s">
        <v>47</v>
      </c>
      <c r="Y862" t="s">
        <v>47</v>
      </c>
      <c r="Z862" t="s">
        <v>47</v>
      </c>
      <c r="AA862" t="s">
        <v>46</v>
      </c>
      <c r="AB862" t="s">
        <v>47</v>
      </c>
      <c r="AC862" t="s">
        <v>47</v>
      </c>
      <c r="AD862" t="s">
        <v>47</v>
      </c>
      <c r="AE862" t="s">
        <v>47</v>
      </c>
      <c r="AF862" t="s">
        <v>47</v>
      </c>
      <c r="AG862" t="s">
        <v>52</v>
      </c>
      <c r="AH862" t="s">
        <v>71</v>
      </c>
      <c r="AI862" t="s">
        <v>65</v>
      </c>
      <c r="AJ862">
        <v>2.2999999999999998</v>
      </c>
      <c r="AK862" t="s">
        <v>47</v>
      </c>
      <c r="AL862" t="s">
        <v>156</v>
      </c>
      <c r="AM862" t="s">
        <v>103</v>
      </c>
      <c r="AN862">
        <v>40</v>
      </c>
      <c r="AO862" t="s">
        <v>46</v>
      </c>
    </row>
    <row r="863" spans="1:41">
      <c r="A863" t="s">
        <v>1015</v>
      </c>
      <c r="B863">
        <v>2022</v>
      </c>
      <c r="C863" s="1">
        <v>44816</v>
      </c>
      <c r="D863" t="s">
        <v>42</v>
      </c>
      <c r="E863" t="s">
        <v>247</v>
      </c>
      <c r="F863">
        <v>50</v>
      </c>
      <c r="G863" t="s">
        <v>44</v>
      </c>
      <c r="H863" t="s">
        <v>45</v>
      </c>
      <c r="I863">
        <v>14</v>
      </c>
      <c r="J863">
        <v>31</v>
      </c>
      <c r="K863" t="s">
        <v>47</v>
      </c>
      <c r="L863" t="s">
        <v>46</v>
      </c>
      <c r="M863" t="s">
        <v>47</v>
      </c>
      <c r="N863" t="s">
        <v>48</v>
      </c>
      <c r="O863" t="s">
        <v>49</v>
      </c>
      <c r="P863">
        <v>25.1</v>
      </c>
      <c r="Q863" t="s">
        <v>62</v>
      </c>
      <c r="R863" t="s">
        <v>47</v>
      </c>
      <c r="S863" t="s">
        <v>47</v>
      </c>
      <c r="T863" t="s">
        <v>47</v>
      </c>
      <c r="U863" t="s">
        <v>47</v>
      </c>
      <c r="V863" t="s">
        <v>64</v>
      </c>
      <c r="W863" t="s">
        <v>46</v>
      </c>
      <c r="X863" t="s">
        <v>47</v>
      </c>
      <c r="Y863" t="s">
        <v>47</v>
      </c>
      <c r="Z863" t="s">
        <v>47</v>
      </c>
      <c r="AA863" t="s">
        <v>46</v>
      </c>
      <c r="AB863" t="s">
        <v>47</v>
      </c>
      <c r="AC863" t="s">
        <v>46</v>
      </c>
      <c r="AD863" t="s">
        <v>46</v>
      </c>
      <c r="AE863" t="s">
        <v>47</v>
      </c>
      <c r="AF863" t="s">
        <v>47</v>
      </c>
      <c r="AG863" t="s">
        <v>121</v>
      </c>
      <c r="AH863" t="s">
        <v>122</v>
      </c>
      <c r="AI863" t="s">
        <v>54</v>
      </c>
      <c r="AJ863">
        <v>6.2</v>
      </c>
      <c r="AK863" t="s">
        <v>46</v>
      </c>
      <c r="AL863" t="s">
        <v>76</v>
      </c>
      <c r="AM863" t="s">
        <v>77</v>
      </c>
      <c r="AN863">
        <v>4</v>
      </c>
      <c r="AO863" t="s">
        <v>47</v>
      </c>
    </row>
    <row r="864" spans="1:41">
      <c r="A864" t="s">
        <v>1016</v>
      </c>
      <c r="B864">
        <v>2023</v>
      </c>
      <c r="C864" s="1">
        <v>45215</v>
      </c>
      <c r="D864" t="s">
        <v>110</v>
      </c>
      <c r="E864" t="s">
        <v>236</v>
      </c>
      <c r="F864">
        <v>38</v>
      </c>
      <c r="G864" t="s">
        <v>44</v>
      </c>
      <c r="H864" t="s">
        <v>70</v>
      </c>
      <c r="I864">
        <v>0</v>
      </c>
      <c r="J864">
        <v>0</v>
      </c>
      <c r="K864" t="s">
        <v>47</v>
      </c>
      <c r="L864" t="s">
        <v>47</v>
      </c>
      <c r="M864" t="s">
        <v>46</v>
      </c>
      <c r="N864" t="s">
        <v>62</v>
      </c>
      <c r="O864" t="s">
        <v>49</v>
      </c>
      <c r="P864">
        <v>25.1</v>
      </c>
      <c r="Q864" t="s">
        <v>62</v>
      </c>
      <c r="R864" t="s">
        <v>46</v>
      </c>
      <c r="S864" t="s">
        <v>47</v>
      </c>
      <c r="T864" t="s">
        <v>47</v>
      </c>
      <c r="U864" t="s">
        <v>47</v>
      </c>
      <c r="V864" t="s">
        <v>86</v>
      </c>
      <c r="W864" t="s">
        <v>46</v>
      </c>
      <c r="X864" t="s">
        <v>47</v>
      </c>
      <c r="Y864" t="s">
        <v>47</v>
      </c>
      <c r="Z864" t="s">
        <v>47</v>
      </c>
      <c r="AA864" t="s">
        <v>46</v>
      </c>
      <c r="AB864" t="s">
        <v>46</v>
      </c>
      <c r="AC864" t="s">
        <v>47</v>
      </c>
      <c r="AD864" t="s">
        <v>46</v>
      </c>
      <c r="AE864" t="s">
        <v>46</v>
      </c>
      <c r="AF864" t="s">
        <v>47</v>
      </c>
      <c r="AG864" t="s">
        <v>52</v>
      </c>
      <c r="AH864" t="s">
        <v>53</v>
      </c>
      <c r="AI864" t="s">
        <v>65</v>
      </c>
      <c r="AJ864">
        <v>2.6</v>
      </c>
      <c r="AK864" t="s">
        <v>47</v>
      </c>
      <c r="AL864" t="s">
        <v>156</v>
      </c>
      <c r="AM864" t="s">
        <v>73</v>
      </c>
      <c r="AN864">
        <v>52</v>
      </c>
      <c r="AO864" t="s">
        <v>46</v>
      </c>
    </row>
    <row r="865" spans="1:41">
      <c r="A865" t="s">
        <v>1017</v>
      </c>
      <c r="B865">
        <v>2021</v>
      </c>
      <c r="C865" s="1">
        <v>44295</v>
      </c>
      <c r="D865" t="s">
        <v>110</v>
      </c>
      <c r="E865" t="s">
        <v>116</v>
      </c>
      <c r="F865">
        <v>76</v>
      </c>
      <c r="G865" t="s">
        <v>60</v>
      </c>
      <c r="H865" t="s">
        <v>70</v>
      </c>
      <c r="I865">
        <v>0</v>
      </c>
      <c r="J865">
        <v>0</v>
      </c>
      <c r="K865" t="s">
        <v>47</v>
      </c>
      <c r="L865" t="s">
        <v>47</v>
      </c>
      <c r="M865" t="s">
        <v>47</v>
      </c>
      <c r="N865" t="s">
        <v>62</v>
      </c>
      <c r="O865" t="s">
        <v>49</v>
      </c>
      <c r="P865">
        <v>23</v>
      </c>
      <c r="Q865" t="s">
        <v>50</v>
      </c>
      <c r="R865" t="s">
        <v>47</v>
      </c>
      <c r="S865" t="s">
        <v>47</v>
      </c>
      <c r="T865" t="s">
        <v>47</v>
      </c>
      <c r="U865" t="s">
        <v>47</v>
      </c>
      <c r="V865" t="s">
        <v>193</v>
      </c>
      <c r="W865" t="s">
        <v>47</v>
      </c>
      <c r="X865" t="s">
        <v>46</v>
      </c>
      <c r="Y865" t="s">
        <v>47</v>
      </c>
      <c r="Z865" t="s">
        <v>47</v>
      </c>
      <c r="AA865" t="s">
        <v>46</v>
      </c>
      <c r="AB865" t="s">
        <v>47</v>
      </c>
      <c r="AC865" t="s">
        <v>47</v>
      </c>
      <c r="AD865" t="s">
        <v>47</v>
      </c>
      <c r="AE865" t="s">
        <v>47</v>
      </c>
      <c r="AF865" t="s">
        <v>47</v>
      </c>
      <c r="AG865" t="s">
        <v>52</v>
      </c>
      <c r="AH865" t="s">
        <v>90</v>
      </c>
      <c r="AI865" t="s">
        <v>54</v>
      </c>
      <c r="AJ865">
        <v>5.9</v>
      </c>
      <c r="AK865" t="s">
        <v>46</v>
      </c>
      <c r="AL865" t="s">
        <v>66</v>
      </c>
      <c r="AM865" t="s">
        <v>77</v>
      </c>
      <c r="AN865">
        <v>5</v>
      </c>
      <c r="AO865" t="s">
        <v>47</v>
      </c>
    </row>
    <row r="866" spans="1:41">
      <c r="A866" t="s">
        <v>1018</v>
      </c>
      <c r="B866">
        <v>2018</v>
      </c>
      <c r="C866" s="1">
        <v>43228</v>
      </c>
      <c r="D866" t="s">
        <v>42</v>
      </c>
      <c r="E866" t="s">
        <v>247</v>
      </c>
      <c r="F866">
        <v>67</v>
      </c>
      <c r="G866" t="s">
        <v>60</v>
      </c>
      <c r="H866" t="s">
        <v>61</v>
      </c>
      <c r="I866">
        <v>11</v>
      </c>
      <c r="J866">
        <v>11</v>
      </c>
      <c r="K866" t="s">
        <v>47</v>
      </c>
      <c r="L866" t="s">
        <v>47</v>
      </c>
      <c r="M866" t="s">
        <v>47</v>
      </c>
      <c r="N866" t="s">
        <v>62</v>
      </c>
      <c r="O866" t="s">
        <v>48</v>
      </c>
      <c r="P866">
        <v>25.8</v>
      </c>
      <c r="Q866" t="s">
        <v>62</v>
      </c>
      <c r="R866" t="s">
        <v>46</v>
      </c>
      <c r="S866" t="s">
        <v>47</v>
      </c>
      <c r="T866" t="s">
        <v>47</v>
      </c>
      <c r="U866" t="s">
        <v>47</v>
      </c>
      <c r="V866" t="s">
        <v>51</v>
      </c>
      <c r="W866" t="s">
        <v>46</v>
      </c>
      <c r="X866" t="s">
        <v>47</v>
      </c>
      <c r="Y866" t="s">
        <v>47</v>
      </c>
      <c r="Z866" t="s">
        <v>47</v>
      </c>
      <c r="AA866" t="s">
        <v>46</v>
      </c>
      <c r="AB866" t="s">
        <v>46</v>
      </c>
      <c r="AC866" t="s">
        <v>46</v>
      </c>
      <c r="AD866" t="s">
        <v>47</v>
      </c>
      <c r="AE866" t="s">
        <v>47</v>
      </c>
      <c r="AF866" t="s">
        <v>47</v>
      </c>
      <c r="AG866" t="s">
        <v>52</v>
      </c>
      <c r="AH866" t="s">
        <v>53</v>
      </c>
      <c r="AI866" t="s">
        <v>65</v>
      </c>
      <c r="AJ866">
        <v>1.4</v>
      </c>
      <c r="AK866" t="s">
        <v>47</v>
      </c>
      <c r="AL866" t="s">
        <v>66</v>
      </c>
      <c r="AM866" t="s">
        <v>73</v>
      </c>
      <c r="AN866">
        <v>77</v>
      </c>
      <c r="AO866" t="s">
        <v>47</v>
      </c>
    </row>
    <row r="867" spans="1:41">
      <c r="A867" t="s">
        <v>1019</v>
      </c>
      <c r="B867">
        <v>2017</v>
      </c>
      <c r="C867" s="1">
        <v>42878</v>
      </c>
      <c r="D867" t="s">
        <v>95</v>
      </c>
      <c r="E867" t="s">
        <v>132</v>
      </c>
      <c r="F867">
        <v>64</v>
      </c>
      <c r="G867" t="s">
        <v>60</v>
      </c>
      <c r="H867" t="s">
        <v>70</v>
      </c>
      <c r="I867">
        <v>0</v>
      </c>
      <c r="J867">
        <v>0</v>
      </c>
      <c r="K867" t="s">
        <v>47</v>
      </c>
      <c r="L867" t="s">
        <v>46</v>
      </c>
      <c r="M867" t="s">
        <v>47</v>
      </c>
      <c r="N867" t="s">
        <v>62</v>
      </c>
      <c r="O867" t="s">
        <v>48</v>
      </c>
      <c r="P867">
        <v>25.9</v>
      </c>
      <c r="Q867" t="s">
        <v>50</v>
      </c>
      <c r="R867" t="s">
        <v>47</v>
      </c>
      <c r="S867" t="s">
        <v>47</v>
      </c>
      <c r="T867" t="s">
        <v>47</v>
      </c>
      <c r="U867" t="s">
        <v>47</v>
      </c>
      <c r="V867" t="s">
        <v>92</v>
      </c>
      <c r="W867" t="s">
        <v>47</v>
      </c>
      <c r="X867" t="s">
        <v>47</v>
      </c>
      <c r="Y867" t="s">
        <v>47</v>
      </c>
      <c r="Z867" t="s">
        <v>47</v>
      </c>
      <c r="AA867" t="s">
        <v>46</v>
      </c>
      <c r="AB867" t="s">
        <v>46</v>
      </c>
      <c r="AC867" t="s">
        <v>47</v>
      </c>
      <c r="AD867" t="s">
        <v>47</v>
      </c>
      <c r="AE867" t="s">
        <v>47</v>
      </c>
      <c r="AF867" t="s">
        <v>47</v>
      </c>
      <c r="AG867" t="s">
        <v>52</v>
      </c>
      <c r="AH867" t="s">
        <v>90</v>
      </c>
      <c r="AI867" t="s">
        <v>65</v>
      </c>
      <c r="AJ867">
        <v>1.6</v>
      </c>
      <c r="AK867" t="s">
        <v>47</v>
      </c>
      <c r="AL867" t="s">
        <v>66</v>
      </c>
      <c r="AM867" t="s">
        <v>73</v>
      </c>
      <c r="AN867">
        <v>51</v>
      </c>
      <c r="AO867" t="s">
        <v>46</v>
      </c>
    </row>
    <row r="868" spans="1:41">
      <c r="A868" t="s">
        <v>1020</v>
      </c>
      <c r="B868">
        <v>2019</v>
      </c>
      <c r="C868" s="1">
        <v>43822</v>
      </c>
      <c r="D868" t="s">
        <v>95</v>
      </c>
      <c r="E868" t="s">
        <v>96</v>
      </c>
      <c r="F868">
        <v>63</v>
      </c>
      <c r="G868" t="s">
        <v>60</v>
      </c>
      <c r="H868" t="s">
        <v>61</v>
      </c>
      <c r="I868">
        <v>12</v>
      </c>
      <c r="J868">
        <v>22</v>
      </c>
      <c r="K868" t="s">
        <v>47</v>
      </c>
      <c r="L868" t="s">
        <v>47</v>
      </c>
      <c r="M868" t="s">
        <v>46</v>
      </c>
      <c r="N868" t="s">
        <v>48</v>
      </c>
      <c r="O868" t="s">
        <v>48</v>
      </c>
      <c r="P868">
        <v>31.9</v>
      </c>
      <c r="Q868" t="s">
        <v>48</v>
      </c>
      <c r="R868" t="s">
        <v>47</v>
      </c>
      <c r="S868" t="s">
        <v>47</v>
      </c>
      <c r="T868" t="s">
        <v>47</v>
      </c>
      <c r="U868" t="s">
        <v>47</v>
      </c>
      <c r="V868" t="s">
        <v>64</v>
      </c>
      <c r="W868" t="s">
        <v>46</v>
      </c>
      <c r="X868" t="s">
        <v>47</v>
      </c>
      <c r="Y868" t="s">
        <v>47</v>
      </c>
      <c r="Z868" t="s">
        <v>47</v>
      </c>
      <c r="AA868" t="s">
        <v>46</v>
      </c>
      <c r="AB868" t="s">
        <v>47</v>
      </c>
      <c r="AC868" t="s">
        <v>47</v>
      </c>
      <c r="AD868" t="s">
        <v>47</v>
      </c>
      <c r="AE868" t="s">
        <v>47</v>
      </c>
      <c r="AF868" t="s">
        <v>46</v>
      </c>
      <c r="AG868" t="s">
        <v>52</v>
      </c>
      <c r="AH868" t="s">
        <v>53</v>
      </c>
      <c r="AI868" t="s">
        <v>87</v>
      </c>
      <c r="AJ868">
        <v>5.6</v>
      </c>
      <c r="AK868" t="s">
        <v>47</v>
      </c>
      <c r="AL868" t="s">
        <v>100</v>
      </c>
      <c r="AM868" t="s">
        <v>77</v>
      </c>
      <c r="AN868">
        <v>52</v>
      </c>
      <c r="AO868" t="s">
        <v>47</v>
      </c>
    </row>
    <row r="869" spans="1:41">
      <c r="A869" t="s">
        <v>1021</v>
      </c>
      <c r="B869">
        <v>2022</v>
      </c>
      <c r="C869" s="1">
        <v>44728</v>
      </c>
      <c r="D869" t="s">
        <v>58</v>
      </c>
      <c r="E869" t="s">
        <v>138</v>
      </c>
      <c r="F869">
        <v>49</v>
      </c>
      <c r="G869" t="s">
        <v>60</v>
      </c>
      <c r="H869" t="s">
        <v>61</v>
      </c>
      <c r="I869">
        <v>18</v>
      </c>
      <c r="J869">
        <v>10</v>
      </c>
      <c r="K869" t="s">
        <v>47</v>
      </c>
      <c r="L869" t="s">
        <v>47</v>
      </c>
      <c r="M869" t="s">
        <v>47</v>
      </c>
      <c r="N869" t="s">
        <v>48</v>
      </c>
      <c r="O869" t="s">
        <v>63</v>
      </c>
      <c r="P869">
        <v>27.6</v>
      </c>
      <c r="Q869" t="s">
        <v>50</v>
      </c>
      <c r="R869" t="s">
        <v>46</v>
      </c>
      <c r="S869" t="s">
        <v>47</v>
      </c>
      <c r="T869" t="s">
        <v>47</v>
      </c>
      <c r="U869" t="s">
        <v>46</v>
      </c>
      <c r="V869" t="s">
        <v>64</v>
      </c>
      <c r="W869" t="s">
        <v>46</v>
      </c>
      <c r="X869" t="s">
        <v>47</v>
      </c>
      <c r="Y869" t="s">
        <v>47</v>
      </c>
      <c r="Z869" t="s">
        <v>47</v>
      </c>
      <c r="AA869" t="s">
        <v>47</v>
      </c>
      <c r="AB869" t="s">
        <v>47</v>
      </c>
      <c r="AC869" t="s">
        <v>47</v>
      </c>
      <c r="AD869" t="s">
        <v>47</v>
      </c>
      <c r="AE869" t="s">
        <v>46</v>
      </c>
      <c r="AF869" t="s">
        <v>47</v>
      </c>
      <c r="AG869" t="s">
        <v>52</v>
      </c>
      <c r="AH869" t="s">
        <v>53</v>
      </c>
      <c r="AI869" t="s">
        <v>80</v>
      </c>
      <c r="AJ869">
        <v>5</v>
      </c>
      <c r="AK869" t="s">
        <v>47</v>
      </c>
      <c r="AL869" t="s">
        <v>100</v>
      </c>
      <c r="AM869" t="s">
        <v>118</v>
      </c>
      <c r="AN869">
        <v>9</v>
      </c>
      <c r="AO869" t="s">
        <v>47</v>
      </c>
    </row>
    <row r="870" spans="1:41">
      <c r="A870" t="s">
        <v>1022</v>
      </c>
      <c r="B870">
        <v>2024</v>
      </c>
      <c r="C870" s="1">
        <v>45561</v>
      </c>
      <c r="D870" t="s">
        <v>58</v>
      </c>
      <c r="E870" t="s">
        <v>134</v>
      </c>
      <c r="F870">
        <v>54</v>
      </c>
      <c r="G870" t="s">
        <v>60</v>
      </c>
      <c r="H870" t="s">
        <v>70</v>
      </c>
      <c r="I870">
        <v>0</v>
      </c>
      <c r="J870">
        <v>0</v>
      </c>
      <c r="K870" t="s">
        <v>46</v>
      </c>
      <c r="L870" t="s">
        <v>46</v>
      </c>
      <c r="M870" t="s">
        <v>47</v>
      </c>
      <c r="N870" t="s">
        <v>50</v>
      </c>
      <c r="O870" t="s">
        <v>48</v>
      </c>
      <c r="P870">
        <v>23</v>
      </c>
      <c r="Q870" t="s">
        <v>48</v>
      </c>
      <c r="R870" t="s">
        <v>47</v>
      </c>
      <c r="S870" t="s">
        <v>47</v>
      </c>
      <c r="T870" t="s">
        <v>47</v>
      </c>
      <c r="U870" t="s">
        <v>47</v>
      </c>
      <c r="V870" t="s">
        <v>171</v>
      </c>
      <c r="W870" t="s">
        <v>47</v>
      </c>
      <c r="X870" t="s">
        <v>47</v>
      </c>
      <c r="Y870" t="s">
        <v>46</v>
      </c>
      <c r="Z870" t="s">
        <v>46</v>
      </c>
      <c r="AA870" t="s">
        <v>46</v>
      </c>
      <c r="AB870" t="s">
        <v>47</v>
      </c>
      <c r="AC870" t="s">
        <v>47</v>
      </c>
      <c r="AD870" t="s">
        <v>47</v>
      </c>
      <c r="AE870" t="s">
        <v>47</v>
      </c>
      <c r="AF870" t="s">
        <v>47</v>
      </c>
      <c r="AG870" t="s">
        <v>52</v>
      </c>
      <c r="AH870" t="s">
        <v>53</v>
      </c>
      <c r="AI870" t="s">
        <v>54</v>
      </c>
      <c r="AJ870">
        <v>6.1</v>
      </c>
      <c r="AK870" t="s">
        <v>46</v>
      </c>
      <c r="AL870" t="s">
        <v>76</v>
      </c>
      <c r="AM870" t="s">
        <v>82</v>
      </c>
      <c r="AN870">
        <v>1</v>
      </c>
      <c r="AO870" t="s">
        <v>47</v>
      </c>
    </row>
    <row r="871" spans="1:41">
      <c r="A871" t="s">
        <v>1023</v>
      </c>
      <c r="B871">
        <v>2018</v>
      </c>
      <c r="C871" s="1">
        <v>43224</v>
      </c>
      <c r="D871" t="s">
        <v>42</v>
      </c>
      <c r="E871" t="s">
        <v>154</v>
      </c>
      <c r="F871">
        <v>50</v>
      </c>
      <c r="G871" t="s">
        <v>60</v>
      </c>
      <c r="H871" t="s">
        <v>70</v>
      </c>
      <c r="I871">
        <v>0</v>
      </c>
      <c r="J871">
        <v>0</v>
      </c>
      <c r="K871" t="s">
        <v>47</v>
      </c>
      <c r="L871" t="s">
        <v>47</v>
      </c>
      <c r="M871" t="s">
        <v>47</v>
      </c>
      <c r="N871" t="s">
        <v>50</v>
      </c>
      <c r="O871" t="s">
        <v>63</v>
      </c>
      <c r="P871">
        <v>31.7</v>
      </c>
      <c r="Q871" t="s">
        <v>48</v>
      </c>
      <c r="R871" t="s">
        <v>47</v>
      </c>
      <c r="S871" t="s">
        <v>47</v>
      </c>
      <c r="T871" t="s">
        <v>47</v>
      </c>
      <c r="U871" t="s">
        <v>47</v>
      </c>
      <c r="V871" t="s">
        <v>86</v>
      </c>
      <c r="W871" t="s">
        <v>47</v>
      </c>
      <c r="X871" t="s">
        <v>47</v>
      </c>
      <c r="Y871" t="s">
        <v>46</v>
      </c>
      <c r="Z871" t="s">
        <v>47</v>
      </c>
      <c r="AA871" t="s">
        <v>47</v>
      </c>
      <c r="AB871" t="s">
        <v>47</v>
      </c>
      <c r="AC871" t="s">
        <v>47</v>
      </c>
      <c r="AD871" t="s">
        <v>47</v>
      </c>
      <c r="AE871" t="s">
        <v>47</v>
      </c>
      <c r="AF871" t="s">
        <v>46</v>
      </c>
      <c r="AG871" t="s">
        <v>52</v>
      </c>
      <c r="AH871" t="s">
        <v>90</v>
      </c>
      <c r="AI871" t="s">
        <v>80</v>
      </c>
      <c r="AJ871">
        <v>5.4</v>
      </c>
      <c r="AK871" t="s">
        <v>47</v>
      </c>
      <c r="AL871" t="s">
        <v>72</v>
      </c>
      <c r="AM871" t="s">
        <v>82</v>
      </c>
      <c r="AN871">
        <v>21</v>
      </c>
      <c r="AO871" t="s">
        <v>47</v>
      </c>
    </row>
    <row r="872" spans="1:41">
      <c r="A872" t="s">
        <v>1024</v>
      </c>
      <c r="B872">
        <v>2020</v>
      </c>
      <c r="C872" s="1">
        <v>44153</v>
      </c>
      <c r="D872" t="s">
        <v>84</v>
      </c>
      <c r="E872" t="s">
        <v>102</v>
      </c>
      <c r="F872">
        <v>60</v>
      </c>
      <c r="G872" t="s">
        <v>44</v>
      </c>
      <c r="H872" t="s">
        <v>70</v>
      </c>
      <c r="I872">
        <v>0</v>
      </c>
      <c r="J872">
        <v>0</v>
      </c>
      <c r="K872" t="s">
        <v>47</v>
      </c>
      <c r="L872" t="s">
        <v>47</v>
      </c>
      <c r="M872" t="s">
        <v>46</v>
      </c>
      <c r="N872" t="s">
        <v>50</v>
      </c>
      <c r="O872" t="s">
        <v>49</v>
      </c>
      <c r="P872">
        <v>35.799999999999997</v>
      </c>
      <c r="Q872" t="s">
        <v>62</v>
      </c>
      <c r="R872" t="s">
        <v>47</v>
      </c>
      <c r="S872" t="s">
        <v>47</v>
      </c>
      <c r="T872" t="s">
        <v>47</v>
      </c>
      <c r="U872" t="s">
        <v>47</v>
      </c>
      <c r="V872" t="s">
        <v>51</v>
      </c>
      <c r="W872" t="s">
        <v>46</v>
      </c>
      <c r="X872" t="s">
        <v>47</v>
      </c>
      <c r="Y872" t="s">
        <v>47</v>
      </c>
      <c r="Z872" t="s">
        <v>47</v>
      </c>
      <c r="AA872" t="s">
        <v>46</v>
      </c>
      <c r="AB872" t="s">
        <v>46</v>
      </c>
      <c r="AC872" t="s">
        <v>46</v>
      </c>
      <c r="AD872" t="s">
        <v>47</v>
      </c>
      <c r="AE872" t="s">
        <v>47</v>
      </c>
      <c r="AF872" t="s">
        <v>47</v>
      </c>
      <c r="AG872" t="s">
        <v>52</v>
      </c>
      <c r="AH872" t="s">
        <v>53</v>
      </c>
      <c r="AI872" t="s">
        <v>87</v>
      </c>
      <c r="AJ872">
        <v>5</v>
      </c>
      <c r="AK872" t="s">
        <v>47</v>
      </c>
      <c r="AL872" t="s">
        <v>66</v>
      </c>
      <c r="AM872" t="s">
        <v>118</v>
      </c>
      <c r="AN872">
        <v>27</v>
      </c>
      <c r="AO872" t="s">
        <v>46</v>
      </c>
    </row>
    <row r="873" spans="1:41">
      <c r="A873" t="s">
        <v>1025</v>
      </c>
      <c r="B873">
        <v>2025</v>
      </c>
      <c r="C873" s="1">
        <v>45865</v>
      </c>
      <c r="D873" t="s">
        <v>84</v>
      </c>
      <c r="E873" t="s">
        <v>189</v>
      </c>
      <c r="F873">
        <v>62</v>
      </c>
      <c r="G873" t="s">
        <v>60</v>
      </c>
      <c r="H873" t="s">
        <v>45</v>
      </c>
      <c r="I873">
        <v>13</v>
      </c>
      <c r="J873">
        <v>30</v>
      </c>
      <c r="K873" t="s">
        <v>47</v>
      </c>
      <c r="L873" t="s">
        <v>47</v>
      </c>
      <c r="M873" t="s">
        <v>47</v>
      </c>
      <c r="N873" t="s">
        <v>62</v>
      </c>
      <c r="O873" t="s">
        <v>48</v>
      </c>
      <c r="P873">
        <v>31.8</v>
      </c>
      <c r="Q873" t="s">
        <v>50</v>
      </c>
      <c r="R873" t="s">
        <v>47</v>
      </c>
      <c r="S873" t="s">
        <v>47</v>
      </c>
      <c r="T873" t="s">
        <v>47</v>
      </c>
      <c r="U873" t="s">
        <v>47</v>
      </c>
      <c r="V873" t="s">
        <v>64</v>
      </c>
      <c r="W873" t="s">
        <v>46</v>
      </c>
      <c r="X873" t="s">
        <v>46</v>
      </c>
      <c r="Y873" t="s">
        <v>47</v>
      </c>
      <c r="Z873" t="s">
        <v>46</v>
      </c>
      <c r="AA873" t="s">
        <v>46</v>
      </c>
      <c r="AB873" t="s">
        <v>47</v>
      </c>
      <c r="AC873" t="s">
        <v>47</v>
      </c>
      <c r="AD873" t="s">
        <v>47</v>
      </c>
      <c r="AE873" t="s">
        <v>47</v>
      </c>
      <c r="AF873" t="s">
        <v>47</v>
      </c>
      <c r="AG873" t="s">
        <v>52</v>
      </c>
      <c r="AH873" t="s">
        <v>53</v>
      </c>
      <c r="AI873" t="s">
        <v>65</v>
      </c>
      <c r="AJ873">
        <v>1.9</v>
      </c>
      <c r="AK873" t="s">
        <v>47</v>
      </c>
      <c r="AL873" t="s">
        <v>72</v>
      </c>
      <c r="AM873" t="s">
        <v>73</v>
      </c>
      <c r="AN873">
        <v>67</v>
      </c>
      <c r="AO873" t="s">
        <v>47</v>
      </c>
    </row>
    <row r="874" spans="1:41">
      <c r="A874" t="s">
        <v>1026</v>
      </c>
      <c r="B874">
        <v>2025</v>
      </c>
      <c r="C874" s="1">
        <v>45726</v>
      </c>
      <c r="D874" t="s">
        <v>95</v>
      </c>
      <c r="E874" t="s">
        <v>114</v>
      </c>
      <c r="F874">
        <v>73</v>
      </c>
      <c r="G874" t="s">
        <v>60</v>
      </c>
      <c r="H874" t="s">
        <v>61</v>
      </c>
      <c r="I874">
        <v>16</v>
      </c>
      <c r="J874">
        <v>11</v>
      </c>
      <c r="K874" t="s">
        <v>47</v>
      </c>
      <c r="L874" t="s">
        <v>47</v>
      </c>
      <c r="M874" t="s">
        <v>47</v>
      </c>
      <c r="N874" t="s">
        <v>62</v>
      </c>
      <c r="O874" t="s">
        <v>49</v>
      </c>
      <c r="P874">
        <v>26.6</v>
      </c>
      <c r="Q874" t="s">
        <v>62</v>
      </c>
      <c r="R874" t="s">
        <v>46</v>
      </c>
      <c r="S874" t="s">
        <v>47</v>
      </c>
      <c r="T874" t="s">
        <v>47</v>
      </c>
      <c r="U874" t="s">
        <v>47</v>
      </c>
      <c r="V874" t="s">
        <v>64</v>
      </c>
      <c r="W874" t="s">
        <v>47</v>
      </c>
      <c r="X874" t="s">
        <v>47</v>
      </c>
      <c r="Y874" t="s">
        <v>46</v>
      </c>
      <c r="Z874" t="s">
        <v>46</v>
      </c>
      <c r="AA874" t="s">
        <v>46</v>
      </c>
      <c r="AB874" t="s">
        <v>46</v>
      </c>
      <c r="AC874" t="s">
        <v>46</v>
      </c>
      <c r="AD874" t="s">
        <v>47</v>
      </c>
      <c r="AE874" t="s">
        <v>47</v>
      </c>
      <c r="AF874" t="s">
        <v>47</v>
      </c>
      <c r="AG874" t="s">
        <v>52</v>
      </c>
      <c r="AH874" t="s">
        <v>71</v>
      </c>
      <c r="AI874" t="s">
        <v>65</v>
      </c>
      <c r="AJ874">
        <v>1.1000000000000001</v>
      </c>
      <c r="AK874" t="s">
        <v>47</v>
      </c>
      <c r="AL874" t="s">
        <v>76</v>
      </c>
      <c r="AM874" t="s">
        <v>73</v>
      </c>
      <c r="AN874">
        <v>36</v>
      </c>
      <c r="AO874" t="s">
        <v>47</v>
      </c>
    </row>
    <row r="875" spans="1:41">
      <c r="A875" t="s">
        <v>1027</v>
      </c>
      <c r="B875">
        <v>2017</v>
      </c>
      <c r="C875" s="1">
        <v>42878</v>
      </c>
      <c r="D875" t="s">
        <v>95</v>
      </c>
      <c r="E875" t="s">
        <v>120</v>
      </c>
      <c r="F875">
        <v>51</v>
      </c>
      <c r="G875" t="s">
        <v>60</v>
      </c>
      <c r="H875" t="s">
        <v>70</v>
      </c>
      <c r="I875">
        <v>0</v>
      </c>
      <c r="J875">
        <v>0</v>
      </c>
      <c r="K875" t="s">
        <v>46</v>
      </c>
      <c r="L875" t="s">
        <v>46</v>
      </c>
      <c r="M875" t="s">
        <v>47</v>
      </c>
      <c r="N875" t="s">
        <v>50</v>
      </c>
      <c r="O875" t="s">
        <v>48</v>
      </c>
      <c r="P875">
        <v>21.1</v>
      </c>
      <c r="Q875" t="s">
        <v>50</v>
      </c>
      <c r="R875" t="s">
        <v>47</v>
      </c>
      <c r="S875" t="s">
        <v>47</v>
      </c>
      <c r="T875" t="s">
        <v>47</v>
      </c>
      <c r="U875" t="s">
        <v>47</v>
      </c>
      <c r="V875" t="s">
        <v>64</v>
      </c>
      <c r="W875" t="s">
        <v>46</v>
      </c>
      <c r="X875" t="s">
        <v>46</v>
      </c>
      <c r="Y875" t="s">
        <v>46</v>
      </c>
      <c r="Z875" t="s">
        <v>46</v>
      </c>
      <c r="AA875" t="s">
        <v>47</v>
      </c>
      <c r="AB875" t="s">
        <v>47</v>
      </c>
      <c r="AC875" t="s">
        <v>46</v>
      </c>
      <c r="AD875" t="s">
        <v>47</v>
      </c>
      <c r="AE875" t="s">
        <v>47</v>
      </c>
      <c r="AF875" t="s">
        <v>47</v>
      </c>
      <c r="AG875" t="s">
        <v>52</v>
      </c>
      <c r="AH875" t="s">
        <v>53</v>
      </c>
      <c r="AI875" t="s">
        <v>87</v>
      </c>
      <c r="AJ875">
        <v>4.0999999999999996</v>
      </c>
      <c r="AK875" t="s">
        <v>47</v>
      </c>
      <c r="AL875" t="s">
        <v>156</v>
      </c>
      <c r="AM875" t="s">
        <v>67</v>
      </c>
      <c r="AN875">
        <v>43</v>
      </c>
      <c r="AO875" t="s">
        <v>47</v>
      </c>
    </row>
    <row r="876" spans="1:41">
      <c r="A876" t="s">
        <v>1028</v>
      </c>
      <c r="B876">
        <v>2023</v>
      </c>
      <c r="C876" s="1">
        <v>45092</v>
      </c>
      <c r="D876" t="s">
        <v>42</v>
      </c>
      <c r="E876" t="s">
        <v>247</v>
      </c>
      <c r="F876">
        <v>63</v>
      </c>
      <c r="G876" t="s">
        <v>60</v>
      </c>
      <c r="H876" t="s">
        <v>70</v>
      </c>
      <c r="I876">
        <v>0</v>
      </c>
      <c r="J876">
        <v>0</v>
      </c>
      <c r="K876" t="s">
        <v>47</v>
      </c>
      <c r="L876" t="s">
        <v>47</v>
      </c>
      <c r="M876" t="s">
        <v>47</v>
      </c>
      <c r="N876" t="s">
        <v>62</v>
      </c>
      <c r="O876" t="s">
        <v>48</v>
      </c>
      <c r="P876">
        <v>30.8</v>
      </c>
      <c r="Q876" t="s">
        <v>62</v>
      </c>
      <c r="R876" t="s">
        <v>46</v>
      </c>
      <c r="S876" t="s">
        <v>47</v>
      </c>
      <c r="T876" t="s">
        <v>47</v>
      </c>
      <c r="U876" t="s">
        <v>47</v>
      </c>
      <c r="V876" t="s">
        <v>51</v>
      </c>
      <c r="W876" t="s">
        <v>46</v>
      </c>
      <c r="X876" t="s">
        <v>47</v>
      </c>
      <c r="Y876" t="s">
        <v>47</v>
      </c>
      <c r="Z876" t="s">
        <v>47</v>
      </c>
      <c r="AA876" t="s">
        <v>46</v>
      </c>
      <c r="AB876" t="s">
        <v>47</v>
      </c>
      <c r="AC876" t="s">
        <v>47</v>
      </c>
      <c r="AD876" t="s">
        <v>47</v>
      </c>
      <c r="AE876" t="s">
        <v>47</v>
      </c>
      <c r="AF876" t="s">
        <v>46</v>
      </c>
      <c r="AG876" t="s">
        <v>52</v>
      </c>
      <c r="AH876" t="s">
        <v>71</v>
      </c>
      <c r="AI876" t="s">
        <v>80</v>
      </c>
      <c r="AJ876">
        <v>5.7</v>
      </c>
      <c r="AK876" t="s">
        <v>47</v>
      </c>
      <c r="AL876" t="s">
        <v>81</v>
      </c>
      <c r="AM876" t="s">
        <v>56</v>
      </c>
      <c r="AN876">
        <v>23</v>
      </c>
      <c r="AO876" t="s">
        <v>47</v>
      </c>
    </row>
    <row r="877" spans="1:41">
      <c r="A877" t="s">
        <v>1029</v>
      </c>
      <c r="B877">
        <v>2022</v>
      </c>
      <c r="C877" s="1">
        <v>44911</v>
      </c>
      <c r="D877" t="s">
        <v>95</v>
      </c>
      <c r="E877" t="s">
        <v>132</v>
      </c>
      <c r="F877">
        <v>63</v>
      </c>
      <c r="G877" t="s">
        <v>60</v>
      </c>
      <c r="H877" t="s">
        <v>70</v>
      </c>
      <c r="I877">
        <v>0</v>
      </c>
      <c r="J877">
        <v>0</v>
      </c>
      <c r="K877" t="s">
        <v>46</v>
      </c>
      <c r="L877" t="s">
        <v>47</v>
      </c>
      <c r="M877" t="s">
        <v>47</v>
      </c>
      <c r="N877" t="s">
        <v>48</v>
      </c>
      <c r="O877" t="s">
        <v>48</v>
      </c>
      <c r="P877">
        <v>19.8</v>
      </c>
      <c r="Q877" t="s">
        <v>50</v>
      </c>
      <c r="R877" t="s">
        <v>47</v>
      </c>
      <c r="S877" t="s">
        <v>47</v>
      </c>
      <c r="T877" t="s">
        <v>47</v>
      </c>
      <c r="U877" t="s">
        <v>47</v>
      </c>
      <c r="V877" t="s">
        <v>193</v>
      </c>
      <c r="W877" t="s">
        <v>47</v>
      </c>
      <c r="X877" t="s">
        <v>46</v>
      </c>
      <c r="Y877" t="s">
        <v>47</v>
      </c>
      <c r="Z877" t="s">
        <v>47</v>
      </c>
      <c r="AA877" t="s">
        <v>47</v>
      </c>
      <c r="AB877" t="s">
        <v>47</v>
      </c>
      <c r="AC877" t="s">
        <v>47</v>
      </c>
      <c r="AD877" t="s">
        <v>46</v>
      </c>
      <c r="AE877" t="s">
        <v>47</v>
      </c>
      <c r="AF877" t="s">
        <v>47</v>
      </c>
      <c r="AG877" t="s">
        <v>52</v>
      </c>
      <c r="AH877" t="s">
        <v>53</v>
      </c>
      <c r="AI877" t="s">
        <v>65</v>
      </c>
      <c r="AJ877">
        <v>1.9</v>
      </c>
      <c r="AK877" t="s">
        <v>47</v>
      </c>
      <c r="AL877" t="s">
        <v>76</v>
      </c>
      <c r="AM877" t="s">
        <v>73</v>
      </c>
      <c r="AN877">
        <v>69</v>
      </c>
      <c r="AO877" t="s">
        <v>46</v>
      </c>
    </row>
    <row r="878" spans="1:41">
      <c r="A878" t="s">
        <v>1030</v>
      </c>
      <c r="B878">
        <v>2019</v>
      </c>
      <c r="C878" s="1">
        <v>43582</v>
      </c>
      <c r="D878" t="s">
        <v>58</v>
      </c>
      <c r="E878" t="s">
        <v>220</v>
      </c>
      <c r="F878">
        <v>57</v>
      </c>
      <c r="G878" t="s">
        <v>44</v>
      </c>
      <c r="H878" t="s">
        <v>70</v>
      </c>
      <c r="I878">
        <v>0</v>
      </c>
      <c r="J878">
        <v>0</v>
      </c>
      <c r="K878" t="s">
        <v>47</v>
      </c>
      <c r="L878" t="s">
        <v>47</v>
      </c>
      <c r="M878" t="s">
        <v>47</v>
      </c>
      <c r="N878" t="s">
        <v>50</v>
      </c>
      <c r="O878" t="s">
        <v>49</v>
      </c>
      <c r="P878">
        <v>29.8</v>
      </c>
      <c r="Q878" t="s">
        <v>48</v>
      </c>
      <c r="R878" t="s">
        <v>47</v>
      </c>
      <c r="S878" t="s">
        <v>47</v>
      </c>
      <c r="T878" t="s">
        <v>47</v>
      </c>
      <c r="U878" t="s">
        <v>47</v>
      </c>
      <c r="V878" t="s">
        <v>117</v>
      </c>
      <c r="W878" t="s">
        <v>47</v>
      </c>
      <c r="X878" t="s">
        <v>47</v>
      </c>
      <c r="Y878" t="s">
        <v>47</v>
      </c>
      <c r="Z878" t="s">
        <v>47</v>
      </c>
      <c r="AA878" t="s">
        <v>47</v>
      </c>
      <c r="AB878" t="s">
        <v>46</v>
      </c>
      <c r="AC878" t="s">
        <v>47</v>
      </c>
      <c r="AD878" t="s">
        <v>47</v>
      </c>
      <c r="AE878" t="s">
        <v>47</v>
      </c>
      <c r="AF878" t="s">
        <v>47</v>
      </c>
      <c r="AG878" t="s">
        <v>52</v>
      </c>
      <c r="AH878" t="s">
        <v>53</v>
      </c>
      <c r="AI878" t="s">
        <v>87</v>
      </c>
      <c r="AJ878">
        <v>5.0999999999999996</v>
      </c>
      <c r="AK878" t="s">
        <v>47</v>
      </c>
      <c r="AL878" t="s">
        <v>100</v>
      </c>
      <c r="AM878" t="s">
        <v>67</v>
      </c>
      <c r="AN878">
        <v>50</v>
      </c>
      <c r="AO878" t="s">
        <v>47</v>
      </c>
    </row>
    <row r="879" spans="1:41">
      <c r="A879" t="s">
        <v>1031</v>
      </c>
      <c r="B879">
        <v>2023</v>
      </c>
      <c r="C879" s="1">
        <v>45064</v>
      </c>
      <c r="D879" t="s">
        <v>110</v>
      </c>
      <c r="E879" t="s">
        <v>410</v>
      </c>
      <c r="F879">
        <v>65</v>
      </c>
      <c r="G879" t="s">
        <v>44</v>
      </c>
      <c r="H879" t="s">
        <v>61</v>
      </c>
      <c r="I879">
        <v>12</v>
      </c>
      <c r="J879">
        <v>16</v>
      </c>
      <c r="K879" t="s">
        <v>47</v>
      </c>
      <c r="L879" t="s">
        <v>47</v>
      </c>
      <c r="M879" t="s">
        <v>46</v>
      </c>
      <c r="N879" t="s">
        <v>48</v>
      </c>
      <c r="O879" t="s">
        <v>49</v>
      </c>
      <c r="P879">
        <v>18.5</v>
      </c>
      <c r="Q879" t="s">
        <v>48</v>
      </c>
      <c r="R879" t="s">
        <v>47</v>
      </c>
      <c r="S879" t="s">
        <v>47</v>
      </c>
      <c r="T879" t="s">
        <v>47</v>
      </c>
      <c r="U879" t="s">
        <v>47</v>
      </c>
      <c r="V879" t="s">
        <v>51</v>
      </c>
      <c r="W879" t="s">
        <v>46</v>
      </c>
      <c r="X879" t="s">
        <v>47</v>
      </c>
      <c r="Y879" t="s">
        <v>47</v>
      </c>
      <c r="Z879" t="s">
        <v>47</v>
      </c>
      <c r="AA879" t="s">
        <v>46</v>
      </c>
      <c r="AB879" t="s">
        <v>46</v>
      </c>
      <c r="AC879" t="s">
        <v>46</v>
      </c>
      <c r="AD879" t="s">
        <v>47</v>
      </c>
      <c r="AE879" t="s">
        <v>47</v>
      </c>
      <c r="AF879" t="s">
        <v>47</v>
      </c>
      <c r="AG879" t="s">
        <v>52</v>
      </c>
      <c r="AH879" t="s">
        <v>53</v>
      </c>
      <c r="AI879" t="s">
        <v>65</v>
      </c>
      <c r="AJ879">
        <v>2.1</v>
      </c>
      <c r="AK879" t="s">
        <v>47</v>
      </c>
      <c r="AL879" t="s">
        <v>72</v>
      </c>
      <c r="AM879" t="s">
        <v>103</v>
      </c>
      <c r="AN879">
        <v>65</v>
      </c>
      <c r="AO879" t="s">
        <v>46</v>
      </c>
    </row>
    <row r="880" spans="1:41">
      <c r="A880" t="s">
        <v>1032</v>
      </c>
      <c r="B880">
        <v>2015</v>
      </c>
      <c r="C880" s="1">
        <v>42067</v>
      </c>
      <c r="D880" t="s">
        <v>95</v>
      </c>
      <c r="E880" t="s">
        <v>255</v>
      </c>
      <c r="F880">
        <v>71</v>
      </c>
      <c r="G880" t="s">
        <v>44</v>
      </c>
      <c r="H880" t="s">
        <v>70</v>
      </c>
      <c r="I880">
        <v>0</v>
      </c>
      <c r="J880">
        <v>0</v>
      </c>
      <c r="K880" t="s">
        <v>47</v>
      </c>
      <c r="L880" t="s">
        <v>46</v>
      </c>
      <c r="M880" t="s">
        <v>46</v>
      </c>
      <c r="N880" t="s">
        <v>50</v>
      </c>
      <c r="O880" t="s">
        <v>49</v>
      </c>
      <c r="P880">
        <v>24.8</v>
      </c>
      <c r="Q880" t="s">
        <v>62</v>
      </c>
      <c r="R880" t="s">
        <v>47</v>
      </c>
      <c r="S880" t="s">
        <v>47</v>
      </c>
      <c r="T880" t="s">
        <v>47</v>
      </c>
      <c r="U880" t="s">
        <v>47</v>
      </c>
      <c r="V880" t="s">
        <v>86</v>
      </c>
      <c r="W880" t="s">
        <v>46</v>
      </c>
      <c r="X880" t="s">
        <v>47</v>
      </c>
      <c r="Y880" t="s">
        <v>47</v>
      </c>
      <c r="Z880" t="s">
        <v>47</v>
      </c>
      <c r="AA880" t="s">
        <v>46</v>
      </c>
      <c r="AB880" t="s">
        <v>46</v>
      </c>
      <c r="AC880" t="s">
        <v>47</v>
      </c>
      <c r="AD880" t="s">
        <v>46</v>
      </c>
      <c r="AE880" t="s">
        <v>47</v>
      </c>
      <c r="AF880" t="s">
        <v>47</v>
      </c>
      <c r="AG880" t="s">
        <v>52</v>
      </c>
      <c r="AH880" t="s">
        <v>53</v>
      </c>
      <c r="AI880" t="s">
        <v>54</v>
      </c>
      <c r="AJ880">
        <v>5.0999999999999996</v>
      </c>
      <c r="AK880" t="s">
        <v>46</v>
      </c>
      <c r="AL880" t="s">
        <v>100</v>
      </c>
      <c r="AM880" t="s">
        <v>77</v>
      </c>
      <c r="AN880">
        <v>9</v>
      </c>
      <c r="AO880" t="s">
        <v>47</v>
      </c>
    </row>
    <row r="881" spans="1:41">
      <c r="A881" t="s">
        <v>1033</v>
      </c>
      <c r="B881">
        <v>2024</v>
      </c>
      <c r="C881" s="1">
        <v>45645</v>
      </c>
      <c r="D881" t="s">
        <v>42</v>
      </c>
      <c r="E881" t="s">
        <v>160</v>
      </c>
      <c r="F881">
        <v>59</v>
      </c>
      <c r="G881" t="s">
        <v>44</v>
      </c>
      <c r="H881" t="s">
        <v>45</v>
      </c>
      <c r="I881">
        <v>15</v>
      </c>
      <c r="J881">
        <v>36</v>
      </c>
      <c r="K881" t="s">
        <v>47</v>
      </c>
      <c r="L881" t="s">
        <v>47</v>
      </c>
      <c r="M881" t="s">
        <v>47</v>
      </c>
      <c r="N881" t="s">
        <v>48</v>
      </c>
      <c r="O881" t="s">
        <v>48</v>
      </c>
      <c r="P881">
        <v>27.7</v>
      </c>
      <c r="Q881" t="s">
        <v>50</v>
      </c>
      <c r="R881" t="s">
        <v>47</v>
      </c>
      <c r="S881" t="s">
        <v>47</v>
      </c>
      <c r="T881" t="s">
        <v>47</v>
      </c>
      <c r="U881" t="s">
        <v>47</v>
      </c>
      <c r="V881" t="s">
        <v>51</v>
      </c>
      <c r="W881" t="s">
        <v>46</v>
      </c>
      <c r="X881" t="s">
        <v>47</v>
      </c>
      <c r="Y881" t="s">
        <v>47</v>
      </c>
      <c r="Z881" t="s">
        <v>46</v>
      </c>
      <c r="AA881" t="s">
        <v>47</v>
      </c>
      <c r="AB881" t="s">
        <v>46</v>
      </c>
      <c r="AC881" t="s">
        <v>47</v>
      </c>
      <c r="AD881" t="s">
        <v>46</v>
      </c>
      <c r="AE881" t="s">
        <v>47</v>
      </c>
      <c r="AF881" t="s">
        <v>47</v>
      </c>
      <c r="AG881" t="s">
        <v>52</v>
      </c>
      <c r="AH881" t="s">
        <v>53</v>
      </c>
      <c r="AI881" t="s">
        <v>87</v>
      </c>
      <c r="AJ881">
        <v>4.0999999999999996</v>
      </c>
      <c r="AK881" t="s">
        <v>47</v>
      </c>
      <c r="AL881" t="s">
        <v>76</v>
      </c>
      <c r="AM881" t="s">
        <v>67</v>
      </c>
      <c r="AN881">
        <v>47</v>
      </c>
      <c r="AO881" t="s">
        <v>46</v>
      </c>
    </row>
    <row r="882" spans="1:41">
      <c r="A882" t="s">
        <v>1034</v>
      </c>
      <c r="B882">
        <v>2022</v>
      </c>
      <c r="C882" s="1">
        <v>44653</v>
      </c>
      <c r="D882" t="s">
        <v>110</v>
      </c>
      <c r="E882" t="s">
        <v>116</v>
      </c>
      <c r="F882">
        <v>56</v>
      </c>
      <c r="G882" t="s">
        <v>44</v>
      </c>
      <c r="H882" t="s">
        <v>70</v>
      </c>
      <c r="I882">
        <v>0</v>
      </c>
      <c r="J882">
        <v>0</v>
      </c>
      <c r="K882" t="s">
        <v>47</v>
      </c>
      <c r="L882" t="s">
        <v>47</v>
      </c>
      <c r="M882" t="s">
        <v>47</v>
      </c>
      <c r="N882" t="s">
        <v>48</v>
      </c>
      <c r="O882" t="s">
        <v>63</v>
      </c>
      <c r="P882">
        <v>17</v>
      </c>
      <c r="Q882" t="s">
        <v>62</v>
      </c>
      <c r="R882" t="s">
        <v>46</v>
      </c>
      <c r="S882" t="s">
        <v>47</v>
      </c>
      <c r="T882" t="s">
        <v>47</v>
      </c>
      <c r="U882" t="s">
        <v>47</v>
      </c>
      <c r="V882" t="s">
        <v>86</v>
      </c>
      <c r="W882" t="s">
        <v>47</v>
      </c>
      <c r="X882" t="s">
        <v>46</v>
      </c>
      <c r="Y882" t="s">
        <v>47</v>
      </c>
      <c r="Z882" t="s">
        <v>46</v>
      </c>
      <c r="AA882" t="s">
        <v>47</v>
      </c>
      <c r="AB882" t="s">
        <v>46</v>
      </c>
      <c r="AC882" t="s">
        <v>47</v>
      </c>
      <c r="AD882" t="s">
        <v>46</v>
      </c>
      <c r="AE882" t="s">
        <v>47</v>
      </c>
      <c r="AF882" t="s">
        <v>47</v>
      </c>
      <c r="AG882" t="s">
        <v>52</v>
      </c>
      <c r="AH882" t="s">
        <v>90</v>
      </c>
      <c r="AI882" t="s">
        <v>87</v>
      </c>
      <c r="AJ882">
        <v>3.7</v>
      </c>
      <c r="AK882" t="s">
        <v>47</v>
      </c>
      <c r="AL882" t="s">
        <v>66</v>
      </c>
      <c r="AM882" t="s">
        <v>67</v>
      </c>
      <c r="AN882">
        <v>22</v>
      </c>
      <c r="AO882" t="s">
        <v>47</v>
      </c>
    </row>
    <row r="883" spans="1:41">
      <c r="A883" t="s">
        <v>1035</v>
      </c>
      <c r="B883">
        <v>2024</v>
      </c>
      <c r="C883" s="1">
        <v>45403</v>
      </c>
      <c r="D883" t="s">
        <v>95</v>
      </c>
      <c r="E883" t="s">
        <v>132</v>
      </c>
      <c r="F883">
        <v>63</v>
      </c>
      <c r="G883" t="s">
        <v>44</v>
      </c>
      <c r="H883" t="s">
        <v>70</v>
      </c>
      <c r="I883">
        <v>0</v>
      </c>
      <c r="J883">
        <v>0</v>
      </c>
      <c r="K883" t="s">
        <v>46</v>
      </c>
      <c r="L883" t="s">
        <v>47</v>
      </c>
      <c r="M883" t="s">
        <v>47</v>
      </c>
      <c r="N883" t="s">
        <v>50</v>
      </c>
      <c r="O883" t="s">
        <v>49</v>
      </c>
      <c r="P883">
        <v>27</v>
      </c>
      <c r="Q883" t="s">
        <v>62</v>
      </c>
      <c r="R883" t="s">
        <v>47</v>
      </c>
      <c r="S883" t="s">
        <v>47</v>
      </c>
      <c r="T883" t="s">
        <v>47</v>
      </c>
      <c r="U883" t="s">
        <v>47</v>
      </c>
      <c r="V883" t="s">
        <v>151</v>
      </c>
      <c r="W883" t="s">
        <v>47</v>
      </c>
      <c r="X883" t="s">
        <v>47</v>
      </c>
      <c r="Y883" t="s">
        <v>47</v>
      </c>
      <c r="Z883" t="s">
        <v>47</v>
      </c>
      <c r="AA883" t="s">
        <v>46</v>
      </c>
      <c r="AB883" t="s">
        <v>46</v>
      </c>
      <c r="AC883" t="s">
        <v>47</v>
      </c>
      <c r="AD883" t="s">
        <v>47</v>
      </c>
      <c r="AE883" t="s">
        <v>47</v>
      </c>
      <c r="AF883" t="s">
        <v>47</v>
      </c>
      <c r="AG883" t="s">
        <v>52</v>
      </c>
      <c r="AH883" t="s">
        <v>53</v>
      </c>
      <c r="AI883" t="s">
        <v>87</v>
      </c>
      <c r="AJ883">
        <v>5.9</v>
      </c>
      <c r="AK883" t="s">
        <v>47</v>
      </c>
      <c r="AL883" t="s">
        <v>81</v>
      </c>
      <c r="AM883" t="s">
        <v>67</v>
      </c>
      <c r="AN883">
        <v>30</v>
      </c>
      <c r="AO883" t="s">
        <v>46</v>
      </c>
    </row>
    <row r="884" spans="1:41">
      <c r="A884" t="s">
        <v>1036</v>
      </c>
      <c r="B884">
        <v>2023</v>
      </c>
      <c r="C884" s="1">
        <v>44930</v>
      </c>
      <c r="D884" t="s">
        <v>95</v>
      </c>
      <c r="E884" t="s">
        <v>145</v>
      </c>
      <c r="F884">
        <v>37</v>
      </c>
      <c r="G884" t="s">
        <v>44</v>
      </c>
      <c r="H884" t="s">
        <v>70</v>
      </c>
      <c r="I884">
        <v>0</v>
      </c>
      <c r="J884">
        <v>0</v>
      </c>
      <c r="K884" t="s">
        <v>46</v>
      </c>
      <c r="L884" t="s">
        <v>47</v>
      </c>
      <c r="M884" t="s">
        <v>47</v>
      </c>
      <c r="N884" t="s">
        <v>48</v>
      </c>
      <c r="O884" t="s">
        <v>49</v>
      </c>
      <c r="P884">
        <v>28.7</v>
      </c>
      <c r="Q884" t="s">
        <v>50</v>
      </c>
      <c r="R884" t="s">
        <v>46</v>
      </c>
      <c r="S884" t="s">
        <v>47</v>
      </c>
      <c r="T884" t="s">
        <v>47</v>
      </c>
      <c r="U884" t="s">
        <v>47</v>
      </c>
      <c r="V884" t="s">
        <v>51</v>
      </c>
      <c r="W884" t="s">
        <v>47</v>
      </c>
      <c r="X884" t="s">
        <v>47</v>
      </c>
      <c r="Y884" t="s">
        <v>46</v>
      </c>
      <c r="Z884" t="s">
        <v>47</v>
      </c>
      <c r="AA884" t="s">
        <v>46</v>
      </c>
      <c r="AB884" t="s">
        <v>47</v>
      </c>
      <c r="AC884" t="s">
        <v>47</v>
      </c>
      <c r="AD884" t="s">
        <v>47</v>
      </c>
      <c r="AE884" t="s">
        <v>47</v>
      </c>
      <c r="AF884" t="s">
        <v>47</v>
      </c>
      <c r="AG884" t="s">
        <v>52</v>
      </c>
      <c r="AH884" t="s">
        <v>53</v>
      </c>
      <c r="AI884" t="s">
        <v>65</v>
      </c>
      <c r="AJ884">
        <v>3</v>
      </c>
      <c r="AK884" t="s">
        <v>47</v>
      </c>
      <c r="AL884" t="s">
        <v>81</v>
      </c>
      <c r="AM884" t="s">
        <v>73</v>
      </c>
      <c r="AN884">
        <v>45</v>
      </c>
      <c r="AO884" t="s">
        <v>46</v>
      </c>
    </row>
    <row r="885" spans="1:41">
      <c r="A885" t="s">
        <v>1037</v>
      </c>
      <c r="B885">
        <v>2025</v>
      </c>
      <c r="C885" s="1">
        <v>45831</v>
      </c>
      <c r="D885" t="s">
        <v>58</v>
      </c>
      <c r="E885" t="s">
        <v>252</v>
      </c>
      <c r="F885">
        <v>57</v>
      </c>
      <c r="G885" t="s">
        <v>60</v>
      </c>
      <c r="H885" t="s">
        <v>70</v>
      </c>
      <c r="I885">
        <v>0</v>
      </c>
      <c r="J885">
        <v>0</v>
      </c>
      <c r="K885" t="s">
        <v>47</v>
      </c>
      <c r="L885" t="s">
        <v>47</v>
      </c>
      <c r="M885" t="s">
        <v>47</v>
      </c>
      <c r="N885" t="s">
        <v>62</v>
      </c>
      <c r="O885" t="s">
        <v>48</v>
      </c>
      <c r="P885">
        <v>26</v>
      </c>
      <c r="Q885" t="s">
        <v>62</v>
      </c>
      <c r="R885" t="s">
        <v>47</v>
      </c>
      <c r="S885" t="s">
        <v>47</v>
      </c>
      <c r="T885" t="s">
        <v>47</v>
      </c>
      <c r="U885" t="s">
        <v>47</v>
      </c>
      <c r="V885" t="s">
        <v>51</v>
      </c>
      <c r="W885" t="s">
        <v>46</v>
      </c>
      <c r="X885" t="s">
        <v>47</v>
      </c>
      <c r="Y885" t="s">
        <v>47</v>
      </c>
      <c r="Z885" t="s">
        <v>47</v>
      </c>
      <c r="AA885" t="s">
        <v>46</v>
      </c>
      <c r="AB885" t="s">
        <v>47</v>
      </c>
      <c r="AC885" t="s">
        <v>47</v>
      </c>
      <c r="AD885" t="s">
        <v>47</v>
      </c>
      <c r="AE885" t="s">
        <v>47</v>
      </c>
      <c r="AF885" t="s">
        <v>47</v>
      </c>
      <c r="AG885" t="s">
        <v>121</v>
      </c>
      <c r="AH885" t="s">
        <v>122</v>
      </c>
      <c r="AI885" t="s">
        <v>87</v>
      </c>
      <c r="AJ885">
        <v>3.6</v>
      </c>
      <c r="AK885" t="s">
        <v>47</v>
      </c>
      <c r="AL885" t="s">
        <v>76</v>
      </c>
      <c r="AM885" t="s">
        <v>67</v>
      </c>
      <c r="AN885">
        <v>44</v>
      </c>
      <c r="AO885" t="s">
        <v>47</v>
      </c>
    </row>
    <row r="886" spans="1:41">
      <c r="A886" t="s">
        <v>1038</v>
      </c>
      <c r="B886">
        <v>2025</v>
      </c>
      <c r="C886" s="1">
        <v>45710</v>
      </c>
      <c r="D886" t="s">
        <v>95</v>
      </c>
      <c r="E886" t="s">
        <v>105</v>
      </c>
      <c r="F886">
        <v>60</v>
      </c>
      <c r="G886" t="s">
        <v>44</v>
      </c>
      <c r="H886" t="s">
        <v>70</v>
      </c>
      <c r="I886">
        <v>0</v>
      </c>
      <c r="J886">
        <v>0</v>
      </c>
      <c r="K886" t="s">
        <v>46</v>
      </c>
      <c r="L886" t="s">
        <v>47</v>
      </c>
      <c r="M886" t="s">
        <v>47</v>
      </c>
      <c r="N886" t="s">
        <v>50</v>
      </c>
      <c r="O886" t="s">
        <v>48</v>
      </c>
      <c r="P886">
        <v>25</v>
      </c>
      <c r="Q886" t="s">
        <v>62</v>
      </c>
      <c r="R886" t="s">
        <v>47</v>
      </c>
      <c r="S886" t="s">
        <v>47</v>
      </c>
      <c r="T886" t="s">
        <v>46</v>
      </c>
      <c r="U886" t="s">
        <v>47</v>
      </c>
      <c r="V886" t="s">
        <v>64</v>
      </c>
      <c r="W886" t="s">
        <v>47</v>
      </c>
      <c r="X886" t="s">
        <v>47</v>
      </c>
      <c r="Y886" t="s">
        <v>47</v>
      </c>
      <c r="Z886" t="s">
        <v>47</v>
      </c>
      <c r="AA886" t="s">
        <v>46</v>
      </c>
      <c r="AB886" t="s">
        <v>47</v>
      </c>
      <c r="AC886" t="s">
        <v>47</v>
      </c>
      <c r="AD886" t="s">
        <v>47</v>
      </c>
      <c r="AE886" t="s">
        <v>46</v>
      </c>
      <c r="AF886" t="s">
        <v>47</v>
      </c>
      <c r="AG886" t="s">
        <v>52</v>
      </c>
      <c r="AH886" t="s">
        <v>53</v>
      </c>
      <c r="AI886" t="s">
        <v>54</v>
      </c>
      <c r="AJ886">
        <v>4.0999999999999996</v>
      </c>
      <c r="AK886" t="s">
        <v>46</v>
      </c>
      <c r="AL886" t="s">
        <v>100</v>
      </c>
      <c r="AM886" t="s">
        <v>77</v>
      </c>
      <c r="AN886">
        <v>10</v>
      </c>
      <c r="AO886" t="s">
        <v>47</v>
      </c>
    </row>
    <row r="887" spans="1:41">
      <c r="A887" t="s">
        <v>1039</v>
      </c>
      <c r="B887">
        <v>2020</v>
      </c>
      <c r="C887" s="1">
        <v>43848</v>
      </c>
      <c r="D887" t="s">
        <v>110</v>
      </c>
      <c r="E887" t="s">
        <v>294</v>
      </c>
      <c r="F887">
        <v>61</v>
      </c>
      <c r="G887" t="s">
        <v>44</v>
      </c>
      <c r="H887" t="s">
        <v>70</v>
      </c>
      <c r="I887">
        <v>0</v>
      </c>
      <c r="J887">
        <v>0</v>
      </c>
      <c r="K887" t="s">
        <v>47</v>
      </c>
      <c r="L887" t="s">
        <v>46</v>
      </c>
      <c r="M887" t="s">
        <v>47</v>
      </c>
      <c r="N887" t="s">
        <v>62</v>
      </c>
      <c r="O887" t="s">
        <v>49</v>
      </c>
      <c r="P887">
        <v>23.7</v>
      </c>
      <c r="Q887" t="s">
        <v>62</v>
      </c>
      <c r="R887" t="s">
        <v>47</v>
      </c>
      <c r="S887" t="s">
        <v>47</v>
      </c>
      <c r="T887" t="s">
        <v>47</v>
      </c>
      <c r="U887" t="s">
        <v>47</v>
      </c>
      <c r="V887" t="s">
        <v>86</v>
      </c>
      <c r="W887" t="s">
        <v>46</v>
      </c>
      <c r="X887" t="s">
        <v>47</v>
      </c>
      <c r="Y887" t="s">
        <v>47</v>
      </c>
      <c r="Z887" t="s">
        <v>47</v>
      </c>
      <c r="AA887" t="s">
        <v>47</v>
      </c>
      <c r="AB887" t="s">
        <v>46</v>
      </c>
      <c r="AC887" t="s">
        <v>46</v>
      </c>
      <c r="AD887" t="s">
        <v>47</v>
      </c>
      <c r="AE887" t="s">
        <v>47</v>
      </c>
      <c r="AF887" t="s">
        <v>47</v>
      </c>
      <c r="AG887" t="s">
        <v>52</v>
      </c>
      <c r="AH887" t="s">
        <v>71</v>
      </c>
      <c r="AI887" t="s">
        <v>80</v>
      </c>
      <c r="AJ887">
        <v>4.7</v>
      </c>
      <c r="AK887" t="s">
        <v>47</v>
      </c>
      <c r="AL887" t="s">
        <v>76</v>
      </c>
      <c r="AM887" t="s">
        <v>77</v>
      </c>
      <c r="AN887">
        <v>25</v>
      </c>
      <c r="AO887" t="s">
        <v>46</v>
      </c>
    </row>
    <row r="888" spans="1:41">
      <c r="A888" t="s">
        <v>1040</v>
      </c>
      <c r="B888">
        <v>2017</v>
      </c>
      <c r="C888" s="1">
        <v>42937</v>
      </c>
      <c r="D888" t="s">
        <v>58</v>
      </c>
      <c r="E888" t="s">
        <v>252</v>
      </c>
      <c r="F888">
        <v>42</v>
      </c>
      <c r="G888" t="s">
        <v>44</v>
      </c>
      <c r="H888" t="s">
        <v>70</v>
      </c>
      <c r="I888">
        <v>0</v>
      </c>
      <c r="J888">
        <v>0</v>
      </c>
      <c r="K888" t="s">
        <v>47</v>
      </c>
      <c r="L888" t="s">
        <v>46</v>
      </c>
      <c r="M888" t="s">
        <v>47</v>
      </c>
      <c r="N888" t="s">
        <v>48</v>
      </c>
      <c r="O888" t="s">
        <v>48</v>
      </c>
      <c r="P888">
        <v>28.5</v>
      </c>
      <c r="Q888" t="s">
        <v>48</v>
      </c>
      <c r="R888" t="s">
        <v>47</v>
      </c>
      <c r="S888" t="s">
        <v>47</v>
      </c>
      <c r="T888" t="s">
        <v>47</v>
      </c>
      <c r="U888" t="s">
        <v>47</v>
      </c>
      <c r="V888" t="s">
        <v>117</v>
      </c>
      <c r="W888" t="s">
        <v>46</v>
      </c>
      <c r="X888" t="s">
        <v>47</v>
      </c>
      <c r="Y888" t="s">
        <v>47</v>
      </c>
      <c r="Z888" t="s">
        <v>47</v>
      </c>
      <c r="AA888" t="s">
        <v>46</v>
      </c>
      <c r="AB888" t="s">
        <v>47</v>
      </c>
      <c r="AC888" t="s">
        <v>47</v>
      </c>
      <c r="AD888" t="s">
        <v>47</v>
      </c>
      <c r="AE888" t="s">
        <v>46</v>
      </c>
      <c r="AF888" t="s">
        <v>47</v>
      </c>
      <c r="AG888" t="s">
        <v>121</v>
      </c>
      <c r="AH888" t="s">
        <v>122</v>
      </c>
      <c r="AI888" t="s">
        <v>54</v>
      </c>
      <c r="AJ888">
        <v>5.7</v>
      </c>
      <c r="AK888" t="s">
        <v>46</v>
      </c>
      <c r="AL888" t="s">
        <v>156</v>
      </c>
      <c r="AM888" t="s">
        <v>118</v>
      </c>
      <c r="AN888">
        <v>6</v>
      </c>
      <c r="AO888" t="s">
        <v>47</v>
      </c>
    </row>
    <row r="889" spans="1:41">
      <c r="A889" t="s">
        <v>1041</v>
      </c>
      <c r="B889">
        <v>2025</v>
      </c>
      <c r="C889" s="1">
        <v>45890</v>
      </c>
      <c r="D889" t="s">
        <v>95</v>
      </c>
      <c r="E889" t="s">
        <v>132</v>
      </c>
      <c r="F889">
        <v>53</v>
      </c>
      <c r="G889" t="s">
        <v>60</v>
      </c>
      <c r="H889" t="s">
        <v>70</v>
      </c>
      <c r="I889">
        <v>0</v>
      </c>
      <c r="J889">
        <v>0</v>
      </c>
      <c r="K889" t="s">
        <v>46</v>
      </c>
      <c r="L889" t="s">
        <v>47</v>
      </c>
      <c r="M889" t="s">
        <v>47</v>
      </c>
      <c r="N889" t="s">
        <v>48</v>
      </c>
      <c r="O889" t="s">
        <v>48</v>
      </c>
      <c r="P889">
        <v>28.7</v>
      </c>
      <c r="Q889" t="s">
        <v>48</v>
      </c>
      <c r="R889" t="s">
        <v>47</v>
      </c>
      <c r="S889" t="s">
        <v>47</v>
      </c>
      <c r="T889" t="s">
        <v>47</v>
      </c>
      <c r="U889" t="s">
        <v>47</v>
      </c>
      <c r="V889" t="s">
        <v>151</v>
      </c>
      <c r="W889" t="s">
        <v>47</v>
      </c>
      <c r="X889" t="s">
        <v>47</v>
      </c>
      <c r="Y889" t="s">
        <v>47</v>
      </c>
      <c r="Z889" t="s">
        <v>47</v>
      </c>
      <c r="AA889" t="s">
        <v>47</v>
      </c>
      <c r="AB889" t="s">
        <v>47</v>
      </c>
      <c r="AC889" t="s">
        <v>47</v>
      </c>
      <c r="AD889" t="s">
        <v>47</v>
      </c>
      <c r="AE889" t="s">
        <v>46</v>
      </c>
      <c r="AF889" t="s">
        <v>47</v>
      </c>
      <c r="AG889" t="s">
        <v>52</v>
      </c>
      <c r="AH889" t="s">
        <v>71</v>
      </c>
      <c r="AI889" t="s">
        <v>65</v>
      </c>
      <c r="AJ889">
        <v>2.5</v>
      </c>
      <c r="AK889" t="s">
        <v>47</v>
      </c>
      <c r="AL889" t="s">
        <v>76</v>
      </c>
      <c r="AM889" t="s">
        <v>67</v>
      </c>
      <c r="AN889">
        <v>52</v>
      </c>
      <c r="AO889" t="s">
        <v>47</v>
      </c>
    </row>
    <row r="890" spans="1:41">
      <c r="A890" t="s">
        <v>1042</v>
      </c>
      <c r="B890">
        <v>2017</v>
      </c>
      <c r="C890" s="1">
        <v>42866</v>
      </c>
      <c r="D890" t="s">
        <v>58</v>
      </c>
      <c r="E890" t="s">
        <v>134</v>
      </c>
      <c r="F890">
        <v>62</v>
      </c>
      <c r="G890" t="s">
        <v>44</v>
      </c>
      <c r="H890" t="s">
        <v>70</v>
      </c>
      <c r="I890">
        <v>0</v>
      </c>
      <c r="J890">
        <v>0</v>
      </c>
      <c r="K890" t="s">
        <v>46</v>
      </c>
      <c r="L890" t="s">
        <v>47</v>
      </c>
      <c r="M890" t="s">
        <v>46</v>
      </c>
      <c r="N890" t="s">
        <v>50</v>
      </c>
      <c r="O890" t="s">
        <v>49</v>
      </c>
      <c r="P890">
        <v>20.399999999999999</v>
      </c>
      <c r="Q890" t="s">
        <v>48</v>
      </c>
      <c r="R890" t="s">
        <v>47</v>
      </c>
      <c r="S890" t="s">
        <v>47</v>
      </c>
      <c r="T890" t="s">
        <v>47</v>
      </c>
      <c r="U890" t="s">
        <v>47</v>
      </c>
      <c r="V890" t="s">
        <v>86</v>
      </c>
      <c r="W890" t="s">
        <v>46</v>
      </c>
      <c r="X890" t="s">
        <v>47</v>
      </c>
      <c r="Y890" t="s">
        <v>46</v>
      </c>
      <c r="Z890" t="s">
        <v>47</v>
      </c>
      <c r="AA890" t="s">
        <v>46</v>
      </c>
      <c r="AB890" t="s">
        <v>47</v>
      </c>
      <c r="AC890" t="s">
        <v>47</v>
      </c>
      <c r="AD890" t="s">
        <v>46</v>
      </c>
      <c r="AE890" t="s">
        <v>46</v>
      </c>
      <c r="AF890" t="s">
        <v>47</v>
      </c>
      <c r="AG890" t="s">
        <v>52</v>
      </c>
      <c r="AH890" t="s">
        <v>53</v>
      </c>
      <c r="AI890" t="s">
        <v>54</v>
      </c>
      <c r="AJ890">
        <v>6.2</v>
      </c>
      <c r="AK890" t="s">
        <v>46</v>
      </c>
      <c r="AL890" t="s">
        <v>100</v>
      </c>
      <c r="AM890" t="s">
        <v>82</v>
      </c>
      <c r="AN890">
        <v>4</v>
      </c>
      <c r="AO890" t="s">
        <v>47</v>
      </c>
    </row>
    <row r="891" spans="1:41">
      <c r="A891" t="s">
        <v>1043</v>
      </c>
      <c r="B891">
        <v>2025</v>
      </c>
      <c r="C891" s="1">
        <v>45963</v>
      </c>
      <c r="D891" t="s">
        <v>58</v>
      </c>
      <c r="E891" t="s">
        <v>169</v>
      </c>
      <c r="F891">
        <v>76</v>
      </c>
      <c r="G891" t="s">
        <v>60</v>
      </c>
      <c r="H891" t="s">
        <v>70</v>
      </c>
      <c r="I891">
        <v>0</v>
      </c>
      <c r="J891">
        <v>0</v>
      </c>
      <c r="K891" t="s">
        <v>47</v>
      </c>
      <c r="L891" t="s">
        <v>47</v>
      </c>
      <c r="M891" t="s">
        <v>47</v>
      </c>
      <c r="N891" t="s">
        <v>48</v>
      </c>
      <c r="O891" t="s">
        <v>48</v>
      </c>
      <c r="P891">
        <v>30.4</v>
      </c>
      <c r="Q891" t="s">
        <v>50</v>
      </c>
      <c r="R891" t="s">
        <v>47</v>
      </c>
      <c r="S891" t="s">
        <v>47</v>
      </c>
      <c r="T891" t="s">
        <v>47</v>
      </c>
      <c r="U891" t="s">
        <v>47</v>
      </c>
      <c r="V891" t="s">
        <v>86</v>
      </c>
      <c r="W891" t="s">
        <v>47</v>
      </c>
      <c r="X891" t="s">
        <v>47</v>
      </c>
      <c r="Y891" t="s">
        <v>47</v>
      </c>
      <c r="Z891" t="s">
        <v>47</v>
      </c>
      <c r="AA891" t="s">
        <v>47</v>
      </c>
      <c r="AB891" t="s">
        <v>47</v>
      </c>
      <c r="AC891" t="s">
        <v>46</v>
      </c>
      <c r="AD891" t="s">
        <v>47</v>
      </c>
      <c r="AE891" t="s">
        <v>47</v>
      </c>
      <c r="AF891" t="s">
        <v>47</v>
      </c>
      <c r="AG891" t="s">
        <v>52</v>
      </c>
      <c r="AH891" t="s">
        <v>53</v>
      </c>
      <c r="AI891" t="s">
        <v>80</v>
      </c>
      <c r="AJ891">
        <v>6.6</v>
      </c>
      <c r="AK891" t="s">
        <v>47</v>
      </c>
      <c r="AL891" t="s">
        <v>100</v>
      </c>
      <c r="AM891" t="s">
        <v>82</v>
      </c>
      <c r="AN891">
        <v>12</v>
      </c>
      <c r="AO891" t="s">
        <v>47</v>
      </c>
    </row>
    <row r="892" spans="1:41">
      <c r="A892" t="s">
        <v>1044</v>
      </c>
      <c r="B892">
        <v>2015</v>
      </c>
      <c r="C892" s="1">
        <v>42327</v>
      </c>
      <c r="D892" t="s">
        <v>58</v>
      </c>
      <c r="E892" t="s">
        <v>59</v>
      </c>
      <c r="F892">
        <v>79</v>
      </c>
      <c r="G892" t="s">
        <v>60</v>
      </c>
      <c r="H892" t="s">
        <v>45</v>
      </c>
      <c r="I892">
        <v>12</v>
      </c>
      <c r="J892">
        <v>34</v>
      </c>
      <c r="K892" t="s">
        <v>47</v>
      </c>
      <c r="L892" t="s">
        <v>47</v>
      </c>
      <c r="M892" t="s">
        <v>47</v>
      </c>
      <c r="N892" t="s">
        <v>48</v>
      </c>
      <c r="O892" t="s">
        <v>49</v>
      </c>
      <c r="P892">
        <v>24</v>
      </c>
      <c r="Q892" t="s">
        <v>62</v>
      </c>
      <c r="R892" t="s">
        <v>46</v>
      </c>
      <c r="S892" t="s">
        <v>47</v>
      </c>
      <c r="T892" t="s">
        <v>47</v>
      </c>
      <c r="U892" t="s">
        <v>47</v>
      </c>
      <c r="V892" t="s">
        <v>151</v>
      </c>
      <c r="W892" t="s">
        <v>46</v>
      </c>
      <c r="X892" t="s">
        <v>46</v>
      </c>
      <c r="Y892" t="s">
        <v>46</v>
      </c>
      <c r="Z892" t="s">
        <v>47</v>
      </c>
      <c r="AA892" t="s">
        <v>46</v>
      </c>
      <c r="AB892" t="s">
        <v>47</v>
      </c>
      <c r="AC892" t="s">
        <v>47</v>
      </c>
      <c r="AD892" t="s">
        <v>47</v>
      </c>
      <c r="AE892" t="s">
        <v>47</v>
      </c>
      <c r="AF892" t="s">
        <v>47</v>
      </c>
      <c r="AG892" t="s">
        <v>52</v>
      </c>
      <c r="AH892" t="s">
        <v>71</v>
      </c>
      <c r="AI892" t="s">
        <v>65</v>
      </c>
      <c r="AJ892">
        <v>3.3</v>
      </c>
      <c r="AK892" t="s">
        <v>47</v>
      </c>
      <c r="AL892" t="s">
        <v>81</v>
      </c>
      <c r="AM892" t="s">
        <v>103</v>
      </c>
      <c r="AN892">
        <v>49</v>
      </c>
      <c r="AO892" t="s">
        <v>47</v>
      </c>
    </row>
    <row r="893" spans="1:41">
      <c r="A893" t="s">
        <v>1045</v>
      </c>
      <c r="B893">
        <v>2017</v>
      </c>
      <c r="C893" s="1">
        <v>43002</v>
      </c>
      <c r="D893" t="s">
        <v>95</v>
      </c>
      <c r="E893" t="s">
        <v>114</v>
      </c>
      <c r="F893">
        <v>79</v>
      </c>
      <c r="G893" t="s">
        <v>60</v>
      </c>
      <c r="H893" t="s">
        <v>45</v>
      </c>
      <c r="I893">
        <v>29</v>
      </c>
      <c r="J893">
        <v>54</v>
      </c>
      <c r="K893" t="s">
        <v>46</v>
      </c>
      <c r="L893" t="s">
        <v>47</v>
      </c>
      <c r="M893" t="s">
        <v>47</v>
      </c>
      <c r="N893" t="s">
        <v>50</v>
      </c>
      <c r="O893" t="s">
        <v>49</v>
      </c>
      <c r="P893">
        <v>27.8</v>
      </c>
      <c r="Q893" t="s">
        <v>48</v>
      </c>
      <c r="R893" t="s">
        <v>47</v>
      </c>
      <c r="S893" t="s">
        <v>47</v>
      </c>
      <c r="T893" t="s">
        <v>46</v>
      </c>
      <c r="U893" t="s">
        <v>47</v>
      </c>
      <c r="V893" t="s">
        <v>112</v>
      </c>
      <c r="W893" t="s">
        <v>46</v>
      </c>
      <c r="X893" t="s">
        <v>46</v>
      </c>
      <c r="Y893" t="s">
        <v>47</v>
      </c>
      <c r="Z893" t="s">
        <v>47</v>
      </c>
      <c r="AA893" t="s">
        <v>47</v>
      </c>
      <c r="AB893" t="s">
        <v>47</v>
      </c>
      <c r="AC893" t="s">
        <v>46</v>
      </c>
      <c r="AD893" t="s">
        <v>46</v>
      </c>
      <c r="AE893" t="s">
        <v>47</v>
      </c>
      <c r="AF893" t="s">
        <v>47</v>
      </c>
      <c r="AG893" t="s">
        <v>121</v>
      </c>
      <c r="AH893" t="s">
        <v>122</v>
      </c>
      <c r="AI893" t="s">
        <v>87</v>
      </c>
      <c r="AJ893">
        <v>2</v>
      </c>
      <c r="AK893" t="s">
        <v>47</v>
      </c>
      <c r="AL893" t="s">
        <v>100</v>
      </c>
      <c r="AM893" t="s">
        <v>77</v>
      </c>
      <c r="AN893">
        <v>10</v>
      </c>
      <c r="AO893" t="s">
        <v>46</v>
      </c>
    </row>
    <row r="894" spans="1:41">
      <c r="A894" t="s">
        <v>1046</v>
      </c>
      <c r="B894">
        <v>2021</v>
      </c>
      <c r="C894" s="1">
        <v>44269</v>
      </c>
      <c r="D894" t="s">
        <v>95</v>
      </c>
      <c r="E894" t="s">
        <v>105</v>
      </c>
      <c r="F894">
        <v>46</v>
      </c>
      <c r="G894" t="s">
        <v>60</v>
      </c>
      <c r="H894" t="s">
        <v>45</v>
      </c>
      <c r="I894">
        <v>25</v>
      </c>
      <c r="J894">
        <v>5</v>
      </c>
      <c r="K894" t="s">
        <v>47</v>
      </c>
      <c r="L894" t="s">
        <v>46</v>
      </c>
      <c r="M894" t="s">
        <v>46</v>
      </c>
      <c r="N894" t="s">
        <v>62</v>
      </c>
      <c r="O894" t="s">
        <v>49</v>
      </c>
      <c r="P894">
        <v>31.4</v>
      </c>
      <c r="Q894" t="s">
        <v>50</v>
      </c>
      <c r="R894" t="s">
        <v>46</v>
      </c>
      <c r="S894" t="s">
        <v>47</v>
      </c>
      <c r="T894" t="s">
        <v>47</v>
      </c>
      <c r="U894" t="s">
        <v>47</v>
      </c>
      <c r="V894" t="s">
        <v>51</v>
      </c>
      <c r="W894" t="s">
        <v>46</v>
      </c>
      <c r="X894" t="s">
        <v>47</v>
      </c>
      <c r="Y894" t="s">
        <v>46</v>
      </c>
      <c r="Z894" t="s">
        <v>47</v>
      </c>
      <c r="AA894" t="s">
        <v>46</v>
      </c>
      <c r="AB894" t="s">
        <v>46</v>
      </c>
      <c r="AC894" t="s">
        <v>46</v>
      </c>
      <c r="AD894" t="s">
        <v>47</v>
      </c>
      <c r="AE894" t="s">
        <v>47</v>
      </c>
      <c r="AF894" t="s">
        <v>47</v>
      </c>
      <c r="AG894" t="s">
        <v>52</v>
      </c>
      <c r="AH894" t="s">
        <v>71</v>
      </c>
      <c r="AI894" t="s">
        <v>54</v>
      </c>
      <c r="AJ894">
        <v>4.7</v>
      </c>
      <c r="AK894" t="s">
        <v>46</v>
      </c>
      <c r="AL894" t="s">
        <v>76</v>
      </c>
      <c r="AM894" t="s">
        <v>82</v>
      </c>
      <c r="AN894">
        <v>6</v>
      </c>
      <c r="AO894" t="s">
        <v>47</v>
      </c>
    </row>
    <row r="895" spans="1:41">
      <c r="A895" t="s">
        <v>1047</v>
      </c>
      <c r="B895">
        <v>2023</v>
      </c>
      <c r="C895" s="1">
        <v>44953</v>
      </c>
      <c r="D895" t="s">
        <v>42</v>
      </c>
      <c r="E895" t="s">
        <v>79</v>
      </c>
      <c r="F895">
        <v>51</v>
      </c>
      <c r="G895" t="s">
        <v>60</v>
      </c>
      <c r="H895" t="s">
        <v>70</v>
      </c>
      <c r="I895">
        <v>0</v>
      </c>
      <c r="J895">
        <v>0</v>
      </c>
      <c r="K895" t="s">
        <v>46</v>
      </c>
      <c r="L895" t="s">
        <v>47</v>
      </c>
      <c r="M895" t="s">
        <v>47</v>
      </c>
      <c r="N895" t="s">
        <v>62</v>
      </c>
      <c r="O895" t="s">
        <v>48</v>
      </c>
      <c r="P895">
        <v>32.299999999999997</v>
      </c>
      <c r="Q895" t="s">
        <v>50</v>
      </c>
      <c r="R895" t="s">
        <v>47</v>
      </c>
      <c r="S895" t="s">
        <v>47</v>
      </c>
      <c r="T895" t="s">
        <v>47</v>
      </c>
      <c r="U895" t="s">
        <v>47</v>
      </c>
      <c r="V895" t="s">
        <v>86</v>
      </c>
      <c r="W895" t="s">
        <v>47</v>
      </c>
      <c r="X895" t="s">
        <v>47</v>
      </c>
      <c r="Y895" t="s">
        <v>46</v>
      </c>
      <c r="Z895" t="s">
        <v>47</v>
      </c>
      <c r="AA895" t="s">
        <v>47</v>
      </c>
      <c r="AB895" t="s">
        <v>47</v>
      </c>
      <c r="AC895" t="s">
        <v>47</v>
      </c>
      <c r="AD895" t="s">
        <v>46</v>
      </c>
      <c r="AE895" t="s">
        <v>46</v>
      </c>
      <c r="AF895" t="s">
        <v>47</v>
      </c>
      <c r="AG895" t="s">
        <v>52</v>
      </c>
      <c r="AH895" t="s">
        <v>53</v>
      </c>
      <c r="AI895" t="s">
        <v>80</v>
      </c>
      <c r="AJ895">
        <v>5.3</v>
      </c>
      <c r="AK895" t="s">
        <v>47</v>
      </c>
      <c r="AL895" t="s">
        <v>81</v>
      </c>
      <c r="AM895" t="s">
        <v>118</v>
      </c>
      <c r="AN895">
        <v>17</v>
      </c>
      <c r="AO895" t="s">
        <v>47</v>
      </c>
    </row>
    <row r="896" spans="1:41">
      <c r="A896" t="s">
        <v>1048</v>
      </c>
      <c r="B896">
        <v>2024</v>
      </c>
      <c r="C896" s="1">
        <v>45510</v>
      </c>
      <c r="D896" t="s">
        <v>42</v>
      </c>
      <c r="E896" t="s">
        <v>247</v>
      </c>
      <c r="F896">
        <v>38</v>
      </c>
      <c r="G896" t="s">
        <v>44</v>
      </c>
      <c r="H896" t="s">
        <v>70</v>
      </c>
      <c r="I896">
        <v>0</v>
      </c>
      <c r="J896">
        <v>0</v>
      </c>
      <c r="K896" t="s">
        <v>47</v>
      </c>
      <c r="L896" t="s">
        <v>47</v>
      </c>
      <c r="M896" t="s">
        <v>47</v>
      </c>
      <c r="N896" t="s">
        <v>50</v>
      </c>
      <c r="O896" t="s">
        <v>48</v>
      </c>
      <c r="P896">
        <v>27.3</v>
      </c>
      <c r="Q896" t="s">
        <v>50</v>
      </c>
      <c r="R896" t="s">
        <v>47</v>
      </c>
      <c r="S896" t="s">
        <v>47</v>
      </c>
      <c r="T896" t="s">
        <v>47</v>
      </c>
      <c r="U896" t="s">
        <v>47</v>
      </c>
      <c r="V896" t="s">
        <v>86</v>
      </c>
      <c r="W896" t="s">
        <v>47</v>
      </c>
      <c r="X896" t="s">
        <v>47</v>
      </c>
      <c r="Y896" t="s">
        <v>47</v>
      </c>
      <c r="Z896" t="s">
        <v>47</v>
      </c>
      <c r="AA896" t="s">
        <v>47</v>
      </c>
      <c r="AB896" t="s">
        <v>46</v>
      </c>
      <c r="AC896" t="s">
        <v>47</v>
      </c>
      <c r="AD896" t="s">
        <v>47</v>
      </c>
      <c r="AE896" t="s">
        <v>47</v>
      </c>
      <c r="AF896" t="s">
        <v>47</v>
      </c>
      <c r="AG896" t="s">
        <v>52</v>
      </c>
      <c r="AH896" t="s">
        <v>53</v>
      </c>
      <c r="AI896" t="s">
        <v>87</v>
      </c>
      <c r="AJ896">
        <v>4.5999999999999996</v>
      </c>
      <c r="AK896" t="s">
        <v>47</v>
      </c>
      <c r="AL896" t="s">
        <v>76</v>
      </c>
      <c r="AM896" t="s">
        <v>77</v>
      </c>
      <c r="AN896">
        <v>58</v>
      </c>
      <c r="AO896" t="s">
        <v>46</v>
      </c>
    </row>
    <row r="897" spans="1:41">
      <c r="A897" t="s">
        <v>1049</v>
      </c>
      <c r="B897">
        <v>2015</v>
      </c>
      <c r="C897" s="1">
        <v>42005</v>
      </c>
      <c r="D897" t="s">
        <v>110</v>
      </c>
      <c r="E897" t="s">
        <v>410</v>
      </c>
      <c r="F897">
        <v>59</v>
      </c>
      <c r="G897" t="s">
        <v>44</v>
      </c>
      <c r="H897" t="s">
        <v>70</v>
      </c>
      <c r="I897">
        <v>0</v>
      </c>
      <c r="J897">
        <v>0</v>
      </c>
      <c r="K897" t="s">
        <v>47</v>
      </c>
      <c r="L897" t="s">
        <v>47</v>
      </c>
      <c r="M897" t="s">
        <v>47</v>
      </c>
      <c r="N897" t="s">
        <v>50</v>
      </c>
      <c r="O897" t="s">
        <v>49</v>
      </c>
      <c r="P897">
        <v>23.5</v>
      </c>
      <c r="Q897" t="s">
        <v>62</v>
      </c>
      <c r="R897" t="s">
        <v>47</v>
      </c>
      <c r="S897" t="s">
        <v>47</v>
      </c>
      <c r="T897" t="s">
        <v>47</v>
      </c>
      <c r="U897" t="s">
        <v>47</v>
      </c>
      <c r="V897" t="s">
        <v>51</v>
      </c>
      <c r="W897" t="s">
        <v>46</v>
      </c>
      <c r="X897" t="s">
        <v>47</v>
      </c>
      <c r="Y897" t="s">
        <v>47</v>
      </c>
      <c r="Z897" t="s">
        <v>47</v>
      </c>
      <c r="AA897" t="s">
        <v>46</v>
      </c>
      <c r="AB897" t="s">
        <v>47</v>
      </c>
      <c r="AC897" t="s">
        <v>47</v>
      </c>
      <c r="AD897" t="s">
        <v>46</v>
      </c>
      <c r="AE897" t="s">
        <v>47</v>
      </c>
      <c r="AF897" t="s">
        <v>47</v>
      </c>
      <c r="AG897" t="s">
        <v>52</v>
      </c>
      <c r="AH897" t="s">
        <v>90</v>
      </c>
      <c r="AI897" t="s">
        <v>87</v>
      </c>
      <c r="AJ897">
        <v>3.1</v>
      </c>
      <c r="AK897" t="s">
        <v>47</v>
      </c>
      <c r="AL897" t="s">
        <v>100</v>
      </c>
      <c r="AM897" t="s">
        <v>103</v>
      </c>
      <c r="AN897">
        <v>21</v>
      </c>
      <c r="AO897" t="s">
        <v>46</v>
      </c>
    </row>
    <row r="898" spans="1:41">
      <c r="A898" t="s">
        <v>1050</v>
      </c>
      <c r="B898">
        <v>2015</v>
      </c>
      <c r="C898" s="1">
        <v>42297</v>
      </c>
      <c r="D898" t="s">
        <v>95</v>
      </c>
      <c r="E898" t="s">
        <v>120</v>
      </c>
      <c r="F898">
        <v>70</v>
      </c>
      <c r="G898" t="s">
        <v>60</v>
      </c>
      <c r="H898" t="s">
        <v>45</v>
      </c>
      <c r="I898">
        <v>12</v>
      </c>
      <c r="J898">
        <v>32</v>
      </c>
      <c r="K898" t="s">
        <v>46</v>
      </c>
      <c r="L898" t="s">
        <v>47</v>
      </c>
      <c r="M898" t="s">
        <v>46</v>
      </c>
      <c r="N898" t="s">
        <v>50</v>
      </c>
      <c r="O898" t="s">
        <v>48</v>
      </c>
      <c r="P898">
        <v>36.4</v>
      </c>
      <c r="Q898" t="s">
        <v>48</v>
      </c>
      <c r="R898" t="s">
        <v>46</v>
      </c>
      <c r="S898" t="s">
        <v>47</v>
      </c>
      <c r="T898" t="s">
        <v>47</v>
      </c>
      <c r="U898" t="s">
        <v>47</v>
      </c>
      <c r="V898" t="s">
        <v>151</v>
      </c>
      <c r="W898" t="s">
        <v>46</v>
      </c>
      <c r="X898" t="s">
        <v>46</v>
      </c>
      <c r="Y898" t="s">
        <v>47</v>
      </c>
      <c r="Z898" t="s">
        <v>47</v>
      </c>
      <c r="AA898" t="s">
        <v>46</v>
      </c>
      <c r="AB898" t="s">
        <v>47</v>
      </c>
      <c r="AC898" t="s">
        <v>46</v>
      </c>
      <c r="AD898" t="s">
        <v>46</v>
      </c>
      <c r="AE898" t="s">
        <v>47</v>
      </c>
      <c r="AF898" t="s">
        <v>46</v>
      </c>
      <c r="AG898" t="s">
        <v>52</v>
      </c>
      <c r="AH898" t="s">
        <v>53</v>
      </c>
      <c r="AI898" t="s">
        <v>54</v>
      </c>
      <c r="AJ898">
        <v>4.7</v>
      </c>
      <c r="AK898" t="s">
        <v>46</v>
      </c>
      <c r="AL898" t="s">
        <v>100</v>
      </c>
      <c r="AM898" t="s">
        <v>82</v>
      </c>
      <c r="AN898">
        <v>5</v>
      </c>
      <c r="AO898" t="s">
        <v>47</v>
      </c>
    </row>
    <row r="899" spans="1:41">
      <c r="A899" t="s">
        <v>1051</v>
      </c>
      <c r="B899">
        <v>2023</v>
      </c>
      <c r="C899" s="1">
        <v>45087</v>
      </c>
      <c r="D899" t="s">
        <v>58</v>
      </c>
      <c r="E899" t="s">
        <v>252</v>
      </c>
      <c r="F899">
        <v>72</v>
      </c>
      <c r="G899" t="s">
        <v>60</v>
      </c>
      <c r="H899" t="s">
        <v>70</v>
      </c>
      <c r="I899">
        <v>0</v>
      </c>
      <c r="J899">
        <v>0</v>
      </c>
      <c r="K899" t="s">
        <v>46</v>
      </c>
      <c r="L899" t="s">
        <v>47</v>
      </c>
      <c r="M899" t="s">
        <v>47</v>
      </c>
      <c r="N899" t="s">
        <v>62</v>
      </c>
      <c r="O899" t="s">
        <v>48</v>
      </c>
      <c r="P899">
        <v>21.4</v>
      </c>
      <c r="Q899" t="s">
        <v>48</v>
      </c>
      <c r="R899" t="s">
        <v>47</v>
      </c>
      <c r="S899" t="s">
        <v>47</v>
      </c>
      <c r="T899" t="s">
        <v>47</v>
      </c>
      <c r="U899" t="s">
        <v>46</v>
      </c>
      <c r="V899" t="s">
        <v>151</v>
      </c>
      <c r="W899" t="s">
        <v>46</v>
      </c>
      <c r="X899" t="s">
        <v>47</v>
      </c>
      <c r="Y899" t="s">
        <v>47</v>
      </c>
      <c r="Z899" t="s">
        <v>47</v>
      </c>
      <c r="AA899" t="s">
        <v>47</v>
      </c>
      <c r="AB899" t="s">
        <v>47</v>
      </c>
      <c r="AC899" t="s">
        <v>46</v>
      </c>
      <c r="AD899" t="s">
        <v>46</v>
      </c>
      <c r="AE899" t="s">
        <v>47</v>
      </c>
      <c r="AF899" t="s">
        <v>47</v>
      </c>
      <c r="AG899" t="s">
        <v>52</v>
      </c>
      <c r="AH899" t="s">
        <v>53</v>
      </c>
      <c r="AI899" t="s">
        <v>65</v>
      </c>
      <c r="AJ899">
        <v>0.8</v>
      </c>
      <c r="AK899" t="s">
        <v>47</v>
      </c>
      <c r="AL899" t="s">
        <v>76</v>
      </c>
      <c r="AM899" t="s">
        <v>73</v>
      </c>
      <c r="AN899">
        <v>49</v>
      </c>
      <c r="AO899" t="s">
        <v>46</v>
      </c>
    </row>
    <row r="900" spans="1:41">
      <c r="A900" t="s">
        <v>1052</v>
      </c>
      <c r="B900">
        <v>2016</v>
      </c>
      <c r="C900" s="1">
        <v>42692</v>
      </c>
      <c r="D900" t="s">
        <v>95</v>
      </c>
      <c r="E900" t="s">
        <v>147</v>
      </c>
      <c r="F900">
        <v>65</v>
      </c>
      <c r="G900" t="s">
        <v>44</v>
      </c>
      <c r="H900" t="s">
        <v>45</v>
      </c>
      <c r="I900">
        <v>29</v>
      </c>
      <c r="J900">
        <v>20</v>
      </c>
      <c r="K900" t="s">
        <v>46</v>
      </c>
      <c r="L900" t="s">
        <v>47</v>
      </c>
      <c r="M900" t="s">
        <v>47</v>
      </c>
      <c r="N900" t="s">
        <v>48</v>
      </c>
      <c r="O900" t="s">
        <v>63</v>
      </c>
      <c r="P900">
        <v>25</v>
      </c>
      <c r="Q900" t="s">
        <v>48</v>
      </c>
      <c r="R900" t="s">
        <v>47</v>
      </c>
      <c r="S900" t="s">
        <v>47</v>
      </c>
      <c r="T900" t="s">
        <v>47</v>
      </c>
      <c r="U900" t="s">
        <v>47</v>
      </c>
      <c r="V900" t="s">
        <v>64</v>
      </c>
      <c r="W900" t="s">
        <v>46</v>
      </c>
      <c r="X900" t="s">
        <v>46</v>
      </c>
      <c r="Y900" t="s">
        <v>46</v>
      </c>
      <c r="Z900" t="s">
        <v>47</v>
      </c>
      <c r="AA900" t="s">
        <v>46</v>
      </c>
      <c r="AB900" t="s">
        <v>47</v>
      </c>
      <c r="AC900" t="s">
        <v>46</v>
      </c>
      <c r="AD900" t="s">
        <v>47</v>
      </c>
      <c r="AE900" t="s">
        <v>46</v>
      </c>
      <c r="AF900" t="s">
        <v>47</v>
      </c>
      <c r="AG900" t="s">
        <v>52</v>
      </c>
      <c r="AH900" t="s">
        <v>53</v>
      </c>
      <c r="AI900" t="s">
        <v>87</v>
      </c>
      <c r="AJ900">
        <v>4.4000000000000004</v>
      </c>
      <c r="AK900" t="s">
        <v>47</v>
      </c>
      <c r="AL900" t="s">
        <v>76</v>
      </c>
      <c r="AM900" t="s">
        <v>77</v>
      </c>
      <c r="AN900">
        <v>11</v>
      </c>
      <c r="AO900" t="s">
        <v>47</v>
      </c>
    </row>
    <row r="901" spans="1:41">
      <c r="A901" t="s">
        <v>1053</v>
      </c>
      <c r="B901">
        <v>2015</v>
      </c>
      <c r="C901" s="1">
        <v>42221</v>
      </c>
      <c r="D901" t="s">
        <v>95</v>
      </c>
      <c r="E901" t="s">
        <v>147</v>
      </c>
      <c r="F901">
        <v>59</v>
      </c>
      <c r="G901" t="s">
        <v>60</v>
      </c>
      <c r="H901" t="s">
        <v>45</v>
      </c>
      <c r="I901">
        <v>25</v>
      </c>
      <c r="J901">
        <v>27</v>
      </c>
      <c r="K901" t="s">
        <v>47</v>
      </c>
      <c r="L901" t="s">
        <v>46</v>
      </c>
      <c r="M901" t="s">
        <v>47</v>
      </c>
      <c r="N901" t="s">
        <v>50</v>
      </c>
      <c r="O901" t="s">
        <v>63</v>
      </c>
      <c r="P901">
        <v>23.8</v>
      </c>
      <c r="Q901" t="s">
        <v>50</v>
      </c>
      <c r="R901" t="s">
        <v>47</v>
      </c>
      <c r="S901" t="s">
        <v>47</v>
      </c>
      <c r="T901" t="s">
        <v>47</v>
      </c>
      <c r="U901" t="s">
        <v>47</v>
      </c>
      <c r="V901" t="s">
        <v>64</v>
      </c>
      <c r="W901" t="s">
        <v>47</v>
      </c>
      <c r="X901" t="s">
        <v>47</v>
      </c>
      <c r="Y901" t="s">
        <v>47</v>
      </c>
      <c r="Z901" t="s">
        <v>46</v>
      </c>
      <c r="AA901" t="s">
        <v>46</v>
      </c>
      <c r="AB901" t="s">
        <v>47</v>
      </c>
      <c r="AC901" t="s">
        <v>47</v>
      </c>
      <c r="AD901" t="s">
        <v>47</v>
      </c>
      <c r="AE901" t="s">
        <v>47</v>
      </c>
      <c r="AF901" t="s">
        <v>47</v>
      </c>
      <c r="AG901" t="s">
        <v>52</v>
      </c>
      <c r="AH901" t="s">
        <v>71</v>
      </c>
      <c r="AI901" t="s">
        <v>54</v>
      </c>
      <c r="AJ901">
        <v>6.8</v>
      </c>
      <c r="AK901" t="s">
        <v>46</v>
      </c>
      <c r="AL901" t="s">
        <v>66</v>
      </c>
      <c r="AM901" t="s">
        <v>265</v>
      </c>
      <c r="AN901">
        <v>6</v>
      </c>
      <c r="AO901" t="s">
        <v>47</v>
      </c>
    </row>
    <row r="902" spans="1:41">
      <c r="A902" t="s">
        <v>1054</v>
      </c>
      <c r="B902">
        <v>2017</v>
      </c>
      <c r="C902" s="1">
        <v>42956</v>
      </c>
      <c r="D902" t="s">
        <v>42</v>
      </c>
      <c r="E902" t="s">
        <v>160</v>
      </c>
      <c r="F902">
        <v>67</v>
      </c>
      <c r="G902" t="s">
        <v>44</v>
      </c>
      <c r="H902" t="s">
        <v>70</v>
      </c>
      <c r="I902">
        <v>0</v>
      </c>
      <c r="J902">
        <v>0</v>
      </c>
      <c r="K902" t="s">
        <v>47</v>
      </c>
      <c r="L902" t="s">
        <v>46</v>
      </c>
      <c r="M902" t="s">
        <v>47</v>
      </c>
      <c r="N902" t="s">
        <v>62</v>
      </c>
      <c r="O902" t="s">
        <v>48</v>
      </c>
      <c r="P902">
        <v>24.4</v>
      </c>
      <c r="Q902" t="s">
        <v>48</v>
      </c>
      <c r="R902" t="s">
        <v>47</v>
      </c>
      <c r="S902" t="s">
        <v>47</v>
      </c>
      <c r="T902" t="s">
        <v>47</v>
      </c>
      <c r="U902" t="s">
        <v>47</v>
      </c>
      <c r="V902" t="s">
        <v>151</v>
      </c>
      <c r="W902" t="s">
        <v>46</v>
      </c>
      <c r="X902" t="s">
        <v>47</v>
      </c>
      <c r="Y902" t="s">
        <v>46</v>
      </c>
      <c r="Z902" t="s">
        <v>47</v>
      </c>
      <c r="AA902" t="s">
        <v>46</v>
      </c>
      <c r="AB902" t="s">
        <v>47</v>
      </c>
      <c r="AC902" t="s">
        <v>47</v>
      </c>
      <c r="AD902" t="s">
        <v>47</v>
      </c>
      <c r="AE902" t="s">
        <v>47</v>
      </c>
      <c r="AF902" t="s">
        <v>47</v>
      </c>
      <c r="AG902" t="s">
        <v>52</v>
      </c>
      <c r="AH902" t="s">
        <v>53</v>
      </c>
      <c r="AI902" t="s">
        <v>65</v>
      </c>
      <c r="AJ902">
        <v>1.2</v>
      </c>
      <c r="AK902" t="s">
        <v>47</v>
      </c>
      <c r="AL902" t="s">
        <v>76</v>
      </c>
      <c r="AM902" t="s">
        <v>73</v>
      </c>
      <c r="AN902">
        <v>44</v>
      </c>
      <c r="AO902" t="s">
        <v>46</v>
      </c>
    </row>
    <row r="903" spans="1:41">
      <c r="A903" t="s">
        <v>1055</v>
      </c>
      <c r="B903">
        <v>2022</v>
      </c>
      <c r="C903" s="1">
        <v>44603</v>
      </c>
      <c r="D903" t="s">
        <v>95</v>
      </c>
      <c r="E903" t="s">
        <v>105</v>
      </c>
      <c r="F903">
        <v>45</v>
      </c>
      <c r="G903" t="s">
        <v>44</v>
      </c>
      <c r="H903" t="s">
        <v>70</v>
      </c>
      <c r="I903">
        <v>0</v>
      </c>
      <c r="J903">
        <v>0</v>
      </c>
      <c r="K903" t="s">
        <v>47</v>
      </c>
      <c r="L903" t="s">
        <v>46</v>
      </c>
      <c r="M903" t="s">
        <v>46</v>
      </c>
      <c r="N903" t="s">
        <v>48</v>
      </c>
      <c r="O903" t="s">
        <v>63</v>
      </c>
      <c r="P903">
        <v>25.9</v>
      </c>
      <c r="Q903" t="s">
        <v>48</v>
      </c>
      <c r="R903" t="s">
        <v>47</v>
      </c>
      <c r="S903" t="s">
        <v>47</v>
      </c>
      <c r="T903" t="s">
        <v>47</v>
      </c>
      <c r="U903" t="s">
        <v>46</v>
      </c>
      <c r="V903" t="s">
        <v>92</v>
      </c>
      <c r="W903" t="s">
        <v>47</v>
      </c>
      <c r="X903" t="s">
        <v>47</v>
      </c>
      <c r="Y903" t="s">
        <v>46</v>
      </c>
      <c r="Z903" t="s">
        <v>46</v>
      </c>
      <c r="AA903" t="s">
        <v>46</v>
      </c>
      <c r="AB903" t="s">
        <v>47</v>
      </c>
      <c r="AC903" t="s">
        <v>47</v>
      </c>
      <c r="AD903" t="s">
        <v>46</v>
      </c>
      <c r="AE903" t="s">
        <v>47</v>
      </c>
      <c r="AF903" t="s">
        <v>46</v>
      </c>
      <c r="AG903" t="s">
        <v>52</v>
      </c>
      <c r="AH903" t="s">
        <v>90</v>
      </c>
      <c r="AI903" t="s">
        <v>65</v>
      </c>
      <c r="AJ903">
        <v>2</v>
      </c>
      <c r="AK903" t="s">
        <v>47</v>
      </c>
      <c r="AL903" t="s">
        <v>76</v>
      </c>
      <c r="AM903" t="s">
        <v>73</v>
      </c>
      <c r="AN903">
        <v>96</v>
      </c>
      <c r="AO903" t="s">
        <v>46</v>
      </c>
    </row>
    <row r="904" spans="1:41">
      <c r="A904" t="s">
        <v>1056</v>
      </c>
      <c r="B904">
        <v>2016</v>
      </c>
      <c r="C904" s="1">
        <v>42719</v>
      </c>
      <c r="D904" t="s">
        <v>42</v>
      </c>
      <c r="E904" t="s">
        <v>247</v>
      </c>
      <c r="F904">
        <v>77</v>
      </c>
      <c r="G904" t="s">
        <v>60</v>
      </c>
      <c r="H904" t="s">
        <v>70</v>
      </c>
      <c r="I904">
        <v>0</v>
      </c>
      <c r="J904">
        <v>0</v>
      </c>
      <c r="K904" t="s">
        <v>47</v>
      </c>
      <c r="L904" t="s">
        <v>47</v>
      </c>
      <c r="M904" t="s">
        <v>47</v>
      </c>
      <c r="N904" t="s">
        <v>48</v>
      </c>
      <c r="O904" t="s">
        <v>48</v>
      </c>
      <c r="P904">
        <v>23.1</v>
      </c>
      <c r="Q904" t="s">
        <v>62</v>
      </c>
      <c r="R904" t="s">
        <v>47</v>
      </c>
      <c r="S904" t="s">
        <v>47</v>
      </c>
      <c r="T904" t="s">
        <v>47</v>
      </c>
      <c r="U904" t="s">
        <v>47</v>
      </c>
      <c r="V904" t="s">
        <v>117</v>
      </c>
      <c r="W904" t="s">
        <v>47</v>
      </c>
      <c r="X904" t="s">
        <v>47</v>
      </c>
      <c r="Y904" t="s">
        <v>46</v>
      </c>
      <c r="Z904" t="s">
        <v>47</v>
      </c>
      <c r="AA904" t="s">
        <v>46</v>
      </c>
      <c r="AB904" t="s">
        <v>46</v>
      </c>
      <c r="AC904" t="s">
        <v>47</v>
      </c>
      <c r="AD904" t="s">
        <v>47</v>
      </c>
      <c r="AE904" t="s">
        <v>46</v>
      </c>
      <c r="AF904" t="s">
        <v>47</v>
      </c>
      <c r="AG904" t="s">
        <v>52</v>
      </c>
      <c r="AH904" t="s">
        <v>90</v>
      </c>
      <c r="AI904" t="s">
        <v>54</v>
      </c>
      <c r="AJ904">
        <v>7.7</v>
      </c>
      <c r="AK904" t="s">
        <v>46</v>
      </c>
      <c r="AL904" t="s">
        <v>156</v>
      </c>
      <c r="AM904" t="s">
        <v>56</v>
      </c>
      <c r="AN904">
        <v>6</v>
      </c>
      <c r="AO904" t="s">
        <v>47</v>
      </c>
    </row>
    <row r="905" spans="1:41">
      <c r="A905" t="s">
        <v>1057</v>
      </c>
      <c r="B905">
        <v>2018</v>
      </c>
      <c r="C905" s="1">
        <v>43440</v>
      </c>
      <c r="D905" t="s">
        <v>42</v>
      </c>
      <c r="E905" t="s">
        <v>43</v>
      </c>
      <c r="F905">
        <v>64</v>
      </c>
      <c r="G905" t="s">
        <v>60</v>
      </c>
      <c r="H905" t="s">
        <v>70</v>
      </c>
      <c r="I905">
        <v>0</v>
      </c>
      <c r="J905">
        <v>0</v>
      </c>
      <c r="K905" t="s">
        <v>47</v>
      </c>
      <c r="L905" t="s">
        <v>46</v>
      </c>
      <c r="M905" t="s">
        <v>47</v>
      </c>
      <c r="N905" t="s">
        <v>48</v>
      </c>
      <c r="O905" t="s">
        <v>49</v>
      </c>
      <c r="P905">
        <v>26</v>
      </c>
      <c r="Q905" t="s">
        <v>50</v>
      </c>
      <c r="R905" t="s">
        <v>47</v>
      </c>
      <c r="S905" t="s">
        <v>47</v>
      </c>
      <c r="T905" t="s">
        <v>47</v>
      </c>
      <c r="U905" t="s">
        <v>47</v>
      </c>
      <c r="V905" t="s">
        <v>86</v>
      </c>
      <c r="W905" t="s">
        <v>47</v>
      </c>
      <c r="X905" t="s">
        <v>47</v>
      </c>
      <c r="Y905" t="s">
        <v>47</v>
      </c>
      <c r="Z905" t="s">
        <v>47</v>
      </c>
      <c r="AA905" t="s">
        <v>47</v>
      </c>
      <c r="AB905" t="s">
        <v>47</v>
      </c>
      <c r="AC905" t="s">
        <v>47</v>
      </c>
      <c r="AD905" t="s">
        <v>47</v>
      </c>
      <c r="AE905" t="s">
        <v>46</v>
      </c>
      <c r="AF905" t="s">
        <v>47</v>
      </c>
      <c r="AG905" t="s">
        <v>52</v>
      </c>
      <c r="AH905" t="s">
        <v>90</v>
      </c>
      <c r="AI905" t="s">
        <v>87</v>
      </c>
      <c r="AJ905">
        <v>4.4000000000000004</v>
      </c>
      <c r="AK905" t="s">
        <v>47</v>
      </c>
      <c r="AL905" t="s">
        <v>55</v>
      </c>
      <c r="AM905" t="s">
        <v>118</v>
      </c>
      <c r="AN905">
        <v>34</v>
      </c>
      <c r="AO905" t="s">
        <v>46</v>
      </c>
    </row>
    <row r="906" spans="1:41">
      <c r="A906" t="s">
        <v>1058</v>
      </c>
      <c r="B906">
        <v>2024</v>
      </c>
      <c r="C906" s="1">
        <v>45637</v>
      </c>
      <c r="D906" t="s">
        <v>58</v>
      </c>
      <c r="E906" t="s">
        <v>134</v>
      </c>
      <c r="F906">
        <v>48</v>
      </c>
      <c r="G906" t="s">
        <v>44</v>
      </c>
      <c r="H906" t="s">
        <v>70</v>
      </c>
      <c r="I906">
        <v>0</v>
      </c>
      <c r="J906">
        <v>0</v>
      </c>
      <c r="K906" t="s">
        <v>47</v>
      </c>
      <c r="L906" t="s">
        <v>47</v>
      </c>
      <c r="M906" t="s">
        <v>47</v>
      </c>
      <c r="N906" t="s">
        <v>50</v>
      </c>
      <c r="O906" t="s">
        <v>48</v>
      </c>
      <c r="P906">
        <v>27.3</v>
      </c>
      <c r="Q906" t="s">
        <v>62</v>
      </c>
      <c r="R906" t="s">
        <v>47</v>
      </c>
      <c r="S906" t="s">
        <v>47</v>
      </c>
      <c r="T906" t="s">
        <v>47</v>
      </c>
      <c r="U906" t="s">
        <v>47</v>
      </c>
      <c r="V906" t="s">
        <v>86</v>
      </c>
      <c r="W906" t="s">
        <v>47</v>
      </c>
      <c r="X906" t="s">
        <v>46</v>
      </c>
      <c r="Y906" t="s">
        <v>47</v>
      </c>
      <c r="Z906" t="s">
        <v>47</v>
      </c>
      <c r="AA906" t="s">
        <v>47</v>
      </c>
      <c r="AB906" t="s">
        <v>47</v>
      </c>
      <c r="AC906" t="s">
        <v>47</v>
      </c>
      <c r="AD906" t="s">
        <v>47</v>
      </c>
      <c r="AE906" t="s">
        <v>47</v>
      </c>
      <c r="AF906" t="s">
        <v>47</v>
      </c>
      <c r="AG906" t="s">
        <v>52</v>
      </c>
      <c r="AH906" t="s">
        <v>53</v>
      </c>
      <c r="AI906" t="s">
        <v>65</v>
      </c>
      <c r="AJ906">
        <v>2</v>
      </c>
      <c r="AK906" t="s">
        <v>47</v>
      </c>
      <c r="AL906" t="s">
        <v>76</v>
      </c>
      <c r="AM906" t="s">
        <v>73</v>
      </c>
      <c r="AN906">
        <v>80</v>
      </c>
      <c r="AO906" t="s">
        <v>46</v>
      </c>
    </row>
    <row r="907" spans="1:41">
      <c r="A907" t="s">
        <v>1059</v>
      </c>
      <c r="B907">
        <v>2024</v>
      </c>
      <c r="C907" s="1">
        <v>45587</v>
      </c>
      <c r="D907" t="s">
        <v>42</v>
      </c>
      <c r="E907" t="s">
        <v>160</v>
      </c>
      <c r="F907">
        <v>88</v>
      </c>
      <c r="G907" t="s">
        <v>60</v>
      </c>
      <c r="H907" t="s">
        <v>70</v>
      </c>
      <c r="I907">
        <v>0</v>
      </c>
      <c r="J907">
        <v>0</v>
      </c>
      <c r="K907" t="s">
        <v>47</v>
      </c>
      <c r="L907" t="s">
        <v>46</v>
      </c>
      <c r="M907" t="s">
        <v>47</v>
      </c>
      <c r="N907" t="s">
        <v>62</v>
      </c>
      <c r="O907" t="s">
        <v>48</v>
      </c>
      <c r="P907">
        <v>24.9</v>
      </c>
      <c r="Q907" t="s">
        <v>50</v>
      </c>
      <c r="R907" t="s">
        <v>47</v>
      </c>
      <c r="S907" t="s">
        <v>47</v>
      </c>
      <c r="T907" t="s">
        <v>47</v>
      </c>
      <c r="U907" t="s">
        <v>47</v>
      </c>
      <c r="V907" t="s">
        <v>86</v>
      </c>
      <c r="W907" t="s">
        <v>47</v>
      </c>
      <c r="X907" t="s">
        <v>47</v>
      </c>
      <c r="Y907" t="s">
        <v>47</v>
      </c>
      <c r="Z907" t="s">
        <v>47</v>
      </c>
      <c r="AA907" t="s">
        <v>46</v>
      </c>
      <c r="AB907" t="s">
        <v>47</v>
      </c>
      <c r="AC907" t="s">
        <v>46</v>
      </c>
      <c r="AD907" t="s">
        <v>47</v>
      </c>
      <c r="AE907" t="s">
        <v>47</v>
      </c>
      <c r="AF907" t="s">
        <v>47</v>
      </c>
      <c r="AG907" t="s">
        <v>52</v>
      </c>
      <c r="AH907" t="s">
        <v>53</v>
      </c>
      <c r="AI907" t="s">
        <v>54</v>
      </c>
      <c r="AJ907">
        <v>4.9000000000000004</v>
      </c>
      <c r="AK907" t="s">
        <v>46</v>
      </c>
      <c r="AL907" t="s">
        <v>76</v>
      </c>
      <c r="AM907" t="s">
        <v>82</v>
      </c>
      <c r="AN907">
        <v>17</v>
      </c>
      <c r="AO907" t="s">
        <v>47</v>
      </c>
    </row>
    <row r="908" spans="1:41">
      <c r="A908" t="s">
        <v>1060</v>
      </c>
      <c r="B908">
        <v>2016</v>
      </c>
      <c r="C908" s="1">
        <v>42449</v>
      </c>
      <c r="D908" t="s">
        <v>42</v>
      </c>
      <c r="E908" t="s">
        <v>79</v>
      </c>
      <c r="F908">
        <v>56</v>
      </c>
      <c r="G908" t="s">
        <v>60</v>
      </c>
      <c r="H908" t="s">
        <v>45</v>
      </c>
      <c r="I908">
        <v>5</v>
      </c>
      <c r="J908">
        <v>21</v>
      </c>
      <c r="K908" t="s">
        <v>47</v>
      </c>
      <c r="L908" t="s">
        <v>47</v>
      </c>
      <c r="M908" t="s">
        <v>47</v>
      </c>
      <c r="N908" t="s">
        <v>50</v>
      </c>
      <c r="O908" t="s">
        <v>63</v>
      </c>
      <c r="P908">
        <v>24.6</v>
      </c>
      <c r="Q908" t="s">
        <v>62</v>
      </c>
      <c r="R908" t="s">
        <v>47</v>
      </c>
      <c r="S908" t="s">
        <v>47</v>
      </c>
      <c r="T908" t="s">
        <v>47</v>
      </c>
      <c r="U908" t="s">
        <v>47</v>
      </c>
      <c r="V908" t="s">
        <v>51</v>
      </c>
      <c r="W908" t="s">
        <v>46</v>
      </c>
      <c r="X908" t="s">
        <v>46</v>
      </c>
      <c r="Y908" t="s">
        <v>46</v>
      </c>
      <c r="Z908" t="s">
        <v>47</v>
      </c>
      <c r="AA908" t="s">
        <v>46</v>
      </c>
      <c r="AB908" t="s">
        <v>46</v>
      </c>
      <c r="AC908" t="s">
        <v>46</v>
      </c>
      <c r="AD908" t="s">
        <v>47</v>
      </c>
      <c r="AE908" t="s">
        <v>47</v>
      </c>
      <c r="AF908" t="s">
        <v>47</v>
      </c>
      <c r="AG908" t="s">
        <v>52</v>
      </c>
      <c r="AH908" t="s">
        <v>53</v>
      </c>
      <c r="AI908" t="s">
        <v>87</v>
      </c>
      <c r="AJ908">
        <v>6.1</v>
      </c>
      <c r="AK908" t="s">
        <v>47</v>
      </c>
      <c r="AL908" t="s">
        <v>76</v>
      </c>
      <c r="AM908" t="s">
        <v>73</v>
      </c>
      <c r="AN908">
        <v>31</v>
      </c>
      <c r="AO908" t="s">
        <v>46</v>
      </c>
    </row>
    <row r="909" spans="1:41">
      <c r="A909" t="s">
        <v>1061</v>
      </c>
      <c r="B909">
        <v>2017</v>
      </c>
      <c r="C909" s="1">
        <v>42933</v>
      </c>
      <c r="D909" t="s">
        <v>42</v>
      </c>
      <c r="E909" t="s">
        <v>136</v>
      </c>
      <c r="F909">
        <v>82</v>
      </c>
      <c r="G909" t="s">
        <v>60</v>
      </c>
      <c r="H909" t="s">
        <v>45</v>
      </c>
      <c r="I909">
        <v>23</v>
      </c>
      <c r="J909">
        <v>37</v>
      </c>
      <c r="K909" t="s">
        <v>46</v>
      </c>
      <c r="L909" t="s">
        <v>47</v>
      </c>
      <c r="M909" t="s">
        <v>47</v>
      </c>
      <c r="N909" t="s">
        <v>48</v>
      </c>
      <c r="O909" t="s">
        <v>48</v>
      </c>
      <c r="P909">
        <v>23.4</v>
      </c>
      <c r="Q909" t="s">
        <v>62</v>
      </c>
      <c r="R909" t="s">
        <v>47</v>
      </c>
      <c r="S909" t="s">
        <v>47</v>
      </c>
      <c r="T909" t="s">
        <v>47</v>
      </c>
      <c r="U909" t="s">
        <v>47</v>
      </c>
      <c r="V909" t="s">
        <v>51</v>
      </c>
      <c r="W909" t="s">
        <v>47</v>
      </c>
      <c r="X909" t="s">
        <v>46</v>
      </c>
      <c r="Y909" t="s">
        <v>46</v>
      </c>
      <c r="Z909" t="s">
        <v>46</v>
      </c>
      <c r="AA909" t="s">
        <v>47</v>
      </c>
      <c r="AB909" t="s">
        <v>46</v>
      </c>
      <c r="AC909" t="s">
        <v>47</v>
      </c>
      <c r="AD909" t="s">
        <v>46</v>
      </c>
      <c r="AE909" t="s">
        <v>46</v>
      </c>
      <c r="AF909" t="s">
        <v>47</v>
      </c>
      <c r="AG909" t="s">
        <v>52</v>
      </c>
      <c r="AH909" t="s">
        <v>71</v>
      </c>
      <c r="AI909" t="s">
        <v>80</v>
      </c>
      <c r="AJ909">
        <v>6.8</v>
      </c>
      <c r="AK909" t="s">
        <v>46</v>
      </c>
      <c r="AL909" t="s">
        <v>156</v>
      </c>
      <c r="AM909" t="s">
        <v>77</v>
      </c>
      <c r="AN909">
        <v>26</v>
      </c>
      <c r="AO909" t="s">
        <v>47</v>
      </c>
    </row>
    <row r="910" spans="1:41">
      <c r="A910" t="s">
        <v>1062</v>
      </c>
      <c r="B910">
        <v>2020</v>
      </c>
      <c r="C910" s="1">
        <v>43874</v>
      </c>
      <c r="D910" t="s">
        <v>98</v>
      </c>
      <c r="E910" t="s">
        <v>263</v>
      </c>
      <c r="F910">
        <v>48</v>
      </c>
      <c r="G910" t="s">
        <v>44</v>
      </c>
      <c r="H910" t="s">
        <v>45</v>
      </c>
      <c r="I910">
        <v>33</v>
      </c>
      <c r="J910">
        <v>23</v>
      </c>
      <c r="K910" t="s">
        <v>47</v>
      </c>
      <c r="L910" t="s">
        <v>47</v>
      </c>
      <c r="M910" t="s">
        <v>47</v>
      </c>
      <c r="N910" t="s">
        <v>50</v>
      </c>
      <c r="O910" t="s">
        <v>48</v>
      </c>
      <c r="P910">
        <v>32</v>
      </c>
      <c r="Q910" t="s">
        <v>48</v>
      </c>
      <c r="R910" t="s">
        <v>47</v>
      </c>
      <c r="S910" t="s">
        <v>47</v>
      </c>
      <c r="T910" t="s">
        <v>47</v>
      </c>
      <c r="U910" t="s">
        <v>47</v>
      </c>
      <c r="V910" t="s">
        <v>51</v>
      </c>
      <c r="W910" t="s">
        <v>46</v>
      </c>
      <c r="X910" t="s">
        <v>46</v>
      </c>
      <c r="Y910" t="s">
        <v>46</v>
      </c>
      <c r="Z910" t="s">
        <v>47</v>
      </c>
      <c r="AA910" t="s">
        <v>46</v>
      </c>
      <c r="AB910" t="s">
        <v>46</v>
      </c>
      <c r="AC910" t="s">
        <v>46</v>
      </c>
      <c r="AD910" t="s">
        <v>47</v>
      </c>
      <c r="AE910" t="s">
        <v>47</v>
      </c>
      <c r="AF910" t="s">
        <v>47</v>
      </c>
      <c r="AG910" t="s">
        <v>52</v>
      </c>
      <c r="AH910" t="s">
        <v>53</v>
      </c>
      <c r="AI910" t="s">
        <v>87</v>
      </c>
      <c r="AJ910">
        <v>4.5999999999999996</v>
      </c>
      <c r="AK910" t="s">
        <v>47</v>
      </c>
      <c r="AL910" t="s">
        <v>55</v>
      </c>
      <c r="AM910" t="s">
        <v>67</v>
      </c>
      <c r="AN910">
        <v>21</v>
      </c>
      <c r="AO910" t="s">
        <v>47</v>
      </c>
    </row>
    <row r="911" spans="1:41">
      <c r="A911" t="s">
        <v>1063</v>
      </c>
      <c r="B911">
        <v>2020</v>
      </c>
      <c r="C911" s="1">
        <v>43895</v>
      </c>
      <c r="D911" t="s">
        <v>42</v>
      </c>
      <c r="E911" t="s">
        <v>210</v>
      </c>
      <c r="F911">
        <v>58</v>
      </c>
      <c r="G911" t="s">
        <v>60</v>
      </c>
      <c r="H911" t="s">
        <v>45</v>
      </c>
      <c r="I911">
        <v>16</v>
      </c>
      <c r="J911">
        <v>12</v>
      </c>
      <c r="K911" t="s">
        <v>47</v>
      </c>
      <c r="L911" t="s">
        <v>47</v>
      </c>
      <c r="M911" t="s">
        <v>47</v>
      </c>
      <c r="N911" t="s">
        <v>50</v>
      </c>
      <c r="O911" t="s">
        <v>48</v>
      </c>
      <c r="P911">
        <v>21.2</v>
      </c>
      <c r="Q911" t="s">
        <v>48</v>
      </c>
      <c r="R911" t="s">
        <v>46</v>
      </c>
      <c r="S911" t="s">
        <v>47</v>
      </c>
      <c r="T911" t="s">
        <v>47</v>
      </c>
      <c r="U911" t="s">
        <v>47</v>
      </c>
      <c r="V911" t="s">
        <v>51</v>
      </c>
      <c r="W911" t="s">
        <v>46</v>
      </c>
      <c r="X911" t="s">
        <v>46</v>
      </c>
      <c r="Y911" t="s">
        <v>46</v>
      </c>
      <c r="Z911" t="s">
        <v>47</v>
      </c>
      <c r="AA911" t="s">
        <v>46</v>
      </c>
      <c r="AB911" t="s">
        <v>46</v>
      </c>
      <c r="AC911" t="s">
        <v>46</v>
      </c>
      <c r="AD911" t="s">
        <v>47</v>
      </c>
      <c r="AE911" t="s">
        <v>47</v>
      </c>
      <c r="AF911" t="s">
        <v>47</v>
      </c>
      <c r="AG911" t="s">
        <v>52</v>
      </c>
      <c r="AH911" t="s">
        <v>53</v>
      </c>
      <c r="AI911" t="s">
        <v>65</v>
      </c>
      <c r="AJ911">
        <v>2.6</v>
      </c>
      <c r="AK911" t="s">
        <v>47</v>
      </c>
      <c r="AL911" t="s">
        <v>66</v>
      </c>
      <c r="AM911" t="s">
        <v>103</v>
      </c>
      <c r="AN911">
        <v>51</v>
      </c>
      <c r="AO911" t="s">
        <v>46</v>
      </c>
    </row>
    <row r="912" spans="1:41">
      <c r="A912" t="s">
        <v>1064</v>
      </c>
      <c r="B912">
        <v>2019</v>
      </c>
      <c r="C912" s="1">
        <v>43624</v>
      </c>
      <c r="D912" t="s">
        <v>84</v>
      </c>
      <c r="E912" t="s">
        <v>218</v>
      </c>
      <c r="F912">
        <v>68</v>
      </c>
      <c r="G912" t="s">
        <v>44</v>
      </c>
      <c r="H912" t="s">
        <v>70</v>
      </c>
      <c r="I912">
        <v>0</v>
      </c>
      <c r="J912">
        <v>0</v>
      </c>
      <c r="K912" t="s">
        <v>46</v>
      </c>
      <c r="L912" t="s">
        <v>47</v>
      </c>
      <c r="M912" t="s">
        <v>47</v>
      </c>
      <c r="N912" t="s">
        <v>62</v>
      </c>
      <c r="O912" t="s">
        <v>48</v>
      </c>
      <c r="P912">
        <v>24</v>
      </c>
      <c r="Q912" t="s">
        <v>48</v>
      </c>
      <c r="R912" t="s">
        <v>47</v>
      </c>
      <c r="S912" t="s">
        <v>47</v>
      </c>
      <c r="T912" t="s">
        <v>46</v>
      </c>
      <c r="U912" t="s">
        <v>47</v>
      </c>
      <c r="V912" t="s">
        <v>51</v>
      </c>
      <c r="W912" t="s">
        <v>46</v>
      </c>
      <c r="X912" t="s">
        <v>46</v>
      </c>
      <c r="Y912" t="s">
        <v>47</v>
      </c>
      <c r="Z912" t="s">
        <v>46</v>
      </c>
      <c r="AA912" t="s">
        <v>46</v>
      </c>
      <c r="AB912" t="s">
        <v>46</v>
      </c>
      <c r="AC912" t="s">
        <v>47</v>
      </c>
      <c r="AD912" t="s">
        <v>46</v>
      </c>
      <c r="AE912" t="s">
        <v>47</v>
      </c>
      <c r="AF912" t="s">
        <v>47</v>
      </c>
      <c r="AG912" t="s">
        <v>52</v>
      </c>
      <c r="AH912" t="s">
        <v>53</v>
      </c>
      <c r="AI912" t="s">
        <v>65</v>
      </c>
      <c r="AJ912">
        <v>2.8</v>
      </c>
      <c r="AK912" t="s">
        <v>47</v>
      </c>
      <c r="AL912" t="s">
        <v>76</v>
      </c>
      <c r="AM912" t="s">
        <v>73</v>
      </c>
      <c r="AN912">
        <v>78</v>
      </c>
      <c r="AO912" t="s">
        <v>46</v>
      </c>
    </row>
    <row r="913" spans="1:41">
      <c r="A913" t="s">
        <v>1065</v>
      </c>
      <c r="B913">
        <v>2024</v>
      </c>
      <c r="C913" s="1">
        <v>45425</v>
      </c>
      <c r="D913" t="s">
        <v>42</v>
      </c>
      <c r="E913" t="s">
        <v>160</v>
      </c>
      <c r="F913">
        <v>65</v>
      </c>
      <c r="G913" t="s">
        <v>44</v>
      </c>
      <c r="H913" t="s">
        <v>45</v>
      </c>
      <c r="I913">
        <v>22</v>
      </c>
      <c r="J913">
        <v>21</v>
      </c>
      <c r="K913" t="s">
        <v>47</v>
      </c>
      <c r="L913" t="s">
        <v>47</v>
      </c>
      <c r="M913" t="s">
        <v>46</v>
      </c>
      <c r="N913" t="s">
        <v>62</v>
      </c>
      <c r="O913" t="s">
        <v>48</v>
      </c>
      <c r="P913">
        <v>16.899999999999999</v>
      </c>
      <c r="Q913" t="s">
        <v>62</v>
      </c>
      <c r="R913" t="s">
        <v>46</v>
      </c>
      <c r="S913" t="s">
        <v>47</v>
      </c>
      <c r="T913" t="s">
        <v>47</v>
      </c>
      <c r="U913" t="s">
        <v>47</v>
      </c>
      <c r="V913" t="s">
        <v>51</v>
      </c>
      <c r="W913" t="s">
        <v>46</v>
      </c>
      <c r="X913" t="s">
        <v>46</v>
      </c>
      <c r="Y913" t="s">
        <v>47</v>
      </c>
      <c r="Z913" t="s">
        <v>47</v>
      </c>
      <c r="AA913" t="s">
        <v>46</v>
      </c>
      <c r="AB913" t="s">
        <v>46</v>
      </c>
      <c r="AC913" t="s">
        <v>46</v>
      </c>
      <c r="AD913" t="s">
        <v>47</v>
      </c>
      <c r="AE913" t="s">
        <v>46</v>
      </c>
      <c r="AF913" t="s">
        <v>47</v>
      </c>
      <c r="AG913" t="s">
        <v>52</v>
      </c>
      <c r="AH913" t="s">
        <v>71</v>
      </c>
      <c r="AI913" t="s">
        <v>54</v>
      </c>
      <c r="AJ913">
        <v>5.6</v>
      </c>
      <c r="AK913" t="s">
        <v>46</v>
      </c>
      <c r="AL913" t="s">
        <v>100</v>
      </c>
      <c r="AM913" t="s">
        <v>82</v>
      </c>
      <c r="AN913">
        <v>6</v>
      </c>
      <c r="AO913" t="s">
        <v>47</v>
      </c>
    </row>
    <row r="914" spans="1:41">
      <c r="A914" t="s">
        <v>1066</v>
      </c>
      <c r="B914">
        <v>2024</v>
      </c>
      <c r="C914" s="1">
        <v>45529</v>
      </c>
      <c r="D914" t="s">
        <v>42</v>
      </c>
      <c r="E914" t="s">
        <v>247</v>
      </c>
      <c r="F914">
        <v>57</v>
      </c>
      <c r="G914" t="s">
        <v>60</v>
      </c>
      <c r="H914" t="s">
        <v>70</v>
      </c>
      <c r="I914">
        <v>0</v>
      </c>
      <c r="J914">
        <v>0</v>
      </c>
      <c r="K914" t="s">
        <v>47</v>
      </c>
      <c r="L914" t="s">
        <v>47</v>
      </c>
      <c r="M914" t="s">
        <v>47</v>
      </c>
      <c r="N914" t="s">
        <v>48</v>
      </c>
      <c r="O914" t="s">
        <v>49</v>
      </c>
      <c r="P914">
        <v>25.1</v>
      </c>
      <c r="Q914" t="s">
        <v>50</v>
      </c>
      <c r="R914" t="s">
        <v>47</v>
      </c>
      <c r="S914" t="s">
        <v>47</v>
      </c>
      <c r="T914" t="s">
        <v>46</v>
      </c>
      <c r="U914" t="s">
        <v>47</v>
      </c>
      <c r="V914" t="s">
        <v>117</v>
      </c>
      <c r="W914" t="s">
        <v>47</v>
      </c>
      <c r="X914" t="s">
        <v>46</v>
      </c>
      <c r="Y914" t="s">
        <v>47</v>
      </c>
      <c r="Z914" t="s">
        <v>47</v>
      </c>
      <c r="AA914" t="s">
        <v>46</v>
      </c>
      <c r="AB914" t="s">
        <v>46</v>
      </c>
      <c r="AC914" t="s">
        <v>47</v>
      </c>
      <c r="AD914" t="s">
        <v>46</v>
      </c>
      <c r="AE914" t="s">
        <v>47</v>
      </c>
      <c r="AF914" t="s">
        <v>47</v>
      </c>
      <c r="AG914" t="s">
        <v>52</v>
      </c>
      <c r="AH914" t="s">
        <v>90</v>
      </c>
      <c r="AI914" t="s">
        <v>65</v>
      </c>
      <c r="AJ914">
        <v>1.1000000000000001</v>
      </c>
      <c r="AK914" t="s">
        <v>47</v>
      </c>
      <c r="AL914" t="s">
        <v>76</v>
      </c>
      <c r="AM914" t="s">
        <v>73</v>
      </c>
      <c r="AN914">
        <v>42</v>
      </c>
      <c r="AO914" t="s">
        <v>46</v>
      </c>
    </row>
    <row r="915" spans="1:41">
      <c r="A915" t="s">
        <v>1067</v>
      </c>
      <c r="B915">
        <v>2024</v>
      </c>
      <c r="C915" s="1">
        <v>45453</v>
      </c>
      <c r="D915" t="s">
        <v>58</v>
      </c>
      <c r="E915" t="s">
        <v>163</v>
      </c>
      <c r="F915">
        <v>73</v>
      </c>
      <c r="G915" t="s">
        <v>60</v>
      </c>
      <c r="H915" t="s">
        <v>45</v>
      </c>
      <c r="I915">
        <v>44</v>
      </c>
      <c r="J915">
        <v>29</v>
      </c>
      <c r="K915" t="s">
        <v>46</v>
      </c>
      <c r="L915" t="s">
        <v>47</v>
      </c>
      <c r="M915" t="s">
        <v>47</v>
      </c>
      <c r="N915" t="s">
        <v>48</v>
      </c>
      <c r="O915" t="s">
        <v>49</v>
      </c>
      <c r="P915">
        <v>30.1</v>
      </c>
      <c r="Q915" t="s">
        <v>50</v>
      </c>
      <c r="R915" t="s">
        <v>47</v>
      </c>
      <c r="S915" t="s">
        <v>47</v>
      </c>
      <c r="T915" t="s">
        <v>47</v>
      </c>
      <c r="U915" t="s">
        <v>47</v>
      </c>
      <c r="V915" t="s">
        <v>151</v>
      </c>
      <c r="W915" t="s">
        <v>46</v>
      </c>
      <c r="X915" t="s">
        <v>47</v>
      </c>
      <c r="Y915" t="s">
        <v>47</v>
      </c>
      <c r="Z915" t="s">
        <v>46</v>
      </c>
      <c r="AA915" t="s">
        <v>46</v>
      </c>
      <c r="AB915" t="s">
        <v>47</v>
      </c>
      <c r="AC915" t="s">
        <v>47</v>
      </c>
      <c r="AD915" t="s">
        <v>47</v>
      </c>
      <c r="AE915" t="s">
        <v>47</v>
      </c>
      <c r="AF915" t="s">
        <v>47</v>
      </c>
      <c r="AG915" t="s">
        <v>52</v>
      </c>
      <c r="AH915" t="s">
        <v>71</v>
      </c>
      <c r="AI915" t="s">
        <v>80</v>
      </c>
      <c r="AJ915">
        <v>8.6999999999999993</v>
      </c>
      <c r="AK915" t="s">
        <v>47</v>
      </c>
      <c r="AL915" t="s">
        <v>81</v>
      </c>
      <c r="AM915" t="s">
        <v>77</v>
      </c>
      <c r="AN915">
        <v>28</v>
      </c>
      <c r="AO915" t="s">
        <v>47</v>
      </c>
    </row>
    <row r="916" spans="1:41">
      <c r="A916" t="s">
        <v>1068</v>
      </c>
      <c r="B916">
        <v>2025</v>
      </c>
      <c r="C916" s="1">
        <v>46010</v>
      </c>
      <c r="D916" t="s">
        <v>42</v>
      </c>
      <c r="E916" t="s">
        <v>43</v>
      </c>
      <c r="F916">
        <v>66</v>
      </c>
      <c r="G916" t="s">
        <v>60</v>
      </c>
      <c r="H916" t="s">
        <v>70</v>
      </c>
      <c r="I916">
        <v>0</v>
      </c>
      <c r="J916">
        <v>0</v>
      </c>
      <c r="K916" t="s">
        <v>46</v>
      </c>
      <c r="L916" t="s">
        <v>47</v>
      </c>
      <c r="M916" t="s">
        <v>46</v>
      </c>
      <c r="N916" t="s">
        <v>50</v>
      </c>
      <c r="O916" t="s">
        <v>48</v>
      </c>
      <c r="P916">
        <v>22.7</v>
      </c>
      <c r="Q916" t="s">
        <v>48</v>
      </c>
      <c r="R916" t="s">
        <v>47</v>
      </c>
      <c r="S916" t="s">
        <v>47</v>
      </c>
      <c r="T916" t="s">
        <v>47</v>
      </c>
      <c r="U916" t="s">
        <v>47</v>
      </c>
      <c r="V916" t="s">
        <v>51</v>
      </c>
      <c r="W916" t="s">
        <v>47</v>
      </c>
      <c r="X916" t="s">
        <v>46</v>
      </c>
      <c r="Y916" t="s">
        <v>47</v>
      </c>
      <c r="Z916" t="s">
        <v>47</v>
      </c>
      <c r="AA916" t="s">
        <v>47</v>
      </c>
      <c r="AB916" t="s">
        <v>47</v>
      </c>
      <c r="AC916" t="s">
        <v>47</v>
      </c>
      <c r="AD916" t="s">
        <v>46</v>
      </c>
      <c r="AE916" t="s">
        <v>47</v>
      </c>
      <c r="AF916" t="s">
        <v>47</v>
      </c>
      <c r="AG916" t="s">
        <v>52</v>
      </c>
      <c r="AH916" t="s">
        <v>53</v>
      </c>
      <c r="AI916" t="s">
        <v>80</v>
      </c>
      <c r="AJ916">
        <v>5.3</v>
      </c>
      <c r="AK916" t="s">
        <v>46</v>
      </c>
      <c r="AL916" t="s">
        <v>76</v>
      </c>
      <c r="AM916" t="s">
        <v>82</v>
      </c>
      <c r="AN916">
        <v>17</v>
      </c>
      <c r="AO916" t="s">
        <v>47</v>
      </c>
    </row>
    <row r="917" spans="1:41">
      <c r="A917" t="s">
        <v>1069</v>
      </c>
      <c r="B917">
        <v>2018</v>
      </c>
      <c r="C917" s="1">
        <v>43241</v>
      </c>
      <c r="D917" t="s">
        <v>42</v>
      </c>
      <c r="E917" t="s">
        <v>136</v>
      </c>
      <c r="F917">
        <v>43</v>
      </c>
      <c r="G917" t="s">
        <v>44</v>
      </c>
      <c r="H917" t="s">
        <v>70</v>
      </c>
      <c r="I917">
        <v>0</v>
      </c>
      <c r="J917">
        <v>0</v>
      </c>
      <c r="K917" t="s">
        <v>47</v>
      </c>
      <c r="L917" t="s">
        <v>46</v>
      </c>
      <c r="M917" t="s">
        <v>47</v>
      </c>
      <c r="N917" t="s">
        <v>48</v>
      </c>
      <c r="O917" t="s">
        <v>48</v>
      </c>
      <c r="P917">
        <v>26.5</v>
      </c>
      <c r="Q917" t="s">
        <v>50</v>
      </c>
      <c r="R917" t="s">
        <v>47</v>
      </c>
      <c r="S917" t="s">
        <v>47</v>
      </c>
      <c r="T917" t="s">
        <v>47</v>
      </c>
      <c r="U917" t="s">
        <v>47</v>
      </c>
      <c r="V917" t="s">
        <v>51</v>
      </c>
      <c r="W917" t="s">
        <v>47</v>
      </c>
      <c r="X917" t="s">
        <v>46</v>
      </c>
      <c r="Y917" t="s">
        <v>47</v>
      </c>
      <c r="Z917" t="s">
        <v>47</v>
      </c>
      <c r="AA917" t="s">
        <v>46</v>
      </c>
      <c r="AB917" t="s">
        <v>47</v>
      </c>
      <c r="AC917" t="s">
        <v>47</v>
      </c>
      <c r="AD917" t="s">
        <v>47</v>
      </c>
      <c r="AE917" t="s">
        <v>47</v>
      </c>
      <c r="AF917" t="s">
        <v>47</v>
      </c>
      <c r="AG917" t="s">
        <v>52</v>
      </c>
      <c r="AH917" t="s">
        <v>53</v>
      </c>
      <c r="AI917" t="s">
        <v>65</v>
      </c>
      <c r="AJ917">
        <v>1.7</v>
      </c>
      <c r="AK917" t="s">
        <v>47</v>
      </c>
      <c r="AL917" t="s">
        <v>76</v>
      </c>
      <c r="AM917" t="s">
        <v>103</v>
      </c>
      <c r="AN917">
        <v>79</v>
      </c>
      <c r="AO917" t="s">
        <v>47</v>
      </c>
    </row>
    <row r="918" spans="1:41">
      <c r="A918" t="s">
        <v>1070</v>
      </c>
      <c r="B918">
        <v>2021</v>
      </c>
      <c r="C918" s="1">
        <v>44538</v>
      </c>
      <c r="D918" t="s">
        <v>42</v>
      </c>
      <c r="E918" t="s">
        <v>43</v>
      </c>
      <c r="F918">
        <v>57</v>
      </c>
      <c r="G918" t="s">
        <v>60</v>
      </c>
      <c r="H918" t="s">
        <v>70</v>
      </c>
      <c r="I918">
        <v>0</v>
      </c>
      <c r="J918">
        <v>0</v>
      </c>
      <c r="K918" t="s">
        <v>46</v>
      </c>
      <c r="L918" t="s">
        <v>47</v>
      </c>
      <c r="M918" t="s">
        <v>47</v>
      </c>
      <c r="N918" t="s">
        <v>48</v>
      </c>
      <c r="O918" t="s">
        <v>49</v>
      </c>
      <c r="P918">
        <v>32.799999999999997</v>
      </c>
      <c r="Q918" t="s">
        <v>62</v>
      </c>
      <c r="R918" t="s">
        <v>47</v>
      </c>
      <c r="S918" t="s">
        <v>47</v>
      </c>
      <c r="T918" t="s">
        <v>47</v>
      </c>
      <c r="U918" t="s">
        <v>47</v>
      </c>
      <c r="V918" t="s">
        <v>51</v>
      </c>
      <c r="W918" t="s">
        <v>46</v>
      </c>
      <c r="X918" t="s">
        <v>47</v>
      </c>
      <c r="Y918" t="s">
        <v>47</v>
      </c>
      <c r="Z918" t="s">
        <v>47</v>
      </c>
      <c r="AA918" t="s">
        <v>46</v>
      </c>
      <c r="AB918" t="s">
        <v>47</v>
      </c>
      <c r="AC918" t="s">
        <v>47</v>
      </c>
      <c r="AD918" t="s">
        <v>46</v>
      </c>
      <c r="AE918" t="s">
        <v>47</v>
      </c>
      <c r="AF918" t="s">
        <v>47</v>
      </c>
      <c r="AG918" t="s">
        <v>52</v>
      </c>
      <c r="AH918" t="s">
        <v>71</v>
      </c>
      <c r="AI918" t="s">
        <v>65</v>
      </c>
      <c r="AJ918">
        <v>1.2</v>
      </c>
      <c r="AK918" t="s">
        <v>47</v>
      </c>
      <c r="AL918" t="s">
        <v>72</v>
      </c>
      <c r="AM918" t="s">
        <v>73</v>
      </c>
      <c r="AN918">
        <v>37</v>
      </c>
      <c r="AO918" t="s">
        <v>46</v>
      </c>
    </row>
    <row r="919" spans="1:41">
      <c r="A919" t="s">
        <v>1071</v>
      </c>
      <c r="B919">
        <v>2020</v>
      </c>
      <c r="C919" s="1">
        <v>44139</v>
      </c>
      <c r="D919" t="s">
        <v>42</v>
      </c>
      <c r="E919" t="s">
        <v>210</v>
      </c>
      <c r="F919">
        <v>65</v>
      </c>
      <c r="G919" t="s">
        <v>44</v>
      </c>
      <c r="H919" t="s">
        <v>70</v>
      </c>
      <c r="I919">
        <v>0</v>
      </c>
      <c r="J919">
        <v>0</v>
      </c>
      <c r="K919" t="s">
        <v>47</v>
      </c>
      <c r="L919" t="s">
        <v>47</v>
      </c>
      <c r="M919" t="s">
        <v>47</v>
      </c>
      <c r="N919" t="s">
        <v>48</v>
      </c>
      <c r="O919" t="s">
        <v>48</v>
      </c>
      <c r="P919">
        <v>31.6</v>
      </c>
      <c r="Q919" t="s">
        <v>62</v>
      </c>
      <c r="R919" t="s">
        <v>47</v>
      </c>
      <c r="S919" t="s">
        <v>47</v>
      </c>
      <c r="T919" t="s">
        <v>46</v>
      </c>
      <c r="U919" t="s">
        <v>47</v>
      </c>
      <c r="V919" t="s">
        <v>51</v>
      </c>
      <c r="W919" t="s">
        <v>47</v>
      </c>
      <c r="X919" t="s">
        <v>47</v>
      </c>
      <c r="Y919" t="s">
        <v>47</v>
      </c>
      <c r="Z919" t="s">
        <v>47</v>
      </c>
      <c r="AA919" t="s">
        <v>46</v>
      </c>
      <c r="AB919" t="s">
        <v>47</v>
      </c>
      <c r="AC919" t="s">
        <v>47</v>
      </c>
      <c r="AD919" t="s">
        <v>46</v>
      </c>
      <c r="AE919" t="s">
        <v>47</v>
      </c>
      <c r="AF919" t="s">
        <v>47</v>
      </c>
      <c r="AG919" t="s">
        <v>52</v>
      </c>
      <c r="AH919" t="s">
        <v>53</v>
      </c>
      <c r="AI919" t="s">
        <v>87</v>
      </c>
      <c r="AJ919">
        <v>3.7</v>
      </c>
      <c r="AK919" t="s">
        <v>47</v>
      </c>
      <c r="AL919" t="s">
        <v>76</v>
      </c>
      <c r="AM919" t="s">
        <v>67</v>
      </c>
      <c r="AN919">
        <v>31</v>
      </c>
      <c r="AO919" t="s">
        <v>47</v>
      </c>
    </row>
    <row r="920" spans="1:41">
      <c r="A920" t="s">
        <v>1072</v>
      </c>
      <c r="B920">
        <v>2023</v>
      </c>
      <c r="C920" s="1">
        <v>45052</v>
      </c>
      <c r="D920" t="s">
        <v>95</v>
      </c>
      <c r="E920" t="s">
        <v>145</v>
      </c>
      <c r="F920">
        <v>67</v>
      </c>
      <c r="G920" t="s">
        <v>44</v>
      </c>
      <c r="H920" t="s">
        <v>70</v>
      </c>
      <c r="I920">
        <v>0</v>
      </c>
      <c r="J920">
        <v>0</v>
      </c>
      <c r="K920" t="s">
        <v>46</v>
      </c>
      <c r="L920" t="s">
        <v>46</v>
      </c>
      <c r="M920" t="s">
        <v>47</v>
      </c>
      <c r="N920" t="s">
        <v>50</v>
      </c>
      <c r="O920" t="s">
        <v>49</v>
      </c>
      <c r="P920">
        <v>25.4</v>
      </c>
      <c r="Q920" t="s">
        <v>48</v>
      </c>
      <c r="R920" t="s">
        <v>47</v>
      </c>
      <c r="S920" t="s">
        <v>47</v>
      </c>
      <c r="T920" t="s">
        <v>47</v>
      </c>
      <c r="U920" t="s">
        <v>47</v>
      </c>
      <c r="V920" t="s">
        <v>117</v>
      </c>
      <c r="W920" t="s">
        <v>47</v>
      </c>
      <c r="X920" t="s">
        <v>47</v>
      </c>
      <c r="Y920" t="s">
        <v>47</v>
      </c>
      <c r="Z920" t="s">
        <v>47</v>
      </c>
      <c r="AA920" t="s">
        <v>46</v>
      </c>
      <c r="AB920" t="s">
        <v>47</v>
      </c>
      <c r="AC920" t="s">
        <v>47</v>
      </c>
      <c r="AD920" t="s">
        <v>47</v>
      </c>
      <c r="AE920" t="s">
        <v>47</v>
      </c>
      <c r="AF920" t="s">
        <v>47</v>
      </c>
      <c r="AG920" t="s">
        <v>52</v>
      </c>
      <c r="AH920" t="s">
        <v>90</v>
      </c>
      <c r="AI920" t="s">
        <v>87</v>
      </c>
      <c r="AJ920">
        <v>5.6</v>
      </c>
      <c r="AK920" t="s">
        <v>47</v>
      </c>
      <c r="AL920" t="s">
        <v>76</v>
      </c>
      <c r="AM920" t="s">
        <v>73</v>
      </c>
      <c r="AN920">
        <v>6</v>
      </c>
      <c r="AO920" t="s">
        <v>46</v>
      </c>
    </row>
    <row r="921" spans="1:41">
      <c r="A921" t="s">
        <v>1073</v>
      </c>
      <c r="B921">
        <v>2023</v>
      </c>
      <c r="C921" s="1">
        <v>45247</v>
      </c>
      <c r="D921" t="s">
        <v>42</v>
      </c>
      <c r="E921" t="s">
        <v>247</v>
      </c>
      <c r="F921">
        <v>66</v>
      </c>
      <c r="G921" t="s">
        <v>44</v>
      </c>
      <c r="H921" t="s">
        <v>70</v>
      </c>
      <c r="I921">
        <v>0</v>
      </c>
      <c r="J921">
        <v>0</v>
      </c>
      <c r="K921" t="s">
        <v>47</v>
      </c>
      <c r="L921" t="s">
        <v>46</v>
      </c>
      <c r="M921" t="s">
        <v>47</v>
      </c>
      <c r="N921" t="s">
        <v>62</v>
      </c>
      <c r="O921" t="s">
        <v>63</v>
      </c>
      <c r="P921">
        <v>28.4</v>
      </c>
      <c r="Q921" t="s">
        <v>48</v>
      </c>
      <c r="R921" t="s">
        <v>47</v>
      </c>
      <c r="S921" t="s">
        <v>47</v>
      </c>
      <c r="T921" t="s">
        <v>47</v>
      </c>
      <c r="U921" t="s">
        <v>47</v>
      </c>
      <c r="V921" t="s">
        <v>117</v>
      </c>
      <c r="W921" t="s">
        <v>47</v>
      </c>
      <c r="X921" t="s">
        <v>46</v>
      </c>
      <c r="Y921" t="s">
        <v>46</v>
      </c>
      <c r="Z921" t="s">
        <v>47</v>
      </c>
      <c r="AA921" t="s">
        <v>46</v>
      </c>
      <c r="AB921" t="s">
        <v>46</v>
      </c>
      <c r="AC921" t="s">
        <v>47</v>
      </c>
      <c r="AD921" t="s">
        <v>47</v>
      </c>
      <c r="AE921" t="s">
        <v>47</v>
      </c>
      <c r="AF921" t="s">
        <v>47</v>
      </c>
      <c r="AG921" t="s">
        <v>52</v>
      </c>
      <c r="AH921" t="s">
        <v>53</v>
      </c>
      <c r="AI921" t="s">
        <v>80</v>
      </c>
      <c r="AJ921">
        <v>4.8</v>
      </c>
      <c r="AK921" t="s">
        <v>47</v>
      </c>
      <c r="AL921" t="s">
        <v>76</v>
      </c>
      <c r="AM921" t="s">
        <v>56</v>
      </c>
      <c r="AN921">
        <v>12</v>
      </c>
      <c r="AO921" t="s">
        <v>47</v>
      </c>
    </row>
    <row r="922" spans="1:41">
      <c r="A922" t="s">
        <v>1074</v>
      </c>
      <c r="B922">
        <v>2023</v>
      </c>
      <c r="C922" s="1">
        <v>45264</v>
      </c>
      <c r="D922" t="s">
        <v>84</v>
      </c>
      <c r="E922" t="s">
        <v>184</v>
      </c>
      <c r="F922">
        <v>58</v>
      </c>
      <c r="G922" t="s">
        <v>44</v>
      </c>
      <c r="H922" t="s">
        <v>70</v>
      </c>
      <c r="I922">
        <v>0</v>
      </c>
      <c r="J922">
        <v>0</v>
      </c>
      <c r="K922" t="s">
        <v>46</v>
      </c>
      <c r="L922" t="s">
        <v>47</v>
      </c>
      <c r="M922" t="s">
        <v>47</v>
      </c>
      <c r="N922" t="s">
        <v>50</v>
      </c>
      <c r="O922" t="s">
        <v>49</v>
      </c>
      <c r="P922">
        <v>32.4</v>
      </c>
      <c r="Q922" t="s">
        <v>48</v>
      </c>
      <c r="R922" t="s">
        <v>47</v>
      </c>
      <c r="S922" t="s">
        <v>47</v>
      </c>
      <c r="T922" t="s">
        <v>47</v>
      </c>
      <c r="U922" t="s">
        <v>47</v>
      </c>
      <c r="V922" t="s">
        <v>86</v>
      </c>
      <c r="W922" t="s">
        <v>46</v>
      </c>
      <c r="X922" t="s">
        <v>46</v>
      </c>
      <c r="Y922" t="s">
        <v>46</v>
      </c>
      <c r="Z922" t="s">
        <v>47</v>
      </c>
      <c r="AA922" t="s">
        <v>46</v>
      </c>
      <c r="AB922" t="s">
        <v>47</v>
      </c>
      <c r="AC922" t="s">
        <v>47</v>
      </c>
      <c r="AD922" t="s">
        <v>46</v>
      </c>
      <c r="AE922" t="s">
        <v>46</v>
      </c>
      <c r="AF922" t="s">
        <v>47</v>
      </c>
      <c r="AG922" t="s">
        <v>52</v>
      </c>
      <c r="AH922" t="s">
        <v>90</v>
      </c>
      <c r="AI922" t="s">
        <v>65</v>
      </c>
      <c r="AJ922">
        <v>2.8</v>
      </c>
      <c r="AK922" t="s">
        <v>47</v>
      </c>
      <c r="AL922" t="s">
        <v>76</v>
      </c>
      <c r="AM922" t="s">
        <v>67</v>
      </c>
      <c r="AN922">
        <v>39</v>
      </c>
      <c r="AO922" t="s">
        <v>46</v>
      </c>
    </row>
    <row r="923" spans="1:41">
      <c r="A923" t="s">
        <v>1075</v>
      </c>
      <c r="B923">
        <v>2017</v>
      </c>
      <c r="C923" s="1">
        <v>42906</v>
      </c>
      <c r="D923" t="s">
        <v>42</v>
      </c>
      <c r="E923" t="s">
        <v>160</v>
      </c>
      <c r="F923">
        <v>54</v>
      </c>
      <c r="G923" t="s">
        <v>44</v>
      </c>
      <c r="H923" t="s">
        <v>45</v>
      </c>
      <c r="I923">
        <v>35</v>
      </c>
      <c r="J923">
        <v>22</v>
      </c>
      <c r="K923" t="s">
        <v>47</v>
      </c>
      <c r="L923" t="s">
        <v>47</v>
      </c>
      <c r="M923" t="s">
        <v>47</v>
      </c>
      <c r="N923" t="s">
        <v>62</v>
      </c>
      <c r="O923" t="s">
        <v>49</v>
      </c>
      <c r="P923">
        <v>19.8</v>
      </c>
      <c r="Q923" t="s">
        <v>48</v>
      </c>
      <c r="R923" t="s">
        <v>47</v>
      </c>
      <c r="S923" t="s">
        <v>47</v>
      </c>
      <c r="T923" t="s">
        <v>47</v>
      </c>
      <c r="U923" t="s">
        <v>47</v>
      </c>
      <c r="V923" t="s">
        <v>151</v>
      </c>
      <c r="W923" t="s">
        <v>46</v>
      </c>
      <c r="X923" t="s">
        <v>46</v>
      </c>
      <c r="Y923" t="s">
        <v>47</v>
      </c>
      <c r="Z923" t="s">
        <v>46</v>
      </c>
      <c r="AA923" t="s">
        <v>46</v>
      </c>
      <c r="AB923" t="s">
        <v>47</v>
      </c>
      <c r="AC923" t="s">
        <v>47</v>
      </c>
      <c r="AD923" t="s">
        <v>47</v>
      </c>
      <c r="AE923" t="s">
        <v>46</v>
      </c>
      <c r="AF923" t="s">
        <v>47</v>
      </c>
      <c r="AG923" t="s">
        <v>52</v>
      </c>
      <c r="AH923" t="s">
        <v>53</v>
      </c>
      <c r="AI923" t="s">
        <v>80</v>
      </c>
      <c r="AJ923">
        <v>7.4</v>
      </c>
      <c r="AK923" t="s">
        <v>47</v>
      </c>
      <c r="AL923" t="s">
        <v>72</v>
      </c>
      <c r="AM923" t="s">
        <v>56</v>
      </c>
      <c r="AN923">
        <v>37</v>
      </c>
      <c r="AO923" t="s">
        <v>47</v>
      </c>
    </row>
    <row r="924" spans="1:41">
      <c r="A924" t="s">
        <v>1076</v>
      </c>
      <c r="B924">
        <v>2019</v>
      </c>
      <c r="C924" s="1">
        <v>43560</v>
      </c>
      <c r="D924" t="s">
        <v>42</v>
      </c>
      <c r="E924" t="s">
        <v>210</v>
      </c>
      <c r="F924">
        <v>84</v>
      </c>
      <c r="G924" t="s">
        <v>60</v>
      </c>
      <c r="H924" t="s">
        <v>45</v>
      </c>
      <c r="I924">
        <v>28</v>
      </c>
      <c r="J924">
        <v>38</v>
      </c>
      <c r="K924" t="s">
        <v>47</v>
      </c>
      <c r="L924" t="s">
        <v>47</v>
      </c>
      <c r="M924" t="s">
        <v>47</v>
      </c>
      <c r="N924" t="s">
        <v>48</v>
      </c>
      <c r="O924" t="s">
        <v>63</v>
      </c>
      <c r="P924">
        <v>32.6</v>
      </c>
      <c r="Q924" t="s">
        <v>50</v>
      </c>
      <c r="R924" t="s">
        <v>47</v>
      </c>
      <c r="S924" t="s">
        <v>47</v>
      </c>
      <c r="T924" t="s">
        <v>46</v>
      </c>
      <c r="U924" t="s">
        <v>47</v>
      </c>
      <c r="V924" t="s">
        <v>64</v>
      </c>
      <c r="W924" t="s">
        <v>46</v>
      </c>
      <c r="X924" t="s">
        <v>46</v>
      </c>
      <c r="Y924" t="s">
        <v>46</v>
      </c>
      <c r="Z924" t="s">
        <v>47</v>
      </c>
      <c r="AA924" t="s">
        <v>46</v>
      </c>
      <c r="AB924" t="s">
        <v>46</v>
      </c>
      <c r="AC924" t="s">
        <v>46</v>
      </c>
      <c r="AD924" t="s">
        <v>47</v>
      </c>
      <c r="AE924" t="s">
        <v>46</v>
      </c>
      <c r="AF924" t="s">
        <v>47</v>
      </c>
      <c r="AG924" t="s">
        <v>52</v>
      </c>
      <c r="AH924" t="s">
        <v>71</v>
      </c>
      <c r="AI924" t="s">
        <v>87</v>
      </c>
      <c r="AJ924">
        <v>4.9000000000000004</v>
      </c>
      <c r="AK924" t="s">
        <v>47</v>
      </c>
      <c r="AL924" t="s">
        <v>156</v>
      </c>
      <c r="AM924" t="s">
        <v>73</v>
      </c>
      <c r="AN924">
        <v>32</v>
      </c>
      <c r="AO924" t="s">
        <v>46</v>
      </c>
    </row>
    <row r="925" spans="1:41">
      <c r="A925" t="s">
        <v>1077</v>
      </c>
      <c r="B925">
        <v>2021</v>
      </c>
      <c r="C925" s="1">
        <v>44270</v>
      </c>
      <c r="D925" t="s">
        <v>58</v>
      </c>
      <c r="E925" t="s">
        <v>163</v>
      </c>
      <c r="F925">
        <v>89</v>
      </c>
      <c r="G925" t="s">
        <v>60</v>
      </c>
      <c r="H925" t="s">
        <v>70</v>
      </c>
      <c r="I925">
        <v>0</v>
      </c>
      <c r="J925">
        <v>0</v>
      </c>
      <c r="K925" t="s">
        <v>46</v>
      </c>
      <c r="L925" t="s">
        <v>47</v>
      </c>
      <c r="M925" t="s">
        <v>46</v>
      </c>
      <c r="N925" t="s">
        <v>50</v>
      </c>
      <c r="O925" t="s">
        <v>48</v>
      </c>
      <c r="P925">
        <v>22.2</v>
      </c>
      <c r="Q925" t="s">
        <v>62</v>
      </c>
      <c r="R925" t="s">
        <v>47</v>
      </c>
      <c r="S925" t="s">
        <v>47</v>
      </c>
      <c r="T925" t="s">
        <v>47</v>
      </c>
      <c r="U925" t="s">
        <v>47</v>
      </c>
      <c r="V925" t="s">
        <v>112</v>
      </c>
      <c r="W925" t="s">
        <v>47</v>
      </c>
      <c r="X925" t="s">
        <v>47</v>
      </c>
      <c r="Y925" t="s">
        <v>47</v>
      </c>
      <c r="Z925" t="s">
        <v>47</v>
      </c>
      <c r="AA925" t="s">
        <v>47</v>
      </c>
      <c r="AB925" t="s">
        <v>46</v>
      </c>
      <c r="AC925" t="s">
        <v>47</v>
      </c>
      <c r="AD925" t="s">
        <v>47</v>
      </c>
      <c r="AE925" t="s">
        <v>47</v>
      </c>
      <c r="AF925" t="s">
        <v>47</v>
      </c>
      <c r="AG925" t="s">
        <v>52</v>
      </c>
      <c r="AH925" t="s">
        <v>53</v>
      </c>
      <c r="AI925" t="s">
        <v>54</v>
      </c>
      <c r="AJ925">
        <v>5.5</v>
      </c>
      <c r="AK925" t="s">
        <v>46</v>
      </c>
      <c r="AL925" t="s">
        <v>100</v>
      </c>
      <c r="AM925" t="s">
        <v>265</v>
      </c>
      <c r="AN925">
        <v>3</v>
      </c>
      <c r="AO925" t="s">
        <v>47</v>
      </c>
    </row>
    <row r="926" spans="1:41">
      <c r="A926" t="s">
        <v>1078</v>
      </c>
      <c r="B926">
        <v>2021</v>
      </c>
      <c r="C926" s="1">
        <v>44361</v>
      </c>
      <c r="D926" t="s">
        <v>110</v>
      </c>
      <c r="E926" t="s">
        <v>116</v>
      </c>
      <c r="F926">
        <v>71</v>
      </c>
      <c r="G926" t="s">
        <v>60</v>
      </c>
      <c r="H926" t="s">
        <v>70</v>
      </c>
      <c r="I926">
        <v>0</v>
      </c>
      <c r="J926">
        <v>0</v>
      </c>
      <c r="K926" t="s">
        <v>47</v>
      </c>
      <c r="L926" t="s">
        <v>47</v>
      </c>
      <c r="M926" t="s">
        <v>47</v>
      </c>
      <c r="N926" t="s">
        <v>62</v>
      </c>
      <c r="O926" t="s">
        <v>49</v>
      </c>
      <c r="P926">
        <v>27.6</v>
      </c>
      <c r="Q926" t="s">
        <v>50</v>
      </c>
      <c r="R926" t="s">
        <v>47</v>
      </c>
      <c r="S926" t="s">
        <v>47</v>
      </c>
      <c r="T926" t="s">
        <v>47</v>
      </c>
      <c r="U926" t="s">
        <v>47</v>
      </c>
      <c r="V926" t="s">
        <v>51</v>
      </c>
      <c r="W926" t="s">
        <v>46</v>
      </c>
      <c r="X926" t="s">
        <v>47</v>
      </c>
      <c r="Y926" t="s">
        <v>46</v>
      </c>
      <c r="Z926" t="s">
        <v>47</v>
      </c>
      <c r="AA926" t="s">
        <v>47</v>
      </c>
      <c r="AB926" t="s">
        <v>47</v>
      </c>
      <c r="AC926" t="s">
        <v>47</v>
      </c>
      <c r="AD926" t="s">
        <v>46</v>
      </c>
      <c r="AE926" t="s">
        <v>47</v>
      </c>
      <c r="AF926" t="s">
        <v>47</v>
      </c>
      <c r="AG926" t="s">
        <v>52</v>
      </c>
      <c r="AH926" t="s">
        <v>53</v>
      </c>
      <c r="AI926" t="s">
        <v>87</v>
      </c>
      <c r="AJ926">
        <v>6.3</v>
      </c>
      <c r="AK926" t="s">
        <v>47</v>
      </c>
      <c r="AL926" t="s">
        <v>76</v>
      </c>
      <c r="AM926" t="s">
        <v>73</v>
      </c>
      <c r="AN926">
        <v>45</v>
      </c>
      <c r="AO926" t="s">
        <v>47</v>
      </c>
    </row>
    <row r="927" spans="1:41">
      <c r="A927" t="s">
        <v>1079</v>
      </c>
      <c r="B927">
        <v>2025</v>
      </c>
      <c r="C927" s="1">
        <v>45894</v>
      </c>
      <c r="D927" t="s">
        <v>42</v>
      </c>
      <c r="E927" t="s">
        <v>75</v>
      </c>
      <c r="F927">
        <v>70</v>
      </c>
      <c r="G927" t="s">
        <v>60</v>
      </c>
      <c r="H927" t="s">
        <v>45</v>
      </c>
      <c r="I927">
        <v>5</v>
      </c>
      <c r="J927">
        <v>23</v>
      </c>
      <c r="K927" t="s">
        <v>46</v>
      </c>
      <c r="L927" t="s">
        <v>47</v>
      </c>
      <c r="M927" t="s">
        <v>47</v>
      </c>
      <c r="N927" t="s">
        <v>48</v>
      </c>
      <c r="O927" t="s">
        <v>63</v>
      </c>
      <c r="P927">
        <v>23.5</v>
      </c>
      <c r="Q927" t="s">
        <v>62</v>
      </c>
      <c r="R927" t="s">
        <v>47</v>
      </c>
      <c r="S927" t="s">
        <v>47</v>
      </c>
      <c r="T927" t="s">
        <v>46</v>
      </c>
      <c r="U927" t="s">
        <v>47</v>
      </c>
      <c r="V927" t="s">
        <v>64</v>
      </c>
      <c r="W927" t="s">
        <v>46</v>
      </c>
      <c r="X927" t="s">
        <v>47</v>
      </c>
      <c r="Y927" t="s">
        <v>47</v>
      </c>
      <c r="Z927" t="s">
        <v>47</v>
      </c>
      <c r="AA927" t="s">
        <v>47</v>
      </c>
      <c r="AB927" t="s">
        <v>47</v>
      </c>
      <c r="AC927" t="s">
        <v>47</v>
      </c>
      <c r="AD927" t="s">
        <v>47</v>
      </c>
      <c r="AE927" t="s">
        <v>47</v>
      </c>
      <c r="AF927" t="s">
        <v>47</v>
      </c>
      <c r="AG927" t="s">
        <v>52</v>
      </c>
      <c r="AH927" t="s">
        <v>71</v>
      </c>
      <c r="AI927" t="s">
        <v>80</v>
      </c>
      <c r="AJ927">
        <v>5.4</v>
      </c>
      <c r="AK927" t="s">
        <v>47</v>
      </c>
      <c r="AL927" t="s">
        <v>156</v>
      </c>
      <c r="AM927" t="s">
        <v>82</v>
      </c>
      <c r="AN927">
        <v>3</v>
      </c>
      <c r="AO927" t="s">
        <v>47</v>
      </c>
    </row>
    <row r="928" spans="1:41">
      <c r="A928" t="s">
        <v>1080</v>
      </c>
      <c r="B928">
        <v>2025</v>
      </c>
      <c r="C928" s="1">
        <v>45988</v>
      </c>
      <c r="D928" t="s">
        <v>84</v>
      </c>
      <c r="E928" t="s">
        <v>126</v>
      </c>
      <c r="F928">
        <v>63</v>
      </c>
      <c r="G928" t="s">
        <v>44</v>
      </c>
      <c r="H928" t="s">
        <v>61</v>
      </c>
      <c r="I928">
        <v>10</v>
      </c>
      <c r="J928">
        <v>10</v>
      </c>
      <c r="K928" t="s">
        <v>47</v>
      </c>
      <c r="L928" t="s">
        <v>47</v>
      </c>
      <c r="M928" t="s">
        <v>47</v>
      </c>
      <c r="N928" t="s">
        <v>62</v>
      </c>
      <c r="O928" t="s">
        <v>48</v>
      </c>
      <c r="P928">
        <v>26.1</v>
      </c>
      <c r="Q928" t="s">
        <v>50</v>
      </c>
      <c r="R928" t="s">
        <v>47</v>
      </c>
      <c r="S928" t="s">
        <v>47</v>
      </c>
      <c r="T928" t="s">
        <v>47</v>
      </c>
      <c r="U928" t="s">
        <v>47</v>
      </c>
      <c r="V928" t="s">
        <v>64</v>
      </c>
      <c r="W928" t="s">
        <v>46</v>
      </c>
      <c r="X928" t="s">
        <v>47</v>
      </c>
      <c r="Y928" t="s">
        <v>46</v>
      </c>
      <c r="Z928" t="s">
        <v>47</v>
      </c>
      <c r="AA928" t="s">
        <v>47</v>
      </c>
      <c r="AB928" t="s">
        <v>46</v>
      </c>
      <c r="AC928" t="s">
        <v>47</v>
      </c>
      <c r="AD928" t="s">
        <v>47</v>
      </c>
      <c r="AE928" t="s">
        <v>47</v>
      </c>
      <c r="AF928" t="s">
        <v>47</v>
      </c>
      <c r="AG928" t="s">
        <v>52</v>
      </c>
      <c r="AH928" t="s">
        <v>53</v>
      </c>
      <c r="AI928" t="s">
        <v>80</v>
      </c>
      <c r="AJ928">
        <v>3.7</v>
      </c>
      <c r="AK928" t="s">
        <v>47</v>
      </c>
      <c r="AL928" t="s">
        <v>81</v>
      </c>
      <c r="AM928" t="s">
        <v>56</v>
      </c>
      <c r="AN928">
        <v>25</v>
      </c>
      <c r="AO928" t="s">
        <v>47</v>
      </c>
    </row>
    <row r="929" spans="1:41">
      <c r="A929" t="s">
        <v>1081</v>
      </c>
      <c r="B929">
        <v>2025</v>
      </c>
      <c r="C929" s="1">
        <v>45769</v>
      </c>
      <c r="D929" t="s">
        <v>42</v>
      </c>
      <c r="E929" t="s">
        <v>154</v>
      </c>
      <c r="F929">
        <v>53</v>
      </c>
      <c r="G929" t="s">
        <v>44</v>
      </c>
      <c r="H929" t="s">
        <v>70</v>
      </c>
      <c r="I929">
        <v>0</v>
      </c>
      <c r="J929">
        <v>0</v>
      </c>
      <c r="K929" t="s">
        <v>47</v>
      </c>
      <c r="L929" t="s">
        <v>47</v>
      </c>
      <c r="M929" t="s">
        <v>46</v>
      </c>
      <c r="N929" t="s">
        <v>48</v>
      </c>
      <c r="O929" t="s">
        <v>48</v>
      </c>
      <c r="P929">
        <v>21</v>
      </c>
      <c r="Q929" t="s">
        <v>48</v>
      </c>
      <c r="R929" t="s">
        <v>47</v>
      </c>
      <c r="S929" t="s">
        <v>47</v>
      </c>
      <c r="T929" t="s">
        <v>47</v>
      </c>
      <c r="U929" t="s">
        <v>47</v>
      </c>
      <c r="V929" t="s">
        <v>117</v>
      </c>
      <c r="W929" t="s">
        <v>47</v>
      </c>
      <c r="X929" t="s">
        <v>46</v>
      </c>
      <c r="Y929" t="s">
        <v>47</v>
      </c>
      <c r="Z929" t="s">
        <v>47</v>
      </c>
      <c r="AA929" t="s">
        <v>47</v>
      </c>
      <c r="AB929" t="s">
        <v>47</v>
      </c>
      <c r="AC929" t="s">
        <v>47</v>
      </c>
      <c r="AD929" t="s">
        <v>47</v>
      </c>
      <c r="AE929" t="s">
        <v>47</v>
      </c>
      <c r="AF929" t="s">
        <v>47</v>
      </c>
      <c r="AG929" t="s">
        <v>52</v>
      </c>
      <c r="AH929" t="s">
        <v>90</v>
      </c>
      <c r="AI929" t="s">
        <v>87</v>
      </c>
      <c r="AJ929">
        <v>4.8</v>
      </c>
      <c r="AK929" t="s">
        <v>47</v>
      </c>
      <c r="AL929" t="s">
        <v>100</v>
      </c>
      <c r="AM929" t="s">
        <v>73</v>
      </c>
      <c r="AN929">
        <v>52</v>
      </c>
      <c r="AO929" t="s">
        <v>47</v>
      </c>
    </row>
    <row r="930" spans="1:41">
      <c r="A930" t="s">
        <v>1082</v>
      </c>
      <c r="B930">
        <v>2020</v>
      </c>
      <c r="C930" s="1">
        <v>43878</v>
      </c>
      <c r="D930" t="s">
        <v>42</v>
      </c>
      <c r="E930" t="s">
        <v>210</v>
      </c>
      <c r="F930">
        <v>70</v>
      </c>
      <c r="G930" t="s">
        <v>60</v>
      </c>
      <c r="H930" t="s">
        <v>45</v>
      </c>
      <c r="I930">
        <v>15</v>
      </c>
      <c r="J930">
        <v>18</v>
      </c>
      <c r="K930" t="s">
        <v>46</v>
      </c>
      <c r="L930" t="s">
        <v>47</v>
      </c>
      <c r="M930" t="s">
        <v>47</v>
      </c>
      <c r="N930" t="s">
        <v>48</v>
      </c>
      <c r="O930" t="s">
        <v>49</v>
      </c>
      <c r="P930">
        <v>23.4</v>
      </c>
      <c r="Q930" t="s">
        <v>62</v>
      </c>
      <c r="R930" t="s">
        <v>46</v>
      </c>
      <c r="S930" t="s">
        <v>47</v>
      </c>
      <c r="T930" t="s">
        <v>47</v>
      </c>
      <c r="U930" t="s">
        <v>47</v>
      </c>
      <c r="V930" t="s">
        <v>151</v>
      </c>
      <c r="W930" t="s">
        <v>46</v>
      </c>
      <c r="X930" t="s">
        <v>47</v>
      </c>
      <c r="Y930" t="s">
        <v>47</v>
      </c>
      <c r="Z930" t="s">
        <v>47</v>
      </c>
      <c r="AA930" t="s">
        <v>46</v>
      </c>
      <c r="AB930" t="s">
        <v>47</v>
      </c>
      <c r="AC930" t="s">
        <v>46</v>
      </c>
      <c r="AD930" t="s">
        <v>47</v>
      </c>
      <c r="AE930" t="s">
        <v>47</v>
      </c>
      <c r="AF930" t="s">
        <v>47</v>
      </c>
      <c r="AG930" t="s">
        <v>121</v>
      </c>
      <c r="AH930" t="s">
        <v>122</v>
      </c>
      <c r="AI930" t="s">
        <v>80</v>
      </c>
      <c r="AJ930">
        <v>5.0999999999999996</v>
      </c>
      <c r="AK930" t="s">
        <v>47</v>
      </c>
      <c r="AL930" t="s">
        <v>100</v>
      </c>
      <c r="AM930" t="s">
        <v>82</v>
      </c>
      <c r="AN930">
        <v>8</v>
      </c>
      <c r="AO930" t="s">
        <v>47</v>
      </c>
    </row>
    <row r="931" spans="1:41">
      <c r="A931" t="s">
        <v>1083</v>
      </c>
      <c r="B931">
        <v>2017</v>
      </c>
      <c r="C931" s="1">
        <v>43001</v>
      </c>
      <c r="D931" t="s">
        <v>95</v>
      </c>
      <c r="E931" t="s">
        <v>107</v>
      </c>
      <c r="F931">
        <v>76</v>
      </c>
      <c r="G931" t="s">
        <v>44</v>
      </c>
      <c r="H931" t="s">
        <v>45</v>
      </c>
      <c r="I931">
        <v>33</v>
      </c>
      <c r="J931">
        <v>16</v>
      </c>
      <c r="K931" t="s">
        <v>47</v>
      </c>
      <c r="L931" t="s">
        <v>46</v>
      </c>
      <c r="M931" t="s">
        <v>47</v>
      </c>
      <c r="N931" t="s">
        <v>62</v>
      </c>
      <c r="O931" t="s">
        <v>63</v>
      </c>
      <c r="P931">
        <v>25</v>
      </c>
      <c r="Q931" t="s">
        <v>62</v>
      </c>
      <c r="R931" t="s">
        <v>46</v>
      </c>
      <c r="S931" t="s">
        <v>47</v>
      </c>
      <c r="T931" t="s">
        <v>47</v>
      </c>
      <c r="U931" t="s">
        <v>47</v>
      </c>
      <c r="V931" t="s">
        <v>86</v>
      </c>
      <c r="W931" t="s">
        <v>46</v>
      </c>
      <c r="X931" t="s">
        <v>46</v>
      </c>
      <c r="Y931" t="s">
        <v>46</v>
      </c>
      <c r="Z931" t="s">
        <v>47</v>
      </c>
      <c r="AA931" t="s">
        <v>47</v>
      </c>
      <c r="AB931" t="s">
        <v>47</v>
      </c>
      <c r="AC931" t="s">
        <v>46</v>
      </c>
      <c r="AD931" t="s">
        <v>47</v>
      </c>
      <c r="AE931" t="s">
        <v>46</v>
      </c>
      <c r="AF931" t="s">
        <v>47</v>
      </c>
      <c r="AG931" t="s">
        <v>52</v>
      </c>
      <c r="AH931" t="s">
        <v>53</v>
      </c>
      <c r="AI931" t="s">
        <v>65</v>
      </c>
      <c r="AJ931">
        <v>2.7</v>
      </c>
      <c r="AK931" t="s">
        <v>47</v>
      </c>
      <c r="AL931" t="s">
        <v>76</v>
      </c>
      <c r="AM931" t="s">
        <v>82</v>
      </c>
      <c r="AN931">
        <v>58</v>
      </c>
      <c r="AO931" t="s">
        <v>46</v>
      </c>
    </row>
    <row r="932" spans="1:41">
      <c r="A932" t="s">
        <v>1084</v>
      </c>
      <c r="B932">
        <v>2020</v>
      </c>
      <c r="C932" s="1">
        <v>43880</v>
      </c>
      <c r="D932" t="s">
        <v>58</v>
      </c>
      <c r="E932" t="s">
        <v>169</v>
      </c>
      <c r="F932">
        <v>71</v>
      </c>
      <c r="G932" t="s">
        <v>60</v>
      </c>
      <c r="H932" t="s">
        <v>61</v>
      </c>
      <c r="I932">
        <v>29</v>
      </c>
      <c r="J932">
        <v>21</v>
      </c>
      <c r="K932" t="s">
        <v>47</v>
      </c>
      <c r="L932" t="s">
        <v>46</v>
      </c>
      <c r="M932" t="s">
        <v>47</v>
      </c>
      <c r="N932" t="s">
        <v>48</v>
      </c>
      <c r="O932" t="s">
        <v>49</v>
      </c>
      <c r="P932">
        <v>29.3</v>
      </c>
      <c r="Q932" t="s">
        <v>48</v>
      </c>
      <c r="R932" t="s">
        <v>47</v>
      </c>
      <c r="S932" t="s">
        <v>47</v>
      </c>
      <c r="T932" t="s">
        <v>47</v>
      </c>
      <c r="U932" t="s">
        <v>47</v>
      </c>
      <c r="V932" t="s">
        <v>51</v>
      </c>
      <c r="W932" t="s">
        <v>47</v>
      </c>
      <c r="X932" t="s">
        <v>46</v>
      </c>
      <c r="Y932" t="s">
        <v>46</v>
      </c>
      <c r="Z932" t="s">
        <v>47</v>
      </c>
      <c r="AA932" t="s">
        <v>46</v>
      </c>
      <c r="AB932" t="s">
        <v>46</v>
      </c>
      <c r="AC932" t="s">
        <v>47</v>
      </c>
      <c r="AD932" t="s">
        <v>46</v>
      </c>
      <c r="AE932" t="s">
        <v>47</v>
      </c>
      <c r="AF932" t="s">
        <v>47</v>
      </c>
      <c r="AG932" t="s">
        <v>52</v>
      </c>
      <c r="AH932" t="s">
        <v>71</v>
      </c>
      <c r="AI932" t="s">
        <v>54</v>
      </c>
      <c r="AJ932">
        <v>10.4</v>
      </c>
      <c r="AK932" t="s">
        <v>46</v>
      </c>
      <c r="AL932" t="s">
        <v>76</v>
      </c>
      <c r="AM932" t="s">
        <v>265</v>
      </c>
      <c r="AN932">
        <v>15</v>
      </c>
      <c r="AO932" t="s">
        <v>46</v>
      </c>
    </row>
    <row r="933" spans="1:41">
      <c r="A933" t="s">
        <v>1085</v>
      </c>
      <c r="B933">
        <v>2024</v>
      </c>
      <c r="C933" s="1">
        <v>45318</v>
      </c>
      <c r="D933" t="s">
        <v>95</v>
      </c>
      <c r="E933" t="s">
        <v>147</v>
      </c>
      <c r="F933">
        <v>59</v>
      </c>
      <c r="G933" t="s">
        <v>44</v>
      </c>
      <c r="H933" t="s">
        <v>61</v>
      </c>
      <c r="I933">
        <v>26</v>
      </c>
      <c r="J933">
        <v>13</v>
      </c>
      <c r="K933" t="s">
        <v>47</v>
      </c>
      <c r="L933" t="s">
        <v>46</v>
      </c>
      <c r="M933" t="s">
        <v>47</v>
      </c>
      <c r="N933" t="s">
        <v>50</v>
      </c>
      <c r="O933" t="s">
        <v>63</v>
      </c>
      <c r="P933">
        <v>25.8</v>
      </c>
      <c r="Q933" t="s">
        <v>48</v>
      </c>
      <c r="R933" t="s">
        <v>47</v>
      </c>
      <c r="S933" t="s">
        <v>47</v>
      </c>
      <c r="T933" t="s">
        <v>47</v>
      </c>
      <c r="U933" t="s">
        <v>47</v>
      </c>
      <c r="V933" t="s">
        <v>64</v>
      </c>
      <c r="W933" t="s">
        <v>46</v>
      </c>
      <c r="X933" t="s">
        <v>46</v>
      </c>
      <c r="Y933" t="s">
        <v>47</v>
      </c>
      <c r="Z933" t="s">
        <v>46</v>
      </c>
      <c r="AA933" t="s">
        <v>46</v>
      </c>
      <c r="AB933" t="s">
        <v>47</v>
      </c>
      <c r="AC933" t="s">
        <v>46</v>
      </c>
      <c r="AD933" t="s">
        <v>47</v>
      </c>
      <c r="AE933" t="s">
        <v>46</v>
      </c>
      <c r="AF933" t="s">
        <v>47</v>
      </c>
      <c r="AG933" t="s">
        <v>52</v>
      </c>
      <c r="AH933" t="s">
        <v>71</v>
      </c>
      <c r="AI933" t="s">
        <v>87</v>
      </c>
      <c r="AJ933">
        <v>6</v>
      </c>
      <c r="AK933" t="s">
        <v>47</v>
      </c>
      <c r="AL933" t="s">
        <v>76</v>
      </c>
      <c r="AM933" t="s">
        <v>103</v>
      </c>
      <c r="AN933">
        <v>44</v>
      </c>
      <c r="AO933" t="s">
        <v>47</v>
      </c>
    </row>
    <row r="934" spans="1:41">
      <c r="A934" t="s">
        <v>1086</v>
      </c>
      <c r="B934">
        <v>2024</v>
      </c>
      <c r="C934" s="1">
        <v>45542</v>
      </c>
      <c r="D934" t="s">
        <v>42</v>
      </c>
      <c r="E934" t="s">
        <v>154</v>
      </c>
      <c r="F934">
        <v>63</v>
      </c>
      <c r="G934" t="s">
        <v>60</v>
      </c>
      <c r="H934" t="s">
        <v>45</v>
      </c>
      <c r="I934">
        <v>25</v>
      </c>
      <c r="J934">
        <v>29</v>
      </c>
      <c r="K934" t="s">
        <v>46</v>
      </c>
      <c r="L934" t="s">
        <v>46</v>
      </c>
      <c r="M934" t="s">
        <v>47</v>
      </c>
      <c r="N934" t="s">
        <v>62</v>
      </c>
      <c r="O934" t="s">
        <v>49</v>
      </c>
      <c r="P934">
        <v>24.6</v>
      </c>
      <c r="Q934" t="s">
        <v>50</v>
      </c>
      <c r="R934" t="s">
        <v>47</v>
      </c>
      <c r="S934" t="s">
        <v>47</v>
      </c>
      <c r="T934" t="s">
        <v>47</v>
      </c>
      <c r="U934" t="s">
        <v>47</v>
      </c>
      <c r="V934" t="s">
        <v>64</v>
      </c>
      <c r="W934" t="s">
        <v>47</v>
      </c>
      <c r="X934" t="s">
        <v>47</v>
      </c>
      <c r="Y934" t="s">
        <v>46</v>
      </c>
      <c r="Z934" t="s">
        <v>47</v>
      </c>
      <c r="AA934" t="s">
        <v>46</v>
      </c>
      <c r="AB934" t="s">
        <v>47</v>
      </c>
      <c r="AC934" t="s">
        <v>47</v>
      </c>
      <c r="AD934" t="s">
        <v>47</v>
      </c>
      <c r="AE934" t="s">
        <v>47</v>
      </c>
      <c r="AF934" t="s">
        <v>47</v>
      </c>
      <c r="AG934" t="s">
        <v>121</v>
      </c>
      <c r="AH934" t="s">
        <v>122</v>
      </c>
      <c r="AI934" t="s">
        <v>87</v>
      </c>
      <c r="AJ934">
        <v>3.1</v>
      </c>
      <c r="AK934" t="s">
        <v>47</v>
      </c>
      <c r="AL934" t="s">
        <v>100</v>
      </c>
      <c r="AM934" t="s">
        <v>77</v>
      </c>
      <c r="AN934">
        <v>26</v>
      </c>
      <c r="AO934" t="s">
        <v>46</v>
      </c>
    </row>
    <row r="935" spans="1:41">
      <c r="A935" t="s">
        <v>1087</v>
      </c>
      <c r="B935">
        <v>2022</v>
      </c>
      <c r="C935" s="1">
        <v>44809</v>
      </c>
      <c r="D935" t="s">
        <v>42</v>
      </c>
      <c r="E935" t="s">
        <v>166</v>
      </c>
      <c r="F935">
        <v>63</v>
      </c>
      <c r="G935" t="s">
        <v>44</v>
      </c>
      <c r="H935" t="s">
        <v>70</v>
      </c>
      <c r="I935">
        <v>0</v>
      </c>
      <c r="J935">
        <v>0</v>
      </c>
      <c r="K935" t="s">
        <v>46</v>
      </c>
      <c r="L935" t="s">
        <v>47</v>
      </c>
      <c r="M935" t="s">
        <v>47</v>
      </c>
      <c r="N935" t="s">
        <v>62</v>
      </c>
      <c r="O935" t="s">
        <v>48</v>
      </c>
      <c r="P935">
        <v>24.9</v>
      </c>
      <c r="Q935" t="s">
        <v>50</v>
      </c>
      <c r="R935" t="s">
        <v>47</v>
      </c>
      <c r="S935" t="s">
        <v>47</v>
      </c>
      <c r="T935" t="s">
        <v>47</v>
      </c>
      <c r="U935" t="s">
        <v>47</v>
      </c>
      <c r="V935" t="s">
        <v>117</v>
      </c>
      <c r="W935" t="s">
        <v>46</v>
      </c>
      <c r="X935" t="s">
        <v>46</v>
      </c>
      <c r="Y935" t="s">
        <v>46</v>
      </c>
      <c r="Z935" t="s">
        <v>47</v>
      </c>
      <c r="AA935" t="s">
        <v>46</v>
      </c>
      <c r="AB935" t="s">
        <v>47</v>
      </c>
      <c r="AC935" t="s">
        <v>47</v>
      </c>
      <c r="AD935" t="s">
        <v>47</v>
      </c>
      <c r="AE935" t="s">
        <v>47</v>
      </c>
      <c r="AF935" t="s">
        <v>47</v>
      </c>
      <c r="AG935" t="s">
        <v>52</v>
      </c>
      <c r="AH935" t="s">
        <v>53</v>
      </c>
      <c r="AI935" t="s">
        <v>65</v>
      </c>
      <c r="AJ935">
        <v>1.9</v>
      </c>
      <c r="AK935" t="s">
        <v>47</v>
      </c>
      <c r="AL935" t="s">
        <v>72</v>
      </c>
      <c r="AM935" t="s">
        <v>103</v>
      </c>
      <c r="AN935">
        <v>89</v>
      </c>
      <c r="AO935" t="s">
        <v>46</v>
      </c>
    </row>
    <row r="936" spans="1:41">
      <c r="A936" t="s">
        <v>1088</v>
      </c>
      <c r="B936">
        <v>2025</v>
      </c>
      <c r="C936" s="1">
        <v>45836</v>
      </c>
      <c r="D936" t="s">
        <v>58</v>
      </c>
      <c r="E936" t="s">
        <v>220</v>
      </c>
      <c r="F936">
        <v>63</v>
      </c>
      <c r="G936" t="s">
        <v>60</v>
      </c>
      <c r="H936" t="s">
        <v>70</v>
      </c>
      <c r="I936">
        <v>0</v>
      </c>
      <c r="J936">
        <v>0</v>
      </c>
      <c r="K936" t="s">
        <v>47</v>
      </c>
      <c r="L936" t="s">
        <v>47</v>
      </c>
      <c r="M936" t="s">
        <v>47</v>
      </c>
      <c r="N936" t="s">
        <v>62</v>
      </c>
      <c r="O936" t="s">
        <v>48</v>
      </c>
      <c r="P936">
        <v>16</v>
      </c>
      <c r="Q936" t="s">
        <v>48</v>
      </c>
      <c r="R936" t="s">
        <v>47</v>
      </c>
      <c r="S936" t="s">
        <v>47</v>
      </c>
      <c r="T936" t="s">
        <v>47</v>
      </c>
      <c r="U936" t="s">
        <v>47</v>
      </c>
      <c r="V936" t="s">
        <v>51</v>
      </c>
      <c r="W936" t="s">
        <v>47</v>
      </c>
      <c r="X936" t="s">
        <v>46</v>
      </c>
      <c r="Y936" t="s">
        <v>47</v>
      </c>
      <c r="Z936" t="s">
        <v>47</v>
      </c>
      <c r="AA936" t="s">
        <v>46</v>
      </c>
      <c r="AB936" t="s">
        <v>47</v>
      </c>
      <c r="AC936" t="s">
        <v>47</v>
      </c>
      <c r="AD936" t="s">
        <v>46</v>
      </c>
      <c r="AE936" t="s">
        <v>46</v>
      </c>
      <c r="AF936" t="s">
        <v>47</v>
      </c>
      <c r="AG936" t="s">
        <v>52</v>
      </c>
      <c r="AH936" t="s">
        <v>53</v>
      </c>
      <c r="AI936" t="s">
        <v>80</v>
      </c>
      <c r="AJ936">
        <v>4.9000000000000004</v>
      </c>
      <c r="AK936" t="s">
        <v>47</v>
      </c>
      <c r="AL936" t="s">
        <v>66</v>
      </c>
      <c r="AM936" t="s">
        <v>56</v>
      </c>
      <c r="AN936">
        <v>9</v>
      </c>
      <c r="AO936" t="s">
        <v>47</v>
      </c>
    </row>
    <row r="937" spans="1:41">
      <c r="A937" t="s">
        <v>1089</v>
      </c>
      <c r="B937">
        <v>2022</v>
      </c>
      <c r="C937" s="1">
        <v>44777</v>
      </c>
      <c r="D937" t="s">
        <v>42</v>
      </c>
      <c r="E937" t="s">
        <v>160</v>
      </c>
      <c r="F937">
        <v>63</v>
      </c>
      <c r="G937" t="s">
        <v>60</v>
      </c>
      <c r="H937" t="s">
        <v>70</v>
      </c>
      <c r="I937">
        <v>0</v>
      </c>
      <c r="J937">
        <v>0</v>
      </c>
      <c r="K937" t="s">
        <v>46</v>
      </c>
      <c r="L937" t="s">
        <v>46</v>
      </c>
      <c r="M937" t="s">
        <v>46</v>
      </c>
      <c r="N937" t="s">
        <v>62</v>
      </c>
      <c r="O937" t="s">
        <v>48</v>
      </c>
      <c r="P937">
        <v>25.8</v>
      </c>
      <c r="Q937" t="s">
        <v>48</v>
      </c>
      <c r="R937" t="s">
        <v>47</v>
      </c>
      <c r="S937" t="s">
        <v>47</v>
      </c>
      <c r="T937" t="s">
        <v>47</v>
      </c>
      <c r="U937" t="s">
        <v>47</v>
      </c>
      <c r="V937" t="s">
        <v>51</v>
      </c>
      <c r="W937" t="s">
        <v>47</v>
      </c>
      <c r="X937" t="s">
        <v>47</v>
      </c>
      <c r="Y937" t="s">
        <v>47</v>
      </c>
      <c r="Z937" t="s">
        <v>47</v>
      </c>
      <c r="AA937" t="s">
        <v>46</v>
      </c>
      <c r="AB937" t="s">
        <v>47</v>
      </c>
      <c r="AC937" t="s">
        <v>46</v>
      </c>
      <c r="AD937" t="s">
        <v>46</v>
      </c>
      <c r="AE937" t="s">
        <v>47</v>
      </c>
      <c r="AF937" t="s">
        <v>47</v>
      </c>
      <c r="AG937" t="s">
        <v>52</v>
      </c>
      <c r="AH937" t="s">
        <v>53</v>
      </c>
      <c r="AI937" t="s">
        <v>65</v>
      </c>
      <c r="AJ937">
        <v>2.5</v>
      </c>
      <c r="AK937" t="s">
        <v>47</v>
      </c>
      <c r="AL937" t="s">
        <v>76</v>
      </c>
      <c r="AM937" t="s">
        <v>67</v>
      </c>
      <c r="AN937">
        <v>41</v>
      </c>
      <c r="AO937" t="s">
        <v>46</v>
      </c>
    </row>
    <row r="938" spans="1:41">
      <c r="A938" t="s">
        <v>1090</v>
      </c>
      <c r="B938">
        <v>2022</v>
      </c>
      <c r="C938" s="1">
        <v>44914</v>
      </c>
      <c r="D938" t="s">
        <v>98</v>
      </c>
      <c r="E938" t="s">
        <v>202</v>
      </c>
      <c r="F938">
        <v>53</v>
      </c>
      <c r="G938" t="s">
        <v>44</v>
      </c>
      <c r="H938" t="s">
        <v>70</v>
      </c>
      <c r="I938">
        <v>0</v>
      </c>
      <c r="J938">
        <v>0</v>
      </c>
      <c r="K938" t="s">
        <v>46</v>
      </c>
      <c r="L938" t="s">
        <v>47</v>
      </c>
      <c r="M938" t="s">
        <v>47</v>
      </c>
      <c r="N938" t="s">
        <v>48</v>
      </c>
      <c r="O938" t="s">
        <v>49</v>
      </c>
      <c r="P938">
        <v>27.4</v>
      </c>
      <c r="Q938" t="s">
        <v>50</v>
      </c>
      <c r="R938" t="s">
        <v>47</v>
      </c>
      <c r="S938" t="s">
        <v>47</v>
      </c>
      <c r="T938" t="s">
        <v>47</v>
      </c>
      <c r="U938" t="s">
        <v>47</v>
      </c>
      <c r="V938" t="s">
        <v>51</v>
      </c>
      <c r="W938" t="s">
        <v>47</v>
      </c>
      <c r="X938" t="s">
        <v>47</v>
      </c>
      <c r="Y938" t="s">
        <v>46</v>
      </c>
      <c r="Z938" t="s">
        <v>47</v>
      </c>
      <c r="AA938" t="s">
        <v>46</v>
      </c>
      <c r="AB938" t="s">
        <v>46</v>
      </c>
      <c r="AC938" t="s">
        <v>47</v>
      </c>
      <c r="AD938" t="s">
        <v>46</v>
      </c>
      <c r="AE938" t="s">
        <v>47</v>
      </c>
      <c r="AF938" t="s">
        <v>47</v>
      </c>
      <c r="AG938" t="s">
        <v>52</v>
      </c>
      <c r="AH938" t="s">
        <v>53</v>
      </c>
      <c r="AI938" t="s">
        <v>65</v>
      </c>
      <c r="AJ938">
        <v>0.7</v>
      </c>
      <c r="AK938" t="s">
        <v>47</v>
      </c>
      <c r="AL938" t="s">
        <v>72</v>
      </c>
      <c r="AM938" t="s">
        <v>73</v>
      </c>
      <c r="AN938">
        <v>84</v>
      </c>
      <c r="AO938" t="s">
        <v>47</v>
      </c>
    </row>
    <row r="939" spans="1:41">
      <c r="A939" t="s">
        <v>1091</v>
      </c>
      <c r="B939">
        <v>2015</v>
      </c>
      <c r="C939" s="1">
        <v>42052</v>
      </c>
      <c r="D939" t="s">
        <v>58</v>
      </c>
      <c r="E939" t="s">
        <v>252</v>
      </c>
      <c r="F939">
        <v>67</v>
      </c>
      <c r="G939" t="s">
        <v>44</v>
      </c>
      <c r="H939" t="s">
        <v>45</v>
      </c>
      <c r="I939">
        <v>31</v>
      </c>
      <c r="J939">
        <v>27</v>
      </c>
      <c r="K939" t="s">
        <v>47</v>
      </c>
      <c r="L939" t="s">
        <v>47</v>
      </c>
      <c r="M939" t="s">
        <v>47</v>
      </c>
      <c r="N939" t="s">
        <v>50</v>
      </c>
      <c r="O939" t="s">
        <v>48</v>
      </c>
      <c r="P939">
        <v>28.3</v>
      </c>
      <c r="Q939" t="s">
        <v>50</v>
      </c>
      <c r="R939" t="s">
        <v>47</v>
      </c>
      <c r="S939" t="s">
        <v>46</v>
      </c>
      <c r="T939" t="s">
        <v>46</v>
      </c>
      <c r="U939" t="s">
        <v>47</v>
      </c>
      <c r="V939" t="s">
        <v>51</v>
      </c>
      <c r="W939" t="s">
        <v>46</v>
      </c>
      <c r="X939" t="s">
        <v>46</v>
      </c>
      <c r="Y939" t="s">
        <v>46</v>
      </c>
      <c r="Z939" t="s">
        <v>46</v>
      </c>
      <c r="AA939" t="s">
        <v>46</v>
      </c>
      <c r="AB939" t="s">
        <v>46</v>
      </c>
      <c r="AC939" t="s">
        <v>47</v>
      </c>
      <c r="AD939" t="s">
        <v>47</v>
      </c>
      <c r="AE939" t="s">
        <v>47</v>
      </c>
      <c r="AF939" t="s">
        <v>47</v>
      </c>
      <c r="AG939" t="s">
        <v>52</v>
      </c>
      <c r="AH939" t="s">
        <v>90</v>
      </c>
      <c r="AI939" t="s">
        <v>54</v>
      </c>
      <c r="AJ939">
        <v>8.6</v>
      </c>
      <c r="AK939" t="s">
        <v>46</v>
      </c>
      <c r="AL939" t="s">
        <v>76</v>
      </c>
      <c r="AM939" t="s">
        <v>82</v>
      </c>
      <c r="AN939">
        <v>7</v>
      </c>
      <c r="AO939" t="s">
        <v>47</v>
      </c>
    </row>
    <row r="940" spans="1:41">
      <c r="A940" t="s">
        <v>1092</v>
      </c>
      <c r="B940">
        <v>2021</v>
      </c>
      <c r="C940" s="1">
        <v>44211</v>
      </c>
      <c r="D940" t="s">
        <v>58</v>
      </c>
      <c r="E940" t="s">
        <v>142</v>
      </c>
      <c r="F940">
        <v>65</v>
      </c>
      <c r="G940" t="s">
        <v>60</v>
      </c>
      <c r="H940" t="s">
        <v>70</v>
      </c>
      <c r="I940">
        <v>0</v>
      </c>
      <c r="J940">
        <v>0</v>
      </c>
      <c r="K940" t="s">
        <v>47</v>
      </c>
      <c r="L940" t="s">
        <v>47</v>
      </c>
      <c r="M940" t="s">
        <v>46</v>
      </c>
      <c r="N940" t="s">
        <v>62</v>
      </c>
      <c r="O940" t="s">
        <v>48</v>
      </c>
      <c r="P940">
        <v>29.6</v>
      </c>
      <c r="Q940" t="s">
        <v>48</v>
      </c>
      <c r="R940" t="s">
        <v>47</v>
      </c>
      <c r="S940" t="s">
        <v>47</v>
      </c>
      <c r="T940" t="s">
        <v>47</v>
      </c>
      <c r="U940" t="s">
        <v>47</v>
      </c>
      <c r="V940" t="s">
        <v>86</v>
      </c>
      <c r="W940" t="s">
        <v>46</v>
      </c>
      <c r="X940" t="s">
        <v>47</v>
      </c>
      <c r="Y940" t="s">
        <v>47</v>
      </c>
      <c r="Z940" t="s">
        <v>46</v>
      </c>
      <c r="AA940" t="s">
        <v>46</v>
      </c>
      <c r="AB940" t="s">
        <v>47</v>
      </c>
      <c r="AC940" t="s">
        <v>47</v>
      </c>
      <c r="AD940" t="s">
        <v>47</v>
      </c>
      <c r="AE940" t="s">
        <v>47</v>
      </c>
      <c r="AF940" t="s">
        <v>47</v>
      </c>
      <c r="AG940" t="s">
        <v>52</v>
      </c>
      <c r="AH940" t="s">
        <v>71</v>
      </c>
      <c r="AI940" t="s">
        <v>65</v>
      </c>
      <c r="AJ940">
        <v>1.9</v>
      </c>
      <c r="AK940" t="s">
        <v>47</v>
      </c>
      <c r="AL940" t="s">
        <v>72</v>
      </c>
      <c r="AM940" t="s">
        <v>67</v>
      </c>
      <c r="AN940">
        <v>74</v>
      </c>
      <c r="AO940" t="s">
        <v>46</v>
      </c>
    </row>
    <row r="941" spans="1:41">
      <c r="A941" t="s">
        <v>1093</v>
      </c>
      <c r="B941">
        <v>2017</v>
      </c>
      <c r="C941" s="1">
        <v>42992</v>
      </c>
      <c r="D941" t="s">
        <v>58</v>
      </c>
      <c r="E941" t="s">
        <v>252</v>
      </c>
      <c r="F941">
        <v>59</v>
      </c>
      <c r="G941" t="s">
        <v>60</v>
      </c>
      <c r="H941" t="s">
        <v>70</v>
      </c>
      <c r="I941">
        <v>0</v>
      </c>
      <c r="J941">
        <v>0</v>
      </c>
      <c r="K941" t="s">
        <v>47</v>
      </c>
      <c r="L941" t="s">
        <v>47</v>
      </c>
      <c r="M941" t="s">
        <v>46</v>
      </c>
      <c r="N941" t="s">
        <v>48</v>
      </c>
      <c r="O941" t="s">
        <v>48</v>
      </c>
      <c r="P941">
        <v>16.600000000000001</v>
      </c>
      <c r="Q941" t="s">
        <v>48</v>
      </c>
      <c r="R941" t="s">
        <v>47</v>
      </c>
      <c r="S941" t="s">
        <v>47</v>
      </c>
      <c r="T941" t="s">
        <v>47</v>
      </c>
      <c r="U941" t="s">
        <v>47</v>
      </c>
      <c r="V941" t="s">
        <v>112</v>
      </c>
      <c r="W941" t="s">
        <v>46</v>
      </c>
      <c r="X941" t="s">
        <v>47</v>
      </c>
      <c r="Y941" t="s">
        <v>47</v>
      </c>
      <c r="Z941" t="s">
        <v>47</v>
      </c>
      <c r="AA941" t="s">
        <v>46</v>
      </c>
      <c r="AB941" t="s">
        <v>47</v>
      </c>
      <c r="AC941" t="s">
        <v>47</v>
      </c>
      <c r="AD941" t="s">
        <v>47</v>
      </c>
      <c r="AE941" t="s">
        <v>47</v>
      </c>
      <c r="AF941" t="s">
        <v>46</v>
      </c>
      <c r="AG941" t="s">
        <v>52</v>
      </c>
      <c r="AH941" t="s">
        <v>90</v>
      </c>
      <c r="AI941" t="s">
        <v>87</v>
      </c>
      <c r="AJ941">
        <v>3.9</v>
      </c>
      <c r="AK941" t="s">
        <v>47</v>
      </c>
      <c r="AL941" t="s">
        <v>156</v>
      </c>
      <c r="AM941" t="s">
        <v>67</v>
      </c>
      <c r="AN941">
        <v>43</v>
      </c>
      <c r="AO941" t="s">
        <v>46</v>
      </c>
    </row>
    <row r="942" spans="1:41">
      <c r="A942" t="s">
        <v>1094</v>
      </c>
      <c r="B942">
        <v>2025</v>
      </c>
      <c r="C942" s="1">
        <v>45932</v>
      </c>
      <c r="D942" t="s">
        <v>42</v>
      </c>
      <c r="E942" t="s">
        <v>75</v>
      </c>
      <c r="F942">
        <v>61</v>
      </c>
      <c r="G942" t="s">
        <v>44</v>
      </c>
      <c r="H942" t="s">
        <v>61</v>
      </c>
      <c r="I942">
        <v>22</v>
      </c>
      <c r="J942">
        <v>5</v>
      </c>
      <c r="K942" t="s">
        <v>47</v>
      </c>
      <c r="L942" t="s">
        <v>47</v>
      </c>
      <c r="M942" t="s">
        <v>46</v>
      </c>
      <c r="N942" t="s">
        <v>62</v>
      </c>
      <c r="O942" t="s">
        <v>48</v>
      </c>
      <c r="P942">
        <v>27.2</v>
      </c>
      <c r="Q942" t="s">
        <v>48</v>
      </c>
      <c r="R942" t="s">
        <v>46</v>
      </c>
      <c r="S942" t="s">
        <v>47</v>
      </c>
      <c r="T942" t="s">
        <v>47</v>
      </c>
      <c r="U942" t="s">
        <v>47</v>
      </c>
      <c r="V942" t="s">
        <v>64</v>
      </c>
      <c r="W942" t="s">
        <v>46</v>
      </c>
      <c r="X942" t="s">
        <v>46</v>
      </c>
      <c r="Y942" t="s">
        <v>47</v>
      </c>
      <c r="Z942" t="s">
        <v>47</v>
      </c>
      <c r="AA942" t="s">
        <v>47</v>
      </c>
      <c r="AB942" t="s">
        <v>47</v>
      </c>
      <c r="AC942" t="s">
        <v>47</v>
      </c>
      <c r="AD942" t="s">
        <v>47</v>
      </c>
      <c r="AE942" t="s">
        <v>47</v>
      </c>
      <c r="AF942" t="s">
        <v>47</v>
      </c>
      <c r="AG942" t="s">
        <v>52</v>
      </c>
      <c r="AH942" t="s">
        <v>71</v>
      </c>
      <c r="AI942" t="s">
        <v>87</v>
      </c>
      <c r="AJ942">
        <v>4.9000000000000004</v>
      </c>
      <c r="AK942" t="s">
        <v>47</v>
      </c>
      <c r="AL942" t="s">
        <v>76</v>
      </c>
      <c r="AM942" t="s">
        <v>67</v>
      </c>
      <c r="AN942">
        <v>27</v>
      </c>
      <c r="AO942" t="s">
        <v>46</v>
      </c>
    </row>
    <row r="943" spans="1:41">
      <c r="A943" t="s">
        <v>1095</v>
      </c>
      <c r="B943">
        <v>2023</v>
      </c>
      <c r="C943" s="1">
        <v>45160</v>
      </c>
      <c r="D943" t="s">
        <v>58</v>
      </c>
      <c r="E943" t="s">
        <v>134</v>
      </c>
      <c r="F943">
        <v>69</v>
      </c>
      <c r="G943" t="s">
        <v>60</v>
      </c>
      <c r="H943" t="s">
        <v>70</v>
      </c>
      <c r="I943">
        <v>0</v>
      </c>
      <c r="J943">
        <v>0</v>
      </c>
      <c r="K943" t="s">
        <v>46</v>
      </c>
      <c r="L943" t="s">
        <v>47</v>
      </c>
      <c r="M943" t="s">
        <v>46</v>
      </c>
      <c r="N943" t="s">
        <v>50</v>
      </c>
      <c r="O943" t="s">
        <v>63</v>
      </c>
      <c r="P943">
        <v>20.3</v>
      </c>
      <c r="Q943" t="s">
        <v>50</v>
      </c>
      <c r="R943" t="s">
        <v>47</v>
      </c>
      <c r="S943" t="s">
        <v>47</v>
      </c>
      <c r="T943" t="s">
        <v>46</v>
      </c>
      <c r="U943" t="s">
        <v>47</v>
      </c>
      <c r="V943" t="s">
        <v>64</v>
      </c>
      <c r="W943" t="s">
        <v>47</v>
      </c>
      <c r="X943" t="s">
        <v>47</v>
      </c>
      <c r="Y943" t="s">
        <v>47</v>
      </c>
      <c r="Z943" t="s">
        <v>46</v>
      </c>
      <c r="AA943" t="s">
        <v>46</v>
      </c>
      <c r="AB943" t="s">
        <v>46</v>
      </c>
      <c r="AC943" t="s">
        <v>46</v>
      </c>
      <c r="AD943" t="s">
        <v>47</v>
      </c>
      <c r="AE943" t="s">
        <v>47</v>
      </c>
      <c r="AF943" t="s">
        <v>47</v>
      </c>
      <c r="AG943" t="s">
        <v>52</v>
      </c>
      <c r="AH943" t="s">
        <v>71</v>
      </c>
      <c r="AI943" t="s">
        <v>65</v>
      </c>
      <c r="AJ943">
        <v>1.7</v>
      </c>
      <c r="AK943" t="s">
        <v>47</v>
      </c>
      <c r="AL943" t="s">
        <v>72</v>
      </c>
      <c r="AM943" t="s">
        <v>73</v>
      </c>
      <c r="AN943">
        <v>62</v>
      </c>
      <c r="AO943" t="s">
        <v>46</v>
      </c>
    </row>
    <row r="944" spans="1:41">
      <c r="A944" t="s">
        <v>1096</v>
      </c>
      <c r="B944">
        <v>2021</v>
      </c>
      <c r="C944" s="1">
        <v>44531</v>
      </c>
      <c r="D944" t="s">
        <v>42</v>
      </c>
      <c r="E944" t="s">
        <v>79</v>
      </c>
      <c r="F944">
        <v>62</v>
      </c>
      <c r="G944" t="s">
        <v>60</v>
      </c>
      <c r="H944" t="s">
        <v>70</v>
      </c>
      <c r="I944">
        <v>0</v>
      </c>
      <c r="J944">
        <v>0</v>
      </c>
      <c r="K944" t="s">
        <v>46</v>
      </c>
      <c r="L944" t="s">
        <v>47</v>
      </c>
      <c r="M944" t="s">
        <v>47</v>
      </c>
      <c r="N944" t="s">
        <v>50</v>
      </c>
      <c r="O944" t="s">
        <v>48</v>
      </c>
      <c r="P944">
        <v>29.9</v>
      </c>
      <c r="Q944" t="s">
        <v>48</v>
      </c>
      <c r="R944" t="s">
        <v>47</v>
      </c>
      <c r="S944" t="s">
        <v>47</v>
      </c>
      <c r="T944" t="s">
        <v>47</v>
      </c>
      <c r="U944" t="s">
        <v>47</v>
      </c>
      <c r="V944" t="s">
        <v>51</v>
      </c>
      <c r="W944" t="s">
        <v>46</v>
      </c>
      <c r="X944" t="s">
        <v>47</v>
      </c>
      <c r="Y944" t="s">
        <v>46</v>
      </c>
      <c r="Z944" t="s">
        <v>47</v>
      </c>
      <c r="AA944" t="s">
        <v>46</v>
      </c>
      <c r="AB944" t="s">
        <v>47</v>
      </c>
      <c r="AC944" t="s">
        <v>47</v>
      </c>
      <c r="AD944" t="s">
        <v>46</v>
      </c>
      <c r="AE944" t="s">
        <v>47</v>
      </c>
      <c r="AF944" t="s">
        <v>47</v>
      </c>
      <c r="AG944" t="s">
        <v>52</v>
      </c>
      <c r="AH944" t="s">
        <v>53</v>
      </c>
      <c r="AI944" t="s">
        <v>80</v>
      </c>
      <c r="AJ944">
        <v>6.2</v>
      </c>
      <c r="AK944" t="s">
        <v>47</v>
      </c>
      <c r="AL944" t="s">
        <v>100</v>
      </c>
      <c r="AM944" t="s">
        <v>56</v>
      </c>
      <c r="AN944">
        <v>17</v>
      </c>
      <c r="AO944" t="s">
        <v>47</v>
      </c>
    </row>
    <row r="945" spans="1:41">
      <c r="A945" t="s">
        <v>1097</v>
      </c>
      <c r="B945">
        <v>2020</v>
      </c>
      <c r="C945" s="1">
        <v>43978</v>
      </c>
      <c r="D945" t="s">
        <v>95</v>
      </c>
      <c r="E945" t="s">
        <v>114</v>
      </c>
      <c r="F945">
        <v>47</v>
      </c>
      <c r="G945" t="s">
        <v>60</v>
      </c>
      <c r="H945" t="s">
        <v>70</v>
      </c>
      <c r="I945">
        <v>0</v>
      </c>
      <c r="J945">
        <v>0</v>
      </c>
      <c r="K945" t="s">
        <v>46</v>
      </c>
      <c r="L945" t="s">
        <v>46</v>
      </c>
      <c r="M945" t="s">
        <v>47</v>
      </c>
      <c r="N945" t="s">
        <v>48</v>
      </c>
      <c r="O945" t="s">
        <v>49</v>
      </c>
      <c r="P945">
        <v>28.5</v>
      </c>
      <c r="Q945" t="s">
        <v>50</v>
      </c>
      <c r="R945" t="s">
        <v>47</v>
      </c>
      <c r="S945" t="s">
        <v>47</v>
      </c>
      <c r="T945" t="s">
        <v>46</v>
      </c>
      <c r="U945" t="s">
        <v>47</v>
      </c>
      <c r="V945" t="s">
        <v>117</v>
      </c>
      <c r="W945" t="s">
        <v>47</v>
      </c>
      <c r="X945" t="s">
        <v>47</v>
      </c>
      <c r="Y945" t="s">
        <v>47</v>
      </c>
      <c r="Z945" t="s">
        <v>47</v>
      </c>
      <c r="AA945" t="s">
        <v>46</v>
      </c>
      <c r="AB945" t="s">
        <v>46</v>
      </c>
      <c r="AC945" t="s">
        <v>47</v>
      </c>
      <c r="AD945" t="s">
        <v>46</v>
      </c>
      <c r="AE945" t="s">
        <v>47</v>
      </c>
      <c r="AF945" t="s">
        <v>47</v>
      </c>
      <c r="AG945" t="s">
        <v>52</v>
      </c>
      <c r="AH945" t="s">
        <v>53</v>
      </c>
      <c r="AI945" t="s">
        <v>87</v>
      </c>
      <c r="AJ945">
        <v>3.5</v>
      </c>
      <c r="AK945" t="s">
        <v>47</v>
      </c>
      <c r="AL945" t="s">
        <v>66</v>
      </c>
      <c r="AM945" t="s">
        <v>67</v>
      </c>
      <c r="AN945">
        <v>44</v>
      </c>
      <c r="AO945" t="s">
        <v>47</v>
      </c>
    </row>
    <row r="946" spans="1:41">
      <c r="A946" t="s">
        <v>1098</v>
      </c>
      <c r="B946">
        <v>2024</v>
      </c>
      <c r="C946" s="1">
        <v>45633</v>
      </c>
      <c r="D946" t="s">
        <v>95</v>
      </c>
      <c r="E946" t="s">
        <v>255</v>
      </c>
      <c r="F946">
        <v>49</v>
      </c>
      <c r="G946" t="s">
        <v>44</v>
      </c>
      <c r="H946" t="s">
        <v>70</v>
      </c>
      <c r="I946">
        <v>0</v>
      </c>
      <c r="J946">
        <v>0</v>
      </c>
      <c r="K946" t="s">
        <v>46</v>
      </c>
      <c r="L946" t="s">
        <v>47</v>
      </c>
      <c r="M946" t="s">
        <v>47</v>
      </c>
      <c r="N946" t="s">
        <v>48</v>
      </c>
      <c r="O946" t="s">
        <v>49</v>
      </c>
      <c r="P946">
        <v>25.6</v>
      </c>
      <c r="Q946" t="s">
        <v>48</v>
      </c>
      <c r="R946" t="s">
        <v>47</v>
      </c>
      <c r="S946" t="s">
        <v>47</v>
      </c>
      <c r="T946" t="s">
        <v>47</v>
      </c>
      <c r="U946" t="s">
        <v>47</v>
      </c>
      <c r="V946" t="s">
        <v>51</v>
      </c>
      <c r="W946" t="s">
        <v>47</v>
      </c>
      <c r="X946" t="s">
        <v>47</v>
      </c>
      <c r="Y946" t="s">
        <v>47</v>
      </c>
      <c r="Z946" t="s">
        <v>47</v>
      </c>
      <c r="AA946" t="s">
        <v>46</v>
      </c>
      <c r="AB946" t="s">
        <v>47</v>
      </c>
      <c r="AC946" t="s">
        <v>47</v>
      </c>
      <c r="AD946" t="s">
        <v>46</v>
      </c>
      <c r="AE946" t="s">
        <v>47</v>
      </c>
      <c r="AF946" t="s">
        <v>47</v>
      </c>
      <c r="AG946" t="s">
        <v>52</v>
      </c>
      <c r="AH946" t="s">
        <v>90</v>
      </c>
      <c r="AI946" t="s">
        <v>54</v>
      </c>
      <c r="AJ946">
        <v>7.4</v>
      </c>
      <c r="AK946" t="s">
        <v>46</v>
      </c>
      <c r="AL946" t="s">
        <v>100</v>
      </c>
      <c r="AM946" t="s">
        <v>77</v>
      </c>
      <c r="AN946">
        <v>11</v>
      </c>
      <c r="AO946" t="s">
        <v>47</v>
      </c>
    </row>
    <row r="947" spans="1:41">
      <c r="A947" t="s">
        <v>1099</v>
      </c>
      <c r="B947">
        <v>2015</v>
      </c>
      <c r="C947" s="1">
        <v>42037</v>
      </c>
      <c r="D947" t="s">
        <v>58</v>
      </c>
      <c r="E947" t="s">
        <v>229</v>
      </c>
      <c r="F947">
        <v>57</v>
      </c>
      <c r="G947" t="s">
        <v>44</v>
      </c>
      <c r="H947" t="s">
        <v>70</v>
      </c>
      <c r="I947">
        <v>0</v>
      </c>
      <c r="J947">
        <v>0</v>
      </c>
      <c r="K947" t="s">
        <v>47</v>
      </c>
      <c r="L947" t="s">
        <v>47</v>
      </c>
      <c r="M947" t="s">
        <v>47</v>
      </c>
      <c r="N947" t="s">
        <v>48</v>
      </c>
      <c r="O947" t="s">
        <v>49</v>
      </c>
      <c r="P947">
        <v>25.7</v>
      </c>
      <c r="Q947" t="s">
        <v>50</v>
      </c>
      <c r="R947" t="s">
        <v>47</v>
      </c>
      <c r="S947" t="s">
        <v>47</v>
      </c>
      <c r="T947" t="s">
        <v>46</v>
      </c>
      <c r="U947" t="s">
        <v>47</v>
      </c>
      <c r="V947" t="s">
        <v>64</v>
      </c>
      <c r="W947" t="s">
        <v>47</v>
      </c>
      <c r="X947" t="s">
        <v>47</v>
      </c>
      <c r="Y947" t="s">
        <v>47</v>
      </c>
      <c r="Z947" t="s">
        <v>47</v>
      </c>
      <c r="AA947" t="s">
        <v>47</v>
      </c>
      <c r="AB947" t="s">
        <v>47</v>
      </c>
      <c r="AC947" t="s">
        <v>47</v>
      </c>
      <c r="AD947" t="s">
        <v>47</v>
      </c>
      <c r="AE947" t="s">
        <v>46</v>
      </c>
      <c r="AF947" t="s">
        <v>47</v>
      </c>
      <c r="AG947" t="s">
        <v>52</v>
      </c>
      <c r="AH947" t="s">
        <v>53</v>
      </c>
      <c r="AI947" t="s">
        <v>87</v>
      </c>
      <c r="AJ947">
        <v>5</v>
      </c>
      <c r="AK947" t="s">
        <v>46</v>
      </c>
      <c r="AL947" t="s">
        <v>81</v>
      </c>
      <c r="AM947" t="s">
        <v>73</v>
      </c>
      <c r="AN947">
        <v>32</v>
      </c>
      <c r="AO947" t="s">
        <v>47</v>
      </c>
    </row>
    <row r="948" spans="1:41">
      <c r="A948" t="s">
        <v>1100</v>
      </c>
      <c r="B948">
        <v>2019</v>
      </c>
      <c r="C948" s="1">
        <v>43639</v>
      </c>
      <c r="D948" t="s">
        <v>42</v>
      </c>
      <c r="E948" t="s">
        <v>69</v>
      </c>
      <c r="F948">
        <v>65</v>
      </c>
      <c r="G948" t="s">
        <v>60</v>
      </c>
      <c r="H948" t="s">
        <v>45</v>
      </c>
      <c r="I948">
        <v>8</v>
      </c>
      <c r="J948">
        <v>14</v>
      </c>
      <c r="K948" t="s">
        <v>46</v>
      </c>
      <c r="L948" t="s">
        <v>47</v>
      </c>
      <c r="M948" t="s">
        <v>47</v>
      </c>
      <c r="N948" t="s">
        <v>48</v>
      </c>
      <c r="O948" t="s">
        <v>48</v>
      </c>
      <c r="P948">
        <v>27.7</v>
      </c>
      <c r="Q948" t="s">
        <v>62</v>
      </c>
      <c r="R948" t="s">
        <v>47</v>
      </c>
      <c r="S948" t="s">
        <v>47</v>
      </c>
      <c r="T948" t="s">
        <v>47</v>
      </c>
      <c r="U948" t="s">
        <v>47</v>
      </c>
      <c r="V948" t="s">
        <v>64</v>
      </c>
      <c r="W948" t="s">
        <v>46</v>
      </c>
      <c r="X948" t="s">
        <v>46</v>
      </c>
      <c r="Y948" t="s">
        <v>47</v>
      </c>
      <c r="Z948" t="s">
        <v>47</v>
      </c>
      <c r="AA948" t="s">
        <v>46</v>
      </c>
      <c r="AB948" t="s">
        <v>47</v>
      </c>
      <c r="AC948" t="s">
        <v>47</v>
      </c>
      <c r="AD948" t="s">
        <v>47</v>
      </c>
      <c r="AE948" t="s">
        <v>47</v>
      </c>
      <c r="AF948" t="s">
        <v>46</v>
      </c>
      <c r="AG948" t="s">
        <v>52</v>
      </c>
      <c r="AH948" t="s">
        <v>53</v>
      </c>
      <c r="AI948" t="s">
        <v>80</v>
      </c>
      <c r="AJ948">
        <v>8</v>
      </c>
      <c r="AK948" t="s">
        <v>47</v>
      </c>
      <c r="AL948" t="s">
        <v>100</v>
      </c>
      <c r="AM948" t="s">
        <v>82</v>
      </c>
      <c r="AN948">
        <v>3</v>
      </c>
      <c r="AO948" t="s">
        <v>46</v>
      </c>
    </row>
    <row r="949" spans="1:41">
      <c r="A949" t="s">
        <v>1101</v>
      </c>
      <c r="B949">
        <v>2025</v>
      </c>
      <c r="C949" s="1">
        <v>45902</v>
      </c>
      <c r="D949" t="s">
        <v>42</v>
      </c>
      <c r="E949" t="s">
        <v>69</v>
      </c>
      <c r="F949">
        <v>54</v>
      </c>
      <c r="G949" t="s">
        <v>44</v>
      </c>
      <c r="H949" t="s">
        <v>70</v>
      </c>
      <c r="I949">
        <v>0</v>
      </c>
      <c r="J949">
        <v>0</v>
      </c>
      <c r="K949" t="s">
        <v>46</v>
      </c>
      <c r="L949" t="s">
        <v>46</v>
      </c>
      <c r="M949" t="s">
        <v>47</v>
      </c>
      <c r="N949" t="s">
        <v>48</v>
      </c>
      <c r="O949" t="s">
        <v>49</v>
      </c>
      <c r="P949">
        <v>24.6</v>
      </c>
      <c r="Q949" t="s">
        <v>62</v>
      </c>
      <c r="R949" t="s">
        <v>47</v>
      </c>
      <c r="S949" t="s">
        <v>47</v>
      </c>
      <c r="T949" t="s">
        <v>47</v>
      </c>
      <c r="U949" t="s">
        <v>47</v>
      </c>
      <c r="V949" t="s">
        <v>51</v>
      </c>
      <c r="W949" t="s">
        <v>46</v>
      </c>
      <c r="X949" t="s">
        <v>46</v>
      </c>
      <c r="Y949" t="s">
        <v>47</v>
      </c>
      <c r="Z949" t="s">
        <v>47</v>
      </c>
      <c r="AA949" t="s">
        <v>47</v>
      </c>
      <c r="AB949" t="s">
        <v>47</v>
      </c>
      <c r="AC949" t="s">
        <v>46</v>
      </c>
      <c r="AD949" t="s">
        <v>47</v>
      </c>
      <c r="AE949" t="s">
        <v>47</v>
      </c>
      <c r="AF949" t="s">
        <v>47</v>
      </c>
      <c r="AG949" t="s">
        <v>52</v>
      </c>
      <c r="AH949" t="s">
        <v>71</v>
      </c>
      <c r="AI949" t="s">
        <v>65</v>
      </c>
      <c r="AJ949">
        <v>2.8</v>
      </c>
      <c r="AK949" t="s">
        <v>47</v>
      </c>
      <c r="AL949" t="s">
        <v>76</v>
      </c>
      <c r="AM949" t="s">
        <v>73</v>
      </c>
      <c r="AN949">
        <v>51</v>
      </c>
      <c r="AO949" t="s">
        <v>46</v>
      </c>
    </row>
    <row r="950" spans="1:41">
      <c r="A950" t="s">
        <v>1102</v>
      </c>
      <c r="B950">
        <v>2023</v>
      </c>
      <c r="C950" s="1">
        <v>45140</v>
      </c>
      <c r="D950" t="s">
        <v>42</v>
      </c>
      <c r="E950" t="s">
        <v>247</v>
      </c>
      <c r="F950">
        <v>61</v>
      </c>
      <c r="G950" t="s">
        <v>60</v>
      </c>
      <c r="H950" t="s">
        <v>45</v>
      </c>
      <c r="I950">
        <v>38</v>
      </c>
      <c r="J950">
        <v>28</v>
      </c>
      <c r="K950" t="s">
        <v>47</v>
      </c>
      <c r="L950" t="s">
        <v>47</v>
      </c>
      <c r="M950" t="s">
        <v>47</v>
      </c>
      <c r="N950" t="s">
        <v>50</v>
      </c>
      <c r="O950" t="s">
        <v>63</v>
      </c>
      <c r="P950">
        <v>31.2</v>
      </c>
      <c r="Q950" t="s">
        <v>50</v>
      </c>
      <c r="R950" t="s">
        <v>47</v>
      </c>
      <c r="S950" t="s">
        <v>47</v>
      </c>
      <c r="T950" t="s">
        <v>47</v>
      </c>
      <c r="U950" t="s">
        <v>47</v>
      </c>
      <c r="V950" t="s">
        <v>151</v>
      </c>
      <c r="W950" t="s">
        <v>46</v>
      </c>
      <c r="X950" t="s">
        <v>47</v>
      </c>
      <c r="Y950" t="s">
        <v>46</v>
      </c>
      <c r="Z950" t="s">
        <v>47</v>
      </c>
      <c r="AA950" t="s">
        <v>47</v>
      </c>
      <c r="AB950" t="s">
        <v>47</v>
      </c>
      <c r="AC950" t="s">
        <v>47</v>
      </c>
      <c r="AD950" t="s">
        <v>47</v>
      </c>
      <c r="AE950" t="s">
        <v>47</v>
      </c>
      <c r="AF950" t="s">
        <v>47</v>
      </c>
      <c r="AG950" t="s">
        <v>52</v>
      </c>
      <c r="AH950" t="s">
        <v>71</v>
      </c>
      <c r="AI950" t="s">
        <v>87</v>
      </c>
      <c r="AJ950">
        <v>5.0999999999999996</v>
      </c>
      <c r="AK950" t="s">
        <v>47</v>
      </c>
      <c r="AL950" t="s">
        <v>55</v>
      </c>
      <c r="AM950" t="s">
        <v>103</v>
      </c>
      <c r="AN950">
        <v>50</v>
      </c>
      <c r="AO950" t="s">
        <v>47</v>
      </c>
    </row>
    <row r="951" spans="1:41">
      <c r="A951" t="s">
        <v>1103</v>
      </c>
      <c r="B951">
        <v>2016</v>
      </c>
      <c r="C951" s="1">
        <v>42557</v>
      </c>
      <c r="D951" t="s">
        <v>42</v>
      </c>
      <c r="E951" t="s">
        <v>166</v>
      </c>
      <c r="F951">
        <v>60</v>
      </c>
      <c r="G951" t="s">
        <v>60</v>
      </c>
      <c r="H951" t="s">
        <v>70</v>
      </c>
      <c r="I951">
        <v>0</v>
      </c>
      <c r="J951">
        <v>0</v>
      </c>
      <c r="K951" t="s">
        <v>46</v>
      </c>
      <c r="L951" t="s">
        <v>47</v>
      </c>
      <c r="M951" t="s">
        <v>47</v>
      </c>
      <c r="N951" t="s">
        <v>62</v>
      </c>
      <c r="O951" t="s">
        <v>49</v>
      </c>
      <c r="P951">
        <v>27</v>
      </c>
      <c r="Q951" t="s">
        <v>50</v>
      </c>
      <c r="R951" t="s">
        <v>46</v>
      </c>
      <c r="S951" t="s">
        <v>47</v>
      </c>
      <c r="T951" t="s">
        <v>47</v>
      </c>
      <c r="U951" t="s">
        <v>47</v>
      </c>
      <c r="V951" t="s">
        <v>86</v>
      </c>
      <c r="W951" t="s">
        <v>47</v>
      </c>
      <c r="X951" t="s">
        <v>47</v>
      </c>
      <c r="Y951" t="s">
        <v>47</v>
      </c>
      <c r="Z951" t="s">
        <v>47</v>
      </c>
      <c r="AA951" t="s">
        <v>46</v>
      </c>
      <c r="AB951" t="s">
        <v>47</v>
      </c>
      <c r="AC951" t="s">
        <v>47</v>
      </c>
      <c r="AD951" t="s">
        <v>47</v>
      </c>
      <c r="AE951" t="s">
        <v>47</v>
      </c>
      <c r="AF951" t="s">
        <v>47</v>
      </c>
      <c r="AG951" t="s">
        <v>52</v>
      </c>
      <c r="AH951" t="s">
        <v>53</v>
      </c>
      <c r="AI951" t="s">
        <v>65</v>
      </c>
      <c r="AJ951">
        <v>2.2999999999999998</v>
      </c>
      <c r="AK951" t="s">
        <v>47</v>
      </c>
      <c r="AL951" t="s">
        <v>156</v>
      </c>
      <c r="AM951" t="s">
        <v>118</v>
      </c>
      <c r="AN951">
        <v>34</v>
      </c>
      <c r="AO951" t="s">
        <v>46</v>
      </c>
    </row>
    <row r="952" spans="1:41">
      <c r="A952" t="s">
        <v>1104</v>
      </c>
      <c r="B952">
        <v>2016</v>
      </c>
      <c r="C952" s="1">
        <v>42698</v>
      </c>
      <c r="D952" t="s">
        <v>95</v>
      </c>
      <c r="E952" t="s">
        <v>145</v>
      </c>
      <c r="F952">
        <v>67</v>
      </c>
      <c r="G952" t="s">
        <v>44</v>
      </c>
      <c r="H952" t="s">
        <v>70</v>
      </c>
      <c r="I952">
        <v>0</v>
      </c>
      <c r="J952">
        <v>0</v>
      </c>
      <c r="K952" t="s">
        <v>47</v>
      </c>
      <c r="L952" t="s">
        <v>47</v>
      </c>
      <c r="M952" t="s">
        <v>47</v>
      </c>
      <c r="N952" t="s">
        <v>48</v>
      </c>
      <c r="O952" t="s">
        <v>49</v>
      </c>
      <c r="P952">
        <v>28.7</v>
      </c>
      <c r="Q952" t="s">
        <v>50</v>
      </c>
      <c r="R952" t="s">
        <v>47</v>
      </c>
      <c r="S952" t="s">
        <v>47</v>
      </c>
      <c r="T952" t="s">
        <v>47</v>
      </c>
      <c r="U952" t="s">
        <v>47</v>
      </c>
      <c r="V952" t="s">
        <v>117</v>
      </c>
      <c r="W952" t="s">
        <v>46</v>
      </c>
      <c r="X952" t="s">
        <v>46</v>
      </c>
      <c r="Y952" t="s">
        <v>47</v>
      </c>
      <c r="Z952" t="s">
        <v>47</v>
      </c>
      <c r="AA952" t="s">
        <v>47</v>
      </c>
      <c r="AB952" t="s">
        <v>46</v>
      </c>
      <c r="AC952" t="s">
        <v>47</v>
      </c>
      <c r="AD952" t="s">
        <v>47</v>
      </c>
      <c r="AE952" t="s">
        <v>47</v>
      </c>
      <c r="AF952" t="s">
        <v>46</v>
      </c>
      <c r="AG952" t="s">
        <v>52</v>
      </c>
      <c r="AH952" t="s">
        <v>53</v>
      </c>
      <c r="AI952" t="s">
        <v>87</v>
      </c>
      <c r="AJ952">
        <v>3.4</v>
      </c>
      <c r="AK952" t="s">
        <v>47</v>
      </c>
      <c r="AL952" t="s">
        <v>76</v>
      </c>
      <c r="AM952" t="s">
        <v>77</v>
      </c>
      <c r="AN952">
        <v>36</v>
      </c>
      <c r="AO952" t="s">
        <v>47</v>
      </c>
    </row>
    <row r="953" spans="1:41">
      <c r="A953" t="s">
        <v>1105</v>
      </c>
      <c r="B953">
        <v>2025</v>
      </c>
      <c r="C953" s="1">
        <v>45821</v>
      </c>
      <c r="D953" t="s">
        <v>110</v>
      </c>
      <c r="E953" t="s">
        <v>225</v>
      </c>
      <c r="F953">
        <v>75</v>
      </c>
      <c r="G953" t="s">
        <v>60</v>
      </c>
      <c r="H953" t="s">
        <v>70</v>
      </c>
      <c r="I953">
        <v>0</v>
      </c>
      <c r="J953">
        <v>0</v>
      </c>
      <c r="K953" t="s">
        <v>47</v>
      </c>
      <c r="L953" t="s">
        <v>47</v>
      </c>
      <c r="M953" t="s">
        <v>47</v>
      </c>
      <c r="N953" t="s">
        <v>62</v>
      </c>
      <c r="O953" t="s">
        <v>49</v>
      </c>
      <c r="P953">
        <v>23.1</v>
      </c>
      <c r="Q953" t="s">
        <v>62</v>
      </c>
      <c r="R953" t="s">
        <v>47</v>
      </c>
      <c r="S953" t="s">
        <v>47</v>
      </c>
      <c r="T953" t="s">
        <v>46</v>
      </c>
      <c r="U953" t="s">
        <v>47</v>
      </c>
      <c r="V953" t="s">
        <v>51</v>
      </c>
      <c r="W953" t="s">
        <v>47</v>
      </c>
      <c r="X953" t="s">
        <v>46</v>
      </c>
      <c r="Y953" t="s">
        <v>47</v>
      </c>
      <c r="Z953" t="s">
        <v>46</v>
      </c>
      <c r="AA953" t="s">
        <v>47</v>
      </c>
      <c r="AB953" t="s">
        <v>47</v>
      </c>
      <c r="AC953" t="s">
        <v>47</v>
      </c>
      <c r="AD953" t="s">
        <v>46</v>
      </c>
      <c r="AE953" t="s">
        <v>47</v>
      </c>
      <c r="AF953" t="s">
        <v>47</v>
      </c>
      <c r="AG953" t="s">
        <v>52</v>
      </c>
      <c r="AH953" t="s">
        <v>53</v>
      </c>
      <c r="AI953" t="s">
        <v>80</v>
      </c>
      <c r="AJ953">
        <v>5.8</v>
      </c>
      <c r="AK953" t="s">
        <v>47</v>
      </c>
      <c r="AL953" t="s">
        <v>55</v>
      </c>
      <c r="AM953" t="s">
        <v>82</v>
      </c>
      <c r="AN953">
        <v>16</v>
      </c>
      <c r="AO953" t="s">
        <v>47</v>
      </c>
    </row>
    <row r="954" spans="1:41">
      <c r="A954" t="s">
        <v>1106</v>
      </c>
      <c r="B954">
        <v>2019</v>
      </c>
      <c r="C954" s="1">
        <v>43659</v>
      </c>
      <c r="D954" t="s">
        <v>42</v>
      </c>
      <c r="E954" t="s">
        <v>69</v>
      </c>
      <c r="F954">
        <v>74</v>
      </c>
      <c r="G954" t="s">
        <v>44</v>
      </c>
      <c r="H954" t="s">
        <v>70</v>
      </c>
      <c r="I954">
        <v>0</v>
      </c>
      <c r="J954">
        <v>0</v>
      </c>
      <c r="K954" t="s">
        <v>46</v>
      </c>
      <c r="L954" t="s">
        <v>47</v>
      </c>
      <c r="M954" t="s">
        <v>47</v>
      </c>
      <c r="N954" t="s">
        <v>62</v>
      </c>
      <c r="O954" t="s">
        <v>49</v>
      </c>
      <c r="P954">
        <v>25.9</v>
      </c>
      <c r="Q954" t="s">
        <v>48</v>
      </c>
      <c r="R954" t="s">
        <v>46</v>
      </c>
      <c r="S954" t="s">
        <v>47</v>
      </c>
      <c r="T954" t="s">
        <v>47</v>
      </c>
      <c r="U954" t="s">
        <v>47</v>
      </c>
      <c r="V954" t="s">
        <v>51</v>
      </c>
      <c r="W954" t="s">
        <v>47</v>
      </c>
      <c r="X954" t="s">
        <v>46</v>
      </c>
      <c r="Y954" t="s">
        <v>47</v>
      </c>
      <c r="Z954" t="s">
        <v>46</v>
      </c>
      <c r="AA954" t="s">
        <v>47</v>
      </c>
      <c r="AB954" t="s">
        <v>46</v>
      </c>
      <c r="AC954" t="s">
        <v>46</v>
      </c>
      <c r="AD954" t="s">
        <v>47</v>
      </c>
      <c r="AE954" t="s">
        <v>47</v>
      </c>
      <c r="AF954" t="s">
        <v>47</v>
      </c>
      <c r="AG954" t="s">
        <v>52</v>
      </c>
      <c r="AH954" t="s">
        <v>53</v>
      </c>
      <c r="AI954" t="s">
        <v>80</v>
      </c>
      <c r="AJ954">
        <v>5.2</v>
      </c>
      <c r="AK954" t="s">
        <v>47</v>
      </c>
      <c r="AL954" t="s">
        <v>81</v>
      </c>
      <c r="AM954" t="s">
        <v>56</v>
      </c>
      <c r="AN954">
        <v>10</v>
      </c>
      <c r="AO954" t="s">
        <v>46</v>
      </c>
    </row>
    <row r="955" spans="1:41">
      <c r="A955" t="s">
        <v>1107</v>
      </c>
      <c r="B955">
        <v>2016</v>
      </c>
      <c r="C955" s="1">
        <v>42696</v>
      </c>
      <c r="D955" t="s">
        <v>58</v>
      </c>
      <c r="E955" t="s">
        <v>220</v>
      </c>
      <c r="F955">
        <v>57</v>
      </c>
      <c r="G955" t="s">
        <v>60</v>
      </c>
      <c r="H955" t="s">
        <v>70</v>
      </c>
      <c r="I955">
        <v>0</v>
      </c>
      <c r="J955">
        <v>0</v>
      </c>
      <c r="K955" t="s">
        <v>47</v>
      </c>
      <c r="L955" t="s">
        <v>46</v>
      </c>
      <c r="M955" t="s">
        <v>47</v>
      </c>
      <c r="N955" t="s">
        <v>62</v>
      </c>
      <c r="O955" t="s">
        <v>49</v>
      </c>
      <c r="P955">
        <v>26.2</v>
      </c>
      <c r="Q955" t="s">
        <v>50</v>
      </c>
      <c r="R955" t="s">
        <v>46</v>
      </c>
      <c r="S955" t="s">
        <v>47</v>
      </c>
      <c r="T955" t="s">
        <v>47</v>
      </c>
      <c r="U955" t="s">
        <v>47</v>
      </c>
      <c r="V955" t="s">
        <v>51</v>
      </c>
      <c r="W955" t="s">
        <v>47</v>
      </c>
      <c r="X955" t="s">
        <v>46</v>
      </c>
      <c r="Y955" t="s">
        <v>47</v>
      </c>
      <c r="Z955" t="s">
        <v>47</v>
      </c>
      <c r="AA955" t="s">
        <v>47</v>
      </c>
      <c r="AB955" t="s">
        <v>46</v>
      </c>
      <c r="AC955" t="s">
        <v>47</v>
      </c>
      <c r="AD955" t="s">
        <v>46</v>
      </c>
      <c r="AE955" t="s">
        <v>47</v>
      </c>
      <c r="AF955" t="s">
        <v>47</v>
      </c>
      <c r="AG955" t="s">
        <v>52</v>
      </c>
      <c r="AH955" t="s">
        <v>53</v>
      </c>
      <c r="AI955" t="s">
        <v>65</v>
      </c>
      <c r="AJ955">
        <v>2.2999999999999998</v>
      </c>
      <c r="AK955" t="s">
        <v>47</v>
      </c>
      <c r="AL955" t="s">
        <v>72</v>
      </c>
      <c r="AM955" t="s">
        <v>73</v>
      </c>
      <c r="AN955">
        <v>68</v>
      </c>
      <c r="AO955" t="s">
        <v>46</v>
      </c>
    </row>
    <row r="956" spans="1:41">
      <c r="A956" t="s">
        <v>1108</v>
      </c>
      <c r="B956">
        <v>2022</v>
      </c>
      <c r="C956" s="1">
        <v>44641</v>
      </c>
      <c r="D956" t="s">
        <v>42</v>
      </c>
      <c r="E956" t="s">
        <v>136</v>
      </c>
      <c r="F956">
        <v>47</v>
      </c>
      <c r="G956" t="s">
        <v>44</v>
      </c>
      <c r="H956" t="s">
        <v>45</v>
      </c>
      <c r="I956">
        <v>21</v>
      </c>
      <c r="J956">
        <v>29</v>
      </c>
      <c r="K956" t="s">
        <v>46</v>
      </c>
      <c r="L956" t="s">
        <v>47</v>
      </c>
      <c r="M956" t="s">
        <v>47</v>
      </c>
      <c r="N956" t="s">
        <v>62</v>
      </c>
      <c r="O956" t="s">
        <v>63</v>
      </c>
      <c r="P956">
        <v>22.9</v>
      </c>
      <c r="Q956" t="s">
        <v>50</v>
      </c>
      <c r="R956" t="s">
        <v>47</v>
      </c>
      <c r="S956" t="s">
        <v>47</v>
      </c>
      <c r="T956" t="s">
        <v>47</v>
      </c>
      <c r="U956" t="s">
        <v>47</v>
      </c>
      <c r="V956" t="s">
        <v>151</v>
      </c>
      <c r="W956" t="s">
        <v>46</v>
      </c>
      <c r="X956" t="s">
        <v>46</v>
      </c>
      <c r="Y956" t="s">
        <v>47</v>
      </c>
      <c r="Z956" t="s">
        <v>47</v>
      </c>
      <c r="AA956" t="s">
        <v>46</v>
      </c>
      <c r="AB956" t="s">
        <v>46</v>
      </c>
      <c r="AC956" t="s">
        <v>47</v>
      </c>
      <c r="AD956" t="s">
        <v>47</v>
      </c>
      <c r="AE956" t="s">
        <v>47</v>
      </c>
      <c r="AF956" t="s">
        <v>47</v>
      </c>
      <c r="AG956" t="s">
        <v>52</v>
      </c>
      <c r="AH956" t="s">
        <v>90</v>
      </c>
      <c r="AI956" t="s">
        <v>80</v>
      </c>
      <c r="AJ956">
        <v>6.5</v>
      </c>
      <c r="AK956" t="s">
        <v>46</v>
      </c>
      <c r="AL956" t="s">
        <v>100</v>
      </c>
      <c r="AM956" t="s">
        <v>67</v>
      </c>
      <c r="AN956">
        <v>3</v>
      </c>
      <c r="AO956" t="s">
        <v>47</v>
      </c>
    </row>
    <row r="957" spans="1:41">
      <c r="A957" t="s">
        <v>1109</v>
      </c>
      <c r="B957">
        <v>2023</v>
      </c>
      <c r="C957" s="1">
        <v>44963</v>
      </c>
      <c r="D957" t="s">
        <v>110</v>
      </c>
      <c r="E957" t="s">
        <v>116</v>
      </c>
      <c r="F957">
        <v>64</v>
      </c>
      <c r="G957" t="s">
        <v>60</v>
      </c>
      <c r="H957" t="s">
        <v>70</v>
      </c>
      <c r="I957">
        <v>0</v>
      </c>
      <c r="J957">
        <v>0</v>
      </c>
      <c r="K957" t="s">
        <v>47</v>
      </c>
      <c r="L957" t="s">
        <v>47</v>
      </c>
      <c r="M957" t="s">
        <v>47</v>
      </c>
      <c r="N957" t="s">
        <v>62</v>
      </c>
      <c r="O957" t="s">
        <v>48</v>
      </c>
      <c r="P957">
        <v>31.5</v>
      </c>
      <c r="Q957" t="s">
        <v>50</v>
      </c>
      <c r="R957" t="s">
        <v>47</v>
      </c>
      <c r="S957" t="s">
        <v>47</v>
      </c>
      <c r="T957" t="s">
        <v>47</v>
      </c>
      <c r="U957" t="s">
        <v>47</v>
      </c>
      <c r="V957" t="s">
        <v>112</v>
      </c>
      <c r="W957" t="s">
        <v>47</v>
      </c>
      <c r="X957" t="s">
        <v>46</v>
      </c>
      <c r="Y957" t="s">
        <v>46</v>
      </c>
      <c r="Z957" t="s">
        <v>47</v>
      </c>
      <c r="AA957" t="s">
        <v>46</v>
      </c>
      <c r="AB957" t="s">
        <v>46</v>
      </c>
      <c r="AC957" t="s">
        <v>47</v>
      </c>
      <c r="AD957" t="s">
        <v>47</v>
      </c>
      <c r="AE957" t="s">
        <v>47</v>
      </c>
      <c r="AF957" t="s">
        <v>47</v>
      </c>
      <c r="AG957" t="s">
        <v>52</v>
      </c>
      <c r="AH957" t="s">
        <v>53</v>
      </c>
      <c r="AI957" t="s">
        <v>54</v>
      </c>
      <c r="AJ957">
        <v>10.9</v>
      </c>
      <c r="AK957" t="s">
        <v>46</v>
      </c>
      <c r="AL957" t="s">
        <v>66</v>
      </c>
      <c r="AM957" t="s">
        <v>77</v>
      </c>
      <c r="AN957">
        <v>8</v>
      </c>
      <c r="AO957" t="s">
        <v>47</v>
      </c>
    </row>
    <row r="958" spans="1:41">
      <c r="A958" t="s">
        <v>1110</v>
      </c>
      <c r="B958">
        <v>2019</v>
      </c>
      <c r="C958" s="1">
        <v>43663</v>
      </c>
      <c r="D958" t="s">
        <v>42</v>
      </c>
      <c r="E958" t="s">
        <v>166</v>
      </c>
      <c r="F958">
        <v>40</v>
      </c>
      <c r="G958" t="s">
        <v>44</v>
      </c>
      <c r="H958" t="s">
        <v>45</v>
      </c>
      <c r="I958">
        <v>25</v>
      </c>
      <c r="J958">
        <v>18</v>
      </c>
      <c r="K958" t="s">
        <v>46</v>
      </c>
      <c r="L958" t="s">
        <v>46</v>
      </c>
      <c r="M958" t="s">
        <v>47</v>
      </c>
      <c r="N958" t="s">
        <v>62</v>
      </c>
      <c r="O958" t="s">
        <v>63</v>
      </c>
      <c r="P958">
        <v>21.6</v>
      </c>
      <c r="Q958" t="s">
        <v>48</v>
      </c>
      <c r="R958" t="s">
        <v>47</v>
      </c>
      <c r="S958" t="s">
        <v>47</v>
      </c>
      <c r="T958" t="s">
        <v>47</v>
      </c>
      <c r="U958" t="s">
        <v>47</v>
      </c>
      <c r="V958" t="s">
        <v>51</v>
      </c>
      <c r="W958" t="s">
        <v>46</v>
      </c>
      <c r="X958" t="s">
        <v>46</v>
      </c>
      <c r="Y958" t="s">
        <v>47</v>
      </c>
      <c r="Z958" t="s">
        <v>47</v>
      </c>
      <c r="AA958" t="s">
        <v>46</v>
      </c>
      <c r="AB958" t="s">
        <v>47</v>
      </c>
      <c r="AC958" t="s">
        <v>46</v>
      </c>
      <c r="AD958" t="s">
        <v>47</v>
      </c>
      <c r="AE958" t="s">
        <v>47</v>
      </c>
      <c r="AF958" t="s">
        <v>47</v>
      </c>
      <c r="AG958" t="s">
        <v>52</v>
      </c>
      <c r="AH958" t="s">
        <v>71</v>
      </c>
      <c r="AI958" t="s">
        <v>87</v>
      </c>
      <c r="AJ958">
        <v>5.7</v>
      </c>
      <c r="AK958" t="s">
        <v>47</v>
      </c>
      <c r="AL958" t="s">
        <v>66</v>
      </c>
      <c r="AM958" t="s">
        <v>67</v>
      </c>
      <c r="AN958">
        <v>61</v>
      </c>
      <c r="AO958" t="s">
        <v>46</v>
      </c>
    </row>
    <row r="959" spans="1:41">
      <c r="A959" t="s">
        <v>1111</v>
      </c>
      <c r="B959">
        <v>2018</v>
      </c>
      <c r="C959" s="1">
        <v>43442</v>
      </c>
      <c r="D959" t="s">
        <v>110</v>
      </c>
      <c r="E959" t="s">
        <v>177</v>
      </c>
      <c r="F959">
        <v>70</v>
      </c>
      <c r="G959" t="s">
        <v>60</v>
      </c>
      <c r="H959" t="s">
        <v>70</v>
      </c>
      <c r="I959">
        <v>0</v>
      </c>
      <c r="J959">
        <v>0</v>
      </c>
      <c r="K959" t="s">
        <v>46</v>
      </c>
      <c r="L959" t="s">
        <v>46</v>
      </c>
      <c r="M959" t="s">
        <v>46</v>
      </c>
      <c r="N959" t="s">
        <v>62</v>
      </c>
      <c r="O959" t="s">
        <v>49</v>
      </c>
      <c r="P959">
        <v>23.7</v>
      </c>
      <c r="Q959" t="s">
        <v>50</v>
      </c>
      <c r="R959" t="s">
        <v>47</v>
      </c>
      <c r="S959" t="s">
        <v>47</v>
      </c>
      <c r="T959" t="s">
        <v>47</v>
      </c>
      <c r="U959" t="s">
        <v>47</v>
      </c>
      <c r="V959" t="s">
        <v>86</v>
      </c>
      <c r="W959" t="s">
        <v>46</v>
      </c>
      <c r="X959" t="s">
        <v>46</v>
      </c>
      <c r="Y959" t="s">
        <v>47</v>
      </c>
      <c r="Z959" t="s">
        <v>47</v>
      </c>
      <c r="AA959" t="s">
        <v>46</v>
      </c>
      <c r="AB959" t="s">
        <v>47</v>
      </c>
      <c r="AC959" t="s">
        <v>47</v>
      </c>
      <c r="AD959" t="s">
        <v>47</v>
      </c>
      <c r="AE959" t="s">
        <v>47</v>
      </c>
      <c r="AF959" t="s">
        <v>47</v>
      </c>
      <c r="AG959" t="s">
        <v>52</v>
      </c>
      <c r="AH959" t="s">
        <v>53</v>
      </c>
      <c r="AI959" t="s">
        <v>87</v>
      </c>
      <c r="AJ959">
        <v>3.2</v>
      </c>
      <c r="AK959" t="s">
        <v>47</v>
      </c>
      <c r="AL959" t="s">
        <v>81</v>
      </c>
      <c r="AM959" t="s">
        <v>67</v>
      </c>
      <c r="AN959">
        <v>43</v>
      </c>
      <c r="AO959" t="s">
        <v>46</v>
      </c>
    </row>
    <row r="960" spans="1:41">
      <c r="A960" t="s">
        <v>1112</v>
      </c>
      <c r="B960">
        <v>2023</v>
      </c>
      <c r="C960" s="1">
        <v>44936</v>
      </c>
      <c r="D960" t="s">
        <v>95</v>
      </c>
      <c r="E960" t="s">
        <v>96</v>
      </c>
      <c r="F960">
        <v>72</v>
      </c>
      <c r="G960" t="s">
        <v>60</v>
      </c>
      <c r="H960" t="s">
        <v>70</v>
      </c>
      <c r="I960">
        <v>0</v>
      </c>
      <c r="J960">
        <v>0</v>
      </c>
      <c r="K960" t="s">
        <v>46</v>
      </c>
      <c r="L960" t="s">
        <v>47</v>
      </c>
      <c r="M960" t="s">
        <v>47</v>
      </c>
      <c r="N960" t="s">
        <v>50</v>
      </c>
      <c r="O960" t="s">
        <v>63</v>
      </c>
      <c r="P960">
        <v>31</v>
      </c>
      <c r="Q960" t="s">
        <v>48</v>
      </c>
      <c r="R960" t="s">
        <v>47</v>
      </c>
      <c r="S960" t="s">
        <v>47</v>
      </c>
      <c r="T960" t="s">
        <v>47</v>
      </c>
      <c r="U960" t="s">
        <v>47</v>
      </c>
      <c r="V960" t="s">
        <v>51</v>
      </c>
      <c r="W960" t="s">
        <v>46</v>
      </c>
      <c r="X960" t="s">
        <v>47</v>
      </c>
      <c r="Y960" t="s">
        <v>47</v>
      </c>
      <c r="Z960" t="s">
        <v>47</v>
      </c>
      <c r="AA960" t="s">
        <v>47</v>
      </c>
      <c r="AB960" t="s">
        <v>46</v>
      </c>
      <c r="AC960" t="s">
        <v>47</v>
      </c>
      <c r="AD960" t="s">
        <v>47</v>
      </c>
      <c r="AE960" t="s">
        <v>47</v>
      </c>
      <c r="AF960" t="s">
        <v>47</v>
      </c>
      <c r="AG960" t="s">
        <v>52</v>
      </c>
      <c r="AH960" t="s">
        <v>53</v>
      </c>
      <c r="AI960" t="s">
        <v>87</v>
      </c>
      <c r="AJ960">
        <v>3.6</v>
      </c>
      <c r="AK960" t="s">
        <v>47</v>
      </c>
      <c r="AL960" t="s">
        <v>66</v>
      </c>
      <c r="AM960" t="s">
        <v>67</v>
      </c>
      <c r="AN960">
        <v>52</v>
      </c>
      <c r="AO960" t="s">
        <v>46</v>
      </c>
    </row>
    <row r="961" spans="1:41">
      <c r="A961" t="s">
        <v>1113</v>
      </c>
      <c r="B961">
        <v>2025</v>
      </c>
      <c r="C961" s="1">
        <v>45985</v>
      </c>
      <c r="D961" t="s">
        <v>110</v>
      </c>
      <c r="E961" t="s">
        <v>116</v>
      </c>
      <c r="F961">
        <v>54</v>
      </c>
      <c r="G961" t="s">
        <v>44</v>
      </c>
      <c r="H961" t="s">
        <v>70</v>
      </c>
      <c r="I961">
        <v>0</v>
      </c>
      <c r="J961">
        <v>0</v>
      </c>
      <c r="K961" t="s">
        <v>46</v>
      </c>
      <c r="L961" t="s">
        <v>47</v>
      </c>
      <c r="M961" t="s">
        <v>47</v>
      </c>
      <c r="N961" t="s">
        <v>62</v>
      </c>
      <c r="O961" t="s">
        <v>48</v>
      </c>
      <c r="P961">
        <v>21.2</v>
      </c>
      <c r="Q961" t="s">
        <v>50</v>
      </c>
      <c r="R961" t="s">
        <v>47</v>
      </c>
      <c r="S961" t="s">
        <v>47</v>
      </c>
      <c r="T961" t="s">
        <v>47</v>
      </c>
      <c r="U961" t="s">
        <v>47</v>
      </c>
      <c r="V961" t="s">
        <v>86</v>
      </c>
      <c r="W961" t="s">
        <v>47</v>
      </c>
      <c r="X961" t="s">
        <v>47</v>
      </c>
      <c r="Y961" t="s">
        <v>46</v>
      </c>
      <c r="Z961" t="s">
        <v>47</v>
      </c>
      <c r="AA961" t="s">
        <v>46</v>
      </c>
      <c r="AB961" t="s">
        <v>46</v>
      </c>
      <c r="AC961" t="s">
        <v>47</v>
      </c>
      <c r="AD961" t="s">
        <v>47</v>
      </c>
      <c r="AE961" t="s">
        <v>47</v>
      </c>
      <c r="AF961" t="s">
        <v>47</v>
      </c>
      <c r="AG961" t="s">
        <v>52</v>
      </c>
      <c r="AH961" t="s">
        <v>53</v>
      </c>
      <c r="AI961" t="s">
        <v>80</v>
      </c>
      <c r="AJ961">
        <v>8</v>
      </c>
      <c r="AK961" t="s">
        <v>47</v>
      </c>
      <c r="AL961" t="s">
        <v>156</v>
      </c>
      <c r="AM961" t="s">
        <v>82</v>
      </c>
      <c r="AN961">
        <v>15</v>
      </c>
      <c r="AO961" t="s">
        <v>47</v>
      </c>
    </row>
    <row r="962" spans="1:41">
      <c r="A962" t="s">
        <v>1114</v>
      </c>
      <c r="B962">
        <v>2024</v>
      </c>
      <c r="C962" s="1">
        <v>45491</v>
      </c>
      <c r="D962" t="s">
        <v>84</v>
      </c>
      <c r="E962" t="s">
        <v>102</v>
      </c>
      <c r="F962">
        <v>63</v>
      </c>
      <c r="G962" t="s">
        <v>44</v>
      </c>
      <c r="H962" t="s">
        <v>70</v>
      </c>
      <c r="I962">
        <v>0</v>
      </c>
      <c r="J962">
        <v>0</v>
      </c>
      <c r="K962" t="s">
        <v>46</v>
      </c>
      <c r="L962" t="s">
        <v>47</v>
      </c>
      <c r="M962" t="s">
        <v>47</v>
      </c>
      <c r="N962" t="s">
        <v>48</v>
      </c>
      <c r="O962" t="s">
        <v>63</v>
      </c>
      <c r="P962">
        <v>29</v>
      </c>
      <c r="Q962" t="s">
        <v>50</v>
      </c>
      <c r="R962" t="s">
        <v>47</v>
      </c>
      <c r="S962" t="s">
        <v>47</v>
      </c>
      <c r="T962" t="s">
        <v>46</v>
      </c>
      <c r="U962" t="s">
        <v>47</v>
      </c>
      <c r="V962" t="s">
        <v>117</v>
      </c>
      <c r="W962" t="s">
        <v>47</v>
      </c>
      <c r="X962" t="s">
        <v>47</v>
      </c>
      <c r="Y962" t="s">
        <v>47</v>
      </c>
      <c r="Z962" t="s">
        <v>47</v>
      </c>
      <c r="AA962" t="s">
        <v>47</v>
      </c>
      <c r="AB962" t="s">
        <v>47</v>
      </c>
      <c r="AC962" t="s">
        <v>47</v>
      </c>
      <c r="AD962" t="s">
        <v>47</v>
      </c>
      <c r="AE962" t="s">
        <v>46</v>
      </c>
      <c r="AF962" t="s">
        <v>47</v>
      </c>
      <c r="AG962" t="s">
        <v>52</v>
      </c>
      <c r="AH962" t="s">
        <v>53</v>
      </c>
      <c r="AI962" t="s">
        <v>54</v>
      </c>
      <c r="AJ962">
        <v>7.3</v>
      </c>
      <c r="AK962" t="s">
        <v>46</v>
      </c>
      <c r="AL962" t="s">
        <v>100</v>
      </c>
      <c r="AM962" t="s">
        <v>103</v>
      </c>
      <c r="AN962">
        <v>20</v>
      </c>
      <c r="AO962" t="s">
        <v>47</v>
      </c>
    </row>
    <row r="963" spans="1:41">
      <c r="A963" t="s">
        <v>1115</v>
      </c>
      <c r="B963">
        <v>2025</v>
      </c>
      <c r="C963" s="1">
        <v>45755</v>
      </c>
      <c r="D963" t="s">
        <v>84</v>
      </c>
      <c r="E963" t="s">
        <v>571</v>
      </c>
      <c r="F963">
        <v>73</v>
      </c>
      <c r="G963" t="s">
        <v>60</v>
      </c>
      <c r="H963" t="s">
        <v>70</v>
      </c>
      <c r="I963">
        <v>0</v>
      </c>
      <c r="J963">
        <v>0</v>
      </c>
      <c r="K963" t="s">
        <v>47</v>
      </c>
      <c r="L963" t="s">
        <v>47</v>
      </c>
      <c r="M963" t="s">
        <v>46</v>
      </c>
      <c r="N963" t="s">
        <v>62</v>
      </c>
      <c r="O963" t="s">
        <v>63</v>
      </c>
      <c r="P963">
        <v>26.3</v>
      </c>
      <c r="Q963" t="s">
        <v>50</v>
      </c>
      <c r="R963" t="s">
        <v>47</v>
      </c>
      <c r="S963" t="s">
        <v>47</v>
      </c>
      <c r="T963" t="s">
        <v>47</v>
      </c>
      <c r="U963" t="s">
        <v>47</v>
      </c>
      <c r="V963" t="s">
        <v>86</v>
      </c>
      <c r="W963" t="s">
        <v>47</v>
      </c>
      <c r="X963" t="s">
        <v>47</v>
      </c>
      <c r="Y963" t="s">
        <v>47</v>
      </c>
      <c r="Z963" t="s">
        <v>47</v>
      </c>
      <c r="AA963" t="s">
        <v>47</v>
      </c>
      <c r="AB963" t="s">
        <v>47</v>
      </c>
      <c r="AC963" t="s">
        <v>47</v>
      </c>
      <c r="AD963" t="s">
        <v>47</v>
      </c>
      <c r="AE963" t="s">
        <v>47</v>
      </c>
      <c r="AF963" t="s">
        <v>47</v>
      </c>
      <c r="AG963" t="s">
        <v>52</v>
      </c>
      <c r="AH963" t="s">
        <v>53</v>
      </c>
      <c r="AI963" t="s">
        <v>54</v>
      </c>
      <c r="AJ963">
        <v>10</v>
      </c>
      <c r="AK963" t="s">
        <v>46</v>
      </c>
      <c r="AL963" t="s">
        <v>81</v>
      </c>
      <c r="AM963" t="s">
        <v>118</v>
      </c>
      <c r="AN963">
        <v>11</v>
      </c>
      <c r="AO963" t="s">
        <v>47</v>
      </c>
    </row>
    <row r="964" spans="1:41">
      <c r="A964" t="s">
        <v>1116</v>
      </c>
      <c r="B964">
        <v>2018</v>
      </c>
      <c r="C964" s="1">
        <v>43256</v>
      </c>
      <c r="D964" t="s">
        <v>42</v>
      </c>
      <c r="E964" t="s">
        <v>247</v>
      </c>
      <c r="F964">
        <v>67</v>
      </c>
      <c r="G964" t="s">
        <v>60</v>
      </c>
      <c r="H964" t="s">
        <v>45</v>
      </c>
      <c r="I964">
        <v>30</v>
      </c>
      <c r="J964">
        <v>34</v>
      </c>
      <c r="K964" t="s">
        <v>47</v>
      </c>
      <c r="L964" t="s">
        <v>47</v>
      </c>
      <c r="M964" t="s">
        <v>47</v>
      </c>
      <c r="N964" t="s">
        <v>62</v>
      </c>
      <c r="O964" t="s">
        <v>49</v>
      </c>
      <c r="P964">
        <v>23.1</v>
      </c>
      <c r="Q964" t="s">
        <v>48</v>
      </c>
      <c r="R964" t="s">
        <v>47</v>
      </c>
      <c r="S964" t="s">
        <v>47</v>
      </c>
      <c r="T964" t="s">
        <v>47</v>
      </c>
      <c r="U964" t="s">
        <v>47</v>
      </c>
      <c r="V964" t="s">
        <v>64</v>
      </c>
      <c r="W964" t="s">
        <v>47</v>
      </c>
      <c r="X964" t="s">
        <v>46</v>
      </c>
      <c r="Y964" t="s">
        <v>46</v>
      </c>
      <c r="Z964" t="s">
        <v>46</v>
      </c>
      <c r="AA964" t="s">
        <v>46</v>
      </c>
      <c r="AB964" t="s">
        <v>47</v>
      </c>
      <c r="AC964" t="s">
        <v>47</v>
      </c>
      <c r="AD964" t="s">
        <v>47</v>
      </c>
      <c r="AE964" t="s">
        <v>46</v>
      </c>
      <c r="AF964" t="s">
        <v>47</v>
      </c>
      <c r="AG964" t="s">
        <v>121</v>
      </c>
      <c r="AH964" t="s">
        <v>122</v>
      </c>
      <c r="AI964" t="s">
        <v>87</v>
      </c>
      <c r="AJ964">
        <v>2.5</v>
      </c>
      <c r="AK964" t="s">
        <v>47</v>
      </c>
      <c r="AL964" t="s">
        <v>156</v>
      </c>
      <c r="AM964" t="s">
        <v>67</v>
      </c>
      <c r="AN964">
        <v>34</v>
      </c>
      <c r="AO964" t="s">
        <v>47</v>
      </c>
    </row>
    <row r="965" spans="1:41">
      <c r="A965" t="s">
        <v>1117</v>
      </c>
      <c r="B965">
        <v>2023</v>
      </c>
      <c r="C965" s="1">
        <v>45040</v>
      </c>
      <c r="D965" t="s">
        <v>95</v>
      </c>
      <c r="E965" t="s">
        <v>120</v>
      </c>
      <c r="F965">
        <v>63</v>
      </c>
      <c r="G965" t="s">
        <v>60</v>
      </c>
      <c r="H965" t="s">
        <v>45</v>
      </c>
      <c r="I965">
        <v>24</v>
      </c>
      <c r="J965">
        <v>26</v>
      </c>
      <c r="K965" t="s">
        <v>46</v>
      </c>
      <c r="L965" t="s">
        <v>46</v>
      </c>
      <c r="M965" t="s">
        <v>46</v>
      </c>
      <c r="N965" t="s">
        <v>48</v>
      </c>
      <c r="O965" t="s">
        <v>48</v>
      </c>
      <c r="P965">
        <v>22.7</v>
      </c>
      <c r="Q965" t="s">
        <v>48</v>
      </c>
      <c r="R965" t="s">
        <v>47</v>
      </c>
      <c r="S965" t="s">
        <v>46</v>
      </c>
      <c r="T965" t="s">
        <v>47</v>
      </c>
      <c r="U965" t="s">
        <v>47</v>
      </c>
      <c r="V965" t="s">
        <v>64</v>
      </c>
      <c r="W965" t="s">
        <v>46</v>
      </c>
      <c r="X965" t="s">
        <v>46</v>
      </c>
      <c r="Y965" t="s">
        <v>47</v>
      </c>
      <c r="Z965" t="s">
        <v>47</v>
      </c>
      <c r="AA965" t="s">
        <v>46</v>
      </c>
      <c r="AB965" t="s">
        <v>47</v>
      </c>
      <c r="AC965" t="s">
        <v>47</v>
      </c>
      <c r="AD965" t="s">
        <v>47</v>
      </c>
      <c r="AE965" t="s">
        <v>46</v>
      </c>
      <c r="AF965" t="s">
        <v>47</v>
      </c>
      <c r="AG965" t="s">
        <v>52</v>
      </c>
      <c r="AH965" t="s">
        <v>90</v>
      </c>
      <c r="AI965" t="s">
        <v>80</v>
      </c>
      <c r="AJ965">
        <v>4.8</v>
      </c>
      <c r="AK965" t="s">
        <v>47</v>
      </c>
      <c r="AL965" t="s">
        <v>100</v>
      </c>
      <c r="AM965" t="s">
        <v>77</v>
      </c>
      <c r="AN965">
        <v>18</v>
      </c>
      <c r="AO965" t="s">
        <v>47</v>
      </c>
    </row>
    <row r="966" spans="1:41">
      <c r="A966" t="s">
        <v>1118</v>
      </c>
      <c r="B966">
        <v>2022</v>
      </c>
      <c r="C966" s="1">
        <v>44587</v>
      </c>
      <c r="D966" t="s">
        <v>110</v>
      </c>
      <c r="E966" t="s">
        <v>231</v>
      </c>
      <c r="F966">
        <v>63</v>
      </c>
      <c r="G966" t="s">
        <v>60</v>
      </c>
      <c r="H966" t="s">
        <v>45</v>
      </c>
      <c r="I966">
        <v>21</v>
      </c>
      <c r="J966">
        <v>33</v>
      </c>
      <c r="K966" t="s">
        <v>46</v>
      </c>
      <c r="L966" t="s">
        <v>46</v>
      </c>
      <c r="M966" t="s">
        <v>47</v>
      </c>
      <c r="N966" t="s">
        <v>48</v>
      </c>
      <c r="O966" t="s">
        <v>49</v>
      </c>
      <c r="P966">
        <v>22.8</v>
      </c>
      <c r="Q966" t="s">
        <v>48</v>
      </c>
      <c r="R966" t="s">
        <v>47</v>
      </c>
      <c r="S966" t="s">
        <v>47</v>
      </c>
      <c r="T966" t="s">
        <v>47</v>
      </c>
      <c r="U966" t="s">
        <v>47</v>
      </c>
      <c r="V966" t="s">
        <v>51</v>
      </c>
      <c r="W966" t="s">
        <v>46</v>
      </c>
      <c r="X966" t="s">
        <v>46</v>
      </c>
      <c r="Y966" t="s">
        <v>47</v>
      </c>
      <c r="Z966" t="s">
        <v>47</v>
      </c>
      <c r="AA966" t="s">
        <v>47</v>
      </c>
      <c r="AB966" t="s">
        <v>46</v>
      </c>
      <c r="AC966" t="s">
        <v>46</v>
      </c>
      <c r="AD966" t="s">
        <v>47</v>
      </c>
      <c r="AE966" t="s">
        <v>47</v>
      </c>
      <c r="AF966" t="s">
        <v>47</v>
      </c>
      <c r="AG966" t="s">
        <v>52</v>
      </c>
      <c r="AH966" t="s">
        <v>53</v>
      </c>
      <c r="AI966" t="s">
        <v>65</v>
      </c>
      <c r="AJ966">
        <v>2.7</v>
      </c>
      <c r="AK966" t="s">
        <v>47</v>
      </c>
      <c r="AL966" t="s">
        <v>76</v>
      </c>
      <c r="AM966" t="s">
        <v>82</v>
      </c>
      <c r="AN966">
        <v>65</v>
      </c>
      <c r="AO966" t="s">
        <v>47</v>
      </c>
    </row>
    <row r="967" spans="1:41">
      <c r="A967" t="s">
        <v>1119</v>
      </c>
      <c r="B967">
        <v>2020</v>
      </c>
      <c r="C967" s="1">
        <v>44129</v>
      </c>
      <c r="D967" t="s">
        <v>58</v>
      </c>
      <c r="E967" t="s">
        <v>150</v>
      </c>
      <c r="F967">
        <v>54</v>
      </c>
      <c r="G967" t="s">
        <v>44</v>
      </c>
      <c r="H967" t="s">
        <v>70</v>
      </c>
      <c r="I967">
        <v>0</v>
      </c>
      <c r="J967">
        <v>0</v>
      </c>
      <c r="K967" t="s">
        <v>46</v>
      </c>
      <c r="L967" t="s">
        <v>46</v>
      </c>
      <c r="M967" t="s">
        <v>47</v>
      </c>
      <c r="N967" t="s">
        <v>48</v>
      </c>
      <c r="O967" t="s">
        <v>49</v>
      </c>
      <c r="P967">
        <v>21.3</v>
      </c>
      <c r="Q967" t="s">
        <v>48</v>
      </c>
      <c r="R967" t="s">
        <v>47</v>
      </c>
      <c r="S967" t="s">
        <v>47</v>
      </c>
      <c r="T967" t="s">
        <v>47</v>
      </c>
      <c r="U967" t="s">
        <v>47</v>
      </c>
      <c r="V967" t="s">
        <v>64</v>
      </c>
      <c r="W967" t="s">
        <v>47</v>
      </c>
      <c r="X967" t="s">
        <v>47</v>
      </c>
      <c r="Y967" t="s">
        <v>47</v>
      </c>
      <c r="Z967" t="s">
        <v>47</v>
      </c>
      <c r="AA967" t="s">
        <v>46</v>
      </c>
      <c r="AB967" t="s">
        <v>47</v>
      </c>
      <c r="AC967" t="s">
        <v>47</v>
      </c>
      <c r="AD967" t="s">
        <v>46</v>
      </c>
      <c r="AE967" t="s">
        <v>46</v>
      </c>
      <c r="AF967" t="s">
        <v>47</v>
      </c>
      <c r="AG967" t="s">
        <v>52</v>
      </c>
      <c r="AH967" t="s">
        <v>90</v>
      </c>
      <c r="AI967" t="s">
        <v>65</v>
      </c>
      <c r="AJ967">
        <v>3.1</v>
      </c>
      <c r="AK967" t="s">
        <v>47</v>
      </c>
      <c r="AL967" t="s">
        <v>76</v>
      </c>
      <c r="AM967" t="s">
        <v>67</v>
      </c>
      <c r="AN967">
        <v>58</v>
      </c>
      <c r="AO967" t="s">
        <v>46</v>
      </c>
    </row>
    <row r="968" spans="1:41">
      <c r="A968" t="s">
        <v>1120</v>
      </c>
      <c r="B968">
        <v>2020</v>
      </c>
      <c r="C968" s="1">
        <v>43928</v>
      </c>
      <c r="D968" t="s">
        <v>110</v>
      </c>
      <c r="E968" t="s">
        <v>227</v>
      </c>
      <c r="F968">
        <v>62</v>
      </c>
      <c r="G968" t="s">
        <v>60</v>
      </c>
      <c r="H968" t="s">
        <v>70</v>
      </c>
      <c r="I968">
        <v>0</v>
      </c>
      <c r="J968">
        <v>0</v>
      </c>
      <c r="K968" t="s">
        <v>47</v>
      </c>
      <c r="L968" t="s">
        <v>47</v>
      </c>
      <c r="M968" t="s">
        <v>46</v>
      </c>
      <c r="N968" t="s">
        <v>62</v>
      </c>
      <c r="O968" t="s">
        <v>49</v>
      </c>
      <c r="P968">
        <v>24.7</v>
      </c>
      <c r="Q968" t="s">
        <v>48</v>
      </c>
      <c r="R968" t="s">
        <v>47</v>
      </c>
      <c r="S968" t="s">
        <v>46</v>
      </c>
      <c r="T968" t="s">
        <v>47</v>
      </c>
      <c r="U968" t="s">
        <v>47</v>
      </c>
      <c r="V968" t="s">
        <v>112</v>
      </c>
      <c r="W968" t="s">
        <v>47</v>
      </c>
      <c r="X968" t="s">
        <v>47</v>
      </c>
      <c r="Y968" t="s">
        <v>47</v>
      </c>
      <c r="Z968" t="s">
        <v>47</v>
      </c>
      <c r="AA968" t="s">
        <v>46</v>
      </c>
      <c r="AB968" t="s">
        <v>46</v>
      </c>
      <c r="AC968" t="s">
        <v>47</v>
      </c>
      <c r="AD968" t="s">
        <v>46</v>
      </c>
      <c r="AE968" t="s">
        <v>46</v>
      </c>
      <c r="AF968" t="s">
        <v>46</v>
      </c>
      <c r="AG968" t="s">
        <v>52</v>
      </c>
      <c r="AH968" t="s">
        <v>53</v>
      </c>
      <c r="AI968" t="s">
        <v>54</v>
      </c>
      <c r="AJ968">
        <v>6.8</v>
      </c>
      <c r="AK968" t="s">
        <v>46</v>
      </c>
      <c r="AL968" t="s">
        <v>81</v>
      </c>
      <c r="AM968" t="s">
        <v>118</v>
      </c>
      <c r="AN968">
        <v>1</v>
      </c>
      <c r="AO968" t="s">
        <v>47</v>
      </c>
    </row>
    <row r="969" spans="1:41">
      <c r="A969" t="s">
        <v>1121</v>
      </c>
      <c r="B969">
        <v>2023</v>
      </c>
      <c r="C969" s="1">
        <v>44977</v>
      </c>
      <c r="D969" t="s">
        <v>42</v>
      </c>
      <c r="E969" t="s">
        <v>43</v>
      </c>
      <c r="F969">
        <v>73</v>
      </c>
      <c r="G969" t="s">
        <v>60</v>
      </c>
      <c r="H969" t="s">
        <v>70</v>
      </c>
      <c r="I969">
        <v>0</v>
      </c>
      <c r="J969">
        <v>0</v>
      </c>
      <c r="K969" t="s">
        <v>46</v>
      </c>
      <c r="L969" t="s">
        <v>47</v>
      </c>
      <c r="M969" t="s">
        <v>47</v>
      </c>
      <c r="N969" t="s">
        <v>48</v>
      </c>
      <c r="O969" t="s">
        <v>48</v>
      </c>
      <c r="P969">
        <v>30</v>
      </c>
      <c r="Q969" t="s">
        <v>50</v>
      </c>
      <c r="R969" t="s">
        <v>47</v>
      </c>
      <c r="S969" t="s">
        <v>47</v>
      </c>
      <c r="T969" t="s">
        <v>47</v>
      </c>
      <c r="U969" t="s">
        <v>47</v>
      </c>
      <c r="V969" t="s">
        <v>86</v>
      </c>
      <c r="W969" t="s">
        <v>46</v>
      </c>
      <c r="X969" t="s">
        <v>47</v>
      </c>
      <c r="Y969" t="s">
        <v>47</v>
      </c>
      <c r="Z969" t="s">
        <v>47</v>
      </c>
      <c r="AA969" t="s">
        <v>46</v>
      </c>
      <c r="AB969" t="s">
        <v>47</v>
      </c>
      <c r="AC969" t="s">
        <v>47</v>
      </c>
      <c r="AD969" t="s">
        <v>46</v>
      </c>
      <c r="AE969" t="s">
        <v>47</v>
      </c>
      <c r="AF969" t="s">
        <v>47</v>
      </c>
      <c r="AG969" t="s">
        <v>52</v>
      </c>
      <c r="AH969" t="s">
        <v>90</v>
      </c>
      <c r="AI969" t="s">
        <v>65</v>
      </c>
      <c r="AJ969">
        <v>3.7</v>
      </c>
      <c r="AK969" t="s">
        <v>47</v>
      </c>
      <c r="AL969" t="s">
        <v>81</v>
      </c>
      <c r="AM969" t="s">
        <v>73</v>
      </c>
      <c r="AN969">
        <v>22</v>
      </c>
      <c r="AO969" t="s">
        <v>47</v>
      </c>
    </row>
    <row r="970" spans="1:41">
      <c r="A970" t="s">
        <v>1122</v>
      </c>
      <c r="B970">
        <v>2022</v>
      </c>
      <c r="C970" s="1">
        <v>44793</v>
      </c>
      <c r="D970" t="s">
        <v>42</v>
      </c>
      <c r="E970" t="s">
        <v>43</v>
      </c>
      <c r="F970">
        <v>60</v>
      </c>
      <c r="G970" t="s">
        <v>60</v>
      </c>
      <c r="H970" t="s">
        <v>70</v>
      </c>
      <c r="I970">
        <v>0</v>
      </c>
      <c r="J970">
        <v>0</v>
      </c>
      <c r="K970" t="s">
        <v>47</v>
      </c>
      <c r="L970" t="s">
        <v>47</v>
      </c>
      <c r="M970" t="s">
        <v>47</v>
      </c>
      <c r="N970" t="s">
        <v>48</v>
      </c>
      <c r="O970" t="s">
        <v>48</v>
      </c>
      <c r="P970">
        <v>24.8</v>
      </c>
      <c r="Q970" t="s">
        <v>50</v>
      </c>
      <c r="R970" t="s">
        <v>47</v>
      </c>
      <c r="S970" t="s">
        <v>47</v>
      </c>
      <c r="T970" t="s">
        <v>47</v>
      </c>
      <c r="U970" t="s">
        <v>47</v>
      </c>
      <c r="V970" t="s">
        <v>193</v>
      </c>
      <c r="W970" t="s">
        <v>46</v>
      </c>
      <c r="X970" t="s">
        <v>46</v>
      </c>
      <c r="Y970" t="s">
        <v>46</v>
      </c>
      <c r="Z970" t="s">
        <v>47</v>
      </c>
      <c r="AA970" t="s">
        <v>47</v>
      </c>
      <c r="AB970" t="s">
        <v>47</v>
      </c>
      <c r="AC970" t="s">
        <v>47</v>
      </c>
      <c r="AD970" t="s">
        <v>46</v>
      </c>
      <c r="AE970" t="s">
        <v>47</v>
      </c>
      <c r="AF970" t="s">
        <v>47</v>
      </c>
      <c r="AG970" t="s">
        <v>52</v>
      </c>
      <c r="AH970" t="s">
        <v>90</v>
      </c>
      <c r="AI970" t="s">
        <v>87</v>
      </c>
      <c r="AJ970">
        <v>3.7</v>
      </c>
      <c r="AK970" t="s">
        <v>47</v>
      </c>
      <c r="AL970" t="s">
        <v>72</v>
      </c>
      <c r="AM970" t="s">
        <v>73</v>
      </c>
      <c r="AN970">
        <v>31</v>
      </c>
      <c r="AO970" t="s">
        <v>47</v>
      </c>
    </row>
    <row r="971" spans="1:41">
      <c r="A971" t="s">
        <v>1123</v>
      </c>
      <c r="B971">
        <v>2025</v>
      </c>
      <c r="C971" s="1">
        <v>45771</v>
      </c>
      <c r="D971" t="s">
        <v>95</v>
      </c>
      <c r="E971" t="s">
        <v>114</v>
      </c>
      <c r="F971">
        <v>53</v>
      </c>
      <c r="G971" t="s">
        <v>60</v>
      </c>
      <c r="H971" t="s">
        <v>45</v>
      </c>
      <c r="I971">
        <v>28</v>
      </c>
      <c r="J971">
        <v>21</v>
      </c>
      <c r="K971" t="s">
        <v>47</v>
      </c>
      <c r="L971" t="s">
        <v>46</v>
      </c>
      <c r="M971" t="s">
        <v>46</v>
      </c>
      <c r="N971" t="s">
        <v>48</v>
      </c>
      <c r="O971" t="s">
        <v>48</v>
      </c>
      <c r="P971">
        <v>31.4</v>
      </c>
      <c r="Q971" t="s">
        <v>62</v>
      </c>
      <c r="R971" t="s">
        <v>47</v>
      </c>
      <c r="S971" t="s">
        <v>47</v>
      </c>
      <c r="T971" t="s">
        <v>47</v>
      </c>
      <c r="U971" t="s">
        <v>46</v>
      </c>
      <c r="V971" t="s">
        <v>92</v>
      </c>
      <c r="W971" t="s">
        <v>46</v>
      </c>
      <c r="X971" t="s">
        <v>47</v>
      </c>
      <c r="Y971" t="s">
        <v>46</v>
      </c>
      <c r="Z971" t="s">
        <v>46</v>
      </c>
      <c r="AA971" t="s">
        <v>47</v>
      </c>
      <c r="AB971" t="s">
        <v>47</v>
      </c>
      <c r="AC971" t="s">
        <v>47</v>
      </c>
      <c r="AD971" t="s">
        <v>46</v>
      </c>
      <c r="AE971" t="s">
        <v>47</v>
      </c>
      <c r="AF971" t="s">
        <v>47</v>
      </c>
      <c r="AG971" t="s">
        <v>52</v>
      </c>
      <c r="AH971" t="s">
        <v>71</v>
      </c>
      <c r="AI971" t="s">
        <v>80</v>
      </c>
      <c r="AJ971">
        <v>6.8</v>
      </c>
      <c r="AK971" t="s">
        <v>47</v>
      </c>
      <c r="AL971" t="s">
        <v>76</v>
      </c>
      <c r="AM971" t="s">
        <v>103</v>
      </c>
      <c r="AN971">
        <v>17</v>
      </c>
      <c r="AO971" t="s">
        <v>46</v>
      </c>
    </row>
    <row r="972" spans="1:41">
      <c r="A972" t="s">
        <v>1124</v>
      </c>
      <c r="B972">
        <v>2018</v>
      </c>
      <c r="C972" s="1">
        <v>43296</v>
      </c>
      <c r="D972" t="s">
        <v>58</v>
      </c>
      <c r="E972" t="s">
        <v>59</v>
      </c>
      <c r="F972">
        <v>53</v>
      </c>
      <c r="G972" t="s">
        <v>60</v>
      </c>
      <c r="H972" t="s">
        <v>70</v>
      </c>
      <c r="I972">
        <v>0</v>
      </c>
      <c r="J972">
        <v>0</v>
      </c>
      <c r="K972" t="s">
        <v>46</v>
      </c>
      <c r="L972" t="s">
        <v>47</v>
      </c>
      <c r="M972" t="s">
        <v>47</v>
      </c>
      <c r="N972" t="s">
        <v>48</v>
      </c>
      <c r="O972" t="s">
        <v>48</v>
      </c>
      <c r="P972">
        <v>26.8</v>
      </c>
      <c r="Q972" t="s">
        <v>50</v>
      </c>
      <c r="R972" t="s">
        <v>47</v>
      </c>
      <c r="S972" t="s">
        <v>47</v>
      </c>
      <c r="T972" t="s">
        <v>47</v>
      </c>
      <c r="U972" t="s">
        <v>47</v>
      </c>
      <c r="V972" t="s">
        <v>117</v>
      </c>
      <c r="W972" t="s">
        <v>46</v>
      </c>
      <c r="X972" t="s">
        <v>47</v>
      </c>
      <c r="Y972" t="s">
        <v>47</v>
      </c>
      <c r="Z972" t="s">
        <v>47</v>
      </c>
      <c r="AA972" t="s">
        <v>46</v>
      </c>
      <c r="AB972" t="s">
        <v>47</v>
      </c>
      <c r="AC972" t="s">
        <v>47</v>
      </c>
      <c r="AD972" t="s">
        <v>47</v>
      </c>
      <c r="AE972" t="s">
        <v>46</v>
      </c>
      <c r="AF972" t="s">
        <v>47</v>
      </c>
      <c r="AG972" t="s">
        <v>52</v>
      </c>
      <c r="AH972" t="s">
        <v>90</v>
      </c>
      <c r="AI972" t="s">
        <v>65</v>
      </c>
      <c r="AJ972">
        <v>1.7</v>
      </c>
      <c r="AK972" t="s">
        <v>47</v>
      </c>
      <c r="AL972" t="s">
        <v>76</v>
      </c>
      <c r="AM972" t="s">
        <v>73</v>
      </c>
      <c r="AN972">
        <v>31</v>
      </c>
      <c r="AO972" t="s">
        <v>47</v>
      </c>
    </row>
    <row r="973" spans="1:41">
      <c r="A973" t="s">
        <v>1125</v>
      </c>
      <c r="B973">
        <v>2023</v>
      </c>
      <c r="C973" s="1">
        <v>45176</v>
      </c>
      <c r="D973" t="s">
        <v>58</v>
      </c>
      <c r="E973" t="s">
        <v>150</v>
      </c>
      <c r="F973">
        <v>61</v>
      </c>
      <c r="G973" t="s">
        <v>44</v>
      </c>
      <c r="H973" t="s">
        <v>70</v>
      </c>
      <c r="I973">
        <v>0</v>
      </c>
      <c r="J973">
        <v>0</v>
      </c>
      <c r="K973" t="s">
        <v>46</v>
      </c>
      <c r="L973" t="s">
        <v>47</v>
      </c>
      <c r="M973" t="s">
        <v>47</v>
      </c>
      <c r="N973" t="s">
        <v>48</v>
      </c>
      <c r="O973" t="s">
        <v>48</v>
      </c>
      <c r="P973">
        <v>26.6</v>
      </c>
      <c r="Q973" t="s">
        <v>50</v>
      </c>
      <c r="R973" t="s">
        <v>47</v>
      </c>
      <c r="S973" t="s">
        <v>47</v>
      </c>
      <c r="T973" t="s">
        <v>47</v>
      </c>
      <c r="U973" t="s">
        <v>47</v>
      </c>
      <c r="V973" t="s">
        <v>51</v>
      </c>
      <c r="W973" t="s">
        <v>46</v>
      </c>
      <c r="X973" t="s">
        <v>47</v>
      </c>
      <c r="Y973" t="s">
        <v>47</v>
      </c>
      <c r="Z973" t="s">
        <v>47</v>
      </c>
      <c r="AA973" t="s">
        <v>47</v>
      </c>
      <c r="AB973" t="s">
        <v>47</v>
      </c>
      <c r="AC973" t="s">
        <v>47</v>
      </c>
      <c r="AD973" t="s">
        <v>46</v>
      </c>
      <c r="AE973" t="s">
        <v>47</v>
      </c>
      <c r="AF973" t="s">
        <v>47</v>
      </c>
      <c r="AG973" t="s">
        <v>52</v>
      </c>
      <c r="AH973" t="s">
        <v>53</v>
      </c>
      <c r="AI973" t="s">
        <v>65</v>
      </c>
      <c r="AJ973">
        <v>2.8</v>
      </c>
      <c r="AK973" t="s">
        <v>47</v>
      </c>
      <c r="AL973" t="s">
        <v>76</v>
      </c>
      <c r="AM973" t="s">
        <v>73</v>
      </c>
      <c r="AN973">
        <v>72</v>
      </c>
      <c r="AO973" t="s">
        <v>46</v>
      </c>
    </row>
    <row r="974" spans="1:41">
      <c r="A974" t="s">
        <v>1126</v>
      </c>
      <c r="B974">
        <v>2025</v>
      </c>
      <c r="C974" s="1">
        <v>45733</v>
      </c>
      <c r="D974" t="s">
        <v>42</v>
      </c>
      <c r="E974" t="s">
        <v>247</v>
      </c>
      <c r="F974">
        <v>69</v>
      </c>
      <c r="G974" t="s">
        <v>60</v>
      </c>
      <c r="H974" t="s">
        <v>61</v>
      </c>
      <c r="I974">
        <v>12</v>
      </c>
      <c r="J974">
        <v>19</v>
      </c>
      <c r="K974" t="s">
        <v>47</v>
      </c>
      <c r="L974" t="s">
        <v>47</v>
      </c>
      <c r="M974" t="s">
        <v>47</v>
      </c>
      <c r="N974" t="s">
        <v>50</v>
      </c>
      <c r="O974" t="s">
        <v>49</v>
      </c>
      <c r="P974">
        <v>28.4</v>
      </c>
      <c r="Q974" t="s">
        <v>50</v>
      </c>
      <c r="R974" t="s">
        <v>46</v>
      </c>
      <c r="S974" t="s">
        <v>47</v>
      </c>
      <c r="T974" t="s">
        <v>47</v>
      </c>
      <c r="U974" t="s">
        <v>46</v>
      </c>
      <c r="V974" t="s">
        <v>151</v>
      </c>
      <c r="W974" t="s">
        <v>47</v>
      </c>
      <c r="X974" t="s">
        <v>47</v>
      </c>
      <c r="Y974" t="s">
        <v>47</v>
      </c>
      <c r="Z974" t="s">
        <v>46</v>
      </c>
      <c r="AA974" t="s">
        <v>46</v>
      </c>
      <c r="AB974" t="s">
        <v>46</v>
      </c>
      <c r="AC974" t="s">
        <v>47</v>
      </c>
      <c r="AD974" t="s">
        <v>47</v>
      </c>
      <c r="AE974" t="s">
        <v>46</v>
      </c>
      <c r="AF974" t="s">
        <v>47</v>
      </c>
      <c r="AG974" t="s">
        <v>52</v>
      </c>
      <c r="AH974" t="s">
        <v>71</v>
      </c>
      <c r="AI974" t="s">
        <v>80</v>
      </c>
      <c r="AJ974">
        <v>3.7</v>
      </c>
      <c r="AK974" t="s">
        <v>47</v>
      </c>
      <c r="AL974" t="s">
        <v>76</v>
      </c>
      <c r="AM974" t="s">
        <v>56</v>
      </c>
      <c r="AN974">
        <v>20</v>
      </c>
      <c r="AO974" t="s">
        <v>47</v>
      </c>
    </row>
    <row r="975" spans="1:41">
      <c r="A975" t="s">
        <v>1127</v>
      </c>
      <c r="B975">
        <v>2024</v>
      </c>
      <c r="C975" s="1">
        <v>45409</v>
      </c>
      <c r="D975" t="s">
        <v>110</v>
      </c>
      <c r="E975" t="s">
        <v>124</v>
      </c>
      <c r="F975">
        <v>59</v>
      </c>
      <c r="G975" t="s">
        <v>60</v>
      </c>
      <c r="H975" t="s">
        <v>70</v>
      </c>
      <c r="I975">
        <v>0</v>
      </c>
      <c r="J975">
        <v>0</v>
      </c>
      <c r="K975" t="s">
        <v>46</v>
      </c>
      <c r="L975" t="s">
        <v>46</v>
      </c>
      <c r="M975" t="s">
        <v>47</v>
      </c>
      <c r="N975" t="s">
        <v>62</v>
      </c>
      <c r="O975" t="s">
        <v>49</v>
      </c>
      <c r="P975">
        <v>31.9</v>
      </c>
      <c r="Q975" t="s">
        <v>50</v>
      </c>
      <c r="R975" t="s">
        <v>47</v>
      </c>
      <c r="S975" t="s">
        <v>47</v>
      </c>
      <c r="T975" t="s">
        <v>47</v>
      </c>
      <c r="U975" t="s">
        <v>47</v>
      </c>
      <c r="V975" t="s">
        <v>86</v>
      </c>
      <c r="W975" t="s">
        <v>46</v>
      </c>
      <c r="X975" t="s">
        <v>47</v>
      </c>
      <c r="Y975" t="s">
        <v>47</v>
      </c>
      <c r="Z975" t="s">
        <v>47</v>
      </c>
      <c r="AA975" t="s">
        <v>46</v>
      </c>
      <c r="AB975" t="s">
        <v>46</v>
      </c>
      <c r="AC975" t="s">
        <v>47</v>
      </c>
      <c r="AD975" t="s">
        <v>46</v>
      </c>
      <c r="AE975" t="s">
        <v>46</v>
      </c>
      <c r="AF975" t="s">
        <v>47</v>
      </c>
      <c r="AG975" t="s">
        <v>52</v>
      </c>
      <c r="AH975" t="s">
        <v>71</v>
      </c>
      <c r="AI975" t="s">
        <v>65</v>
      </c>
      <c r="AJ975">
        <v>1.9</v>
      </c>
      <c r="AK975" t="s">
        <v>47</v>
      </c>
      <c r="AL975" t="s">
        <v>76</v>
      </c>
      <c r="AM975" t="s">
        <v>73</v>
      </c>
      <c r="AN975">
        <v>36</v>
      </c>
      <c r="AO975" t="s">
        <v>46</v>
      </c>
    </row>
    <row r="976" spans="1:41">
      <c r="A976" t="s">
        <v>1128</v>
      </c>
      <c r="B976">
        <v>2024</v>
      </c>
      <c r="C976" s="1">
        <v>45462</v>
      </c>
      <c r="D976" t="s">
        <v>42</v>
      </c>
      <c r="E976" t="s">
        <v>154</v>
      </c>
      <c r="F976">
        <v>59</v>
      </c>
      <c r="G976" t="s">
        <v>60</v>
      </c>
      <c r="H976" t="s">
        <v>70</v>
      </c>
      <c r="I976">
        <v>0</v>
      </c>
      <c r="J976">
        <v>0</v>
      </c>
      <c r="K976" t="s">
        <v>47</v>
      </c>
      <c r="L976" t="s">
        <v>47</v>
      </c>
      <c r="M976" t="s">
        <v>47</v>
      </c>
      <c r="N976" t="s">
        <v>48</v>
      </c>
      <c r="O976" t="s">
        <v>48</v>
      </c>
      <c r="P976">
        <v>24</v>
      </c>
      <c r="Q976" t="s">
        <v>50</v>
      </c>
      <c r="R976" t="s">
        <v>47</v>
      </c>
      <c r="S976" t="s">
        <v>47</v>
      </c>
      <c r="T976" t="s">
        <v>47</v>
      </c>
      <c r="U976" t="s">
        <v>47</v>
      </c>
      <c r="V976" t="s">
        <v>171</v>
      </c>
      <c r="W976" t="s">
        <v>47</v>
      </c>
      <c r="X976" t="s">
        <v>47</v>
      </c>
      <c r="Y976" t="s">
        <v>47</v>
      </c>
      <c r="Z976" t="s">
        <v>47</v>
      </c>
      <c r="AA976" t="s">
        <v>46</v>
      </c>
      <c r="AB976" t="s">
        <v>47</v>
      </c>
      <c r="AC976" t="s">
        <v>47</v>
      </c>
      <c r="AD976" t="s">
        <v>47</v>
      </c>
      <c r="AE976" t="s">
        <v>47</v>
      </c>
      <c r="AF976" t="s">
        <v>46</v>
      </c>
      <c r="AG976" t="s">
        <v>52</v>
      </c>
      <c r="AH976" t="s">
        <v>90</v>
      </c>
      <c r="AI976" t="s">
        <v>54</v>
      </c>
      <c r="AJ976">
        <v>8.5</v>
      </c>
      <c r="AK976" t="s">
        <v>46</v>
      </c>
      <c r="AL976" t="s">
        <v>100</v>
      </c>
      <c r="AM976" t="s">
        <v>265</v>
      </c>
      <c r="AN976">
        <v>3</v>
      </c>
      <c r="AO976" t="s">
        <v>47</v>
      </c>
    </row>
    <row r="977" spans="1:41">
      <c r="A977" t="s">
        <v>1129</v>
      </c>
      <c r="B977">
        <v>2025</v>
      </c>
      <c r="C977" s="1">
        <v>45988</v>
      </c>
      <c r="D977" t="s">
        <v>84</v>
      </c>
      <c r="E977" t="s">
        <v>189</v>
      </c>
      <c r="F977">
        <v>54</v>
      </c>
      <c r="G977" t="s">
        <v>44</v>
      </c>
      <c r="H977" t="s">
        <v>70</v>
      </c>
      <c r="I977">
        <v>0</v>
      </c>
      <c r="J977">
        <v>0</v>
      </c>
      <c r="K977" t="s">
        <v>47</v>
      </c>
      <c r="L977" t="s">
        <v>47</v>
      </c>
      <c r="M977" t="s">
        <v>47</v>
      </c>
      <c r="N977" t="s">
        <v>50</v>
      </c>
      <c r="O977" t="s">
        <v>48</v>
      </c>
      <c r="P977">
        <v>22.8</v>
      </c>
      <c r="Q977" t="s">
        <v>50</v>
      </c>
      <c r="R977" t="s">
        <v>46</v>
      </c>
      <c r="S977" t="s">
        <v>47</v>
      </c>
      <c r="T977" t="s">
        <v>47</v>
      </c>
      <c r="U977" t="s">
        <v>47</v>
      </c>
      <c r="V977" t="s">
        <v>86</v>
      </c>
      <c r="W977" t="s">
        <v>47</v>
      </c>
      <c r="X977" t="s">
        <v>46</v>
      </c>
      <c r="Y977" t="s">
        <v>46</v>
      </c>
      <c r="Z977" t="s">
        <v>47</v>
      </c>
      <c r="AA977" t="s">
        <v>47</v>
      </c>
      <c r="AB977" t="s">
        <v>46</v>
      </c>
      <c r="AC977" t="s">
        <v>47</v>
      </c>
      <c r="AD977" t="s">
        <v>47</v>
      </c>
      <c r="AE977" t="s">
        <v>47</v>
      </c>
      <c r="AF977" t="s">
        <v>47</v>
      </c>
      <c r="AG977" t="s">
        <v>52</v>
      </c>
      <c r="AH977" t="s">
        <v>71</v>
      </c>
      <c r="AI977" t="s">
        <v>80</v>
      </c>
      <c r="AJ977">
        <v>6.1</v>
      </c>
      <c r="AK977" t="s">
        <v>47</v>
      </c>
      <c r="AL977" t="s">
        <v>81</v>
      </c>
      <c r="AM977" t="s">
        <v>77</v>
      </c>
      <c r="AN977">
        <v>11</v>
      </c>
      <c r="AO977" t="s">
        <v>47</v>
      </c>
    </row>
    <row r="978" spans="1:41">
      <c r="A978" t="s">
        <v>1130</v>
      </c>
      <c r="B978">
        <v>2017</v>
      </c>
      <c r="C978" s="1">
        <v>42835</v>
      </c>
      <c r="D978" t="s">
        <v>58</v>
      </c>
      <c r="E978" t="s">
        <v>142</v>
      </c>
      <c r="F978">
        <v>72</v>
      </c>
      <c r="G978" t="s">
        <v>60</v>
      </c>
      <c r="H978" t="s">
        <v>70</v>
      </c>
      <c r="I978">
        <v>0</v>
      </c>
      <c r="J978">
        <v>0</v>
      </c>
      <c r="K978" t="s">
        <v>47</v>
      </c>
      <c r="L978" t="s">
        <v>46</v>
      </c>
      <c r="M978" t="s">
        <v>46</v>
      </c>
      <c r="N978" t="s">
        <v>50</v>
      </c>
      <c r="O978" t="s">
        <v>49</v>
      </c>
      <c r="P978">
        <v>25.7</v>
      </c>
      <c r="Q978" t="s">
        <v>48</v>
      </c>
      <c r="R978" t="s">
        <v>47</v>
      </c>
      <c r="S978" t="s">
        <v>47</v>
      </c>
      <c r="T978" t="s">
        <v>47</v>
      </c>
      <c r="U978" t="s">
        <v>46</v>
      </c>
      <c r="V978" t="s">
        <v>86</v>
      </c>
      <c r="W978" t="s">
        <v>46</v>
      </c>
      <c r="X978" t="s">
        <v>47</v>
      </c>
      <c r="Y978" t="s">
        <v>47</v>
      </c>
      <c r="Z978" t="s">
        <v>47</v>
      </c>
      <c r="AA978" t="s">
        <v>46</v>
      </c>
      <c r="AB978" t="s">
        <v>47</v>
      </c>
      <c r="AC978" t="s">
        <v>46</v>
      </c>
      <c r="AD978" t="s">
        <v>47</v>
      </c>
      <c r="AE978" t="s">
        <v>47</v>
      </c>
      <c r="AF978" t="s">
        <v>47</v>
      </c>
      <c r="AG978" t="s">
        <v>52</v>
      </c>
      <c r="AH978" t="s">
        <v>53</v>
      </c>
      <c r="AI978" t="s">
        <v>80</v>
      </c>
      <c r="AJ978">
        <v>3.3</v>
      </c>
      <c r="AK978" t="s">
        <v>46</v>
      </c>
      <c r="AL978" t="s">
        <v>156</v>
      </c>
      <c r="AM978" t="s">
        <v>56</v>
      </c>
      <c r="AN978">
        <v>13</v>
      </c>
      <c r="AO978" t="s">
        <v>47</v>
      </c>
    </row>
    <row r="979" spans="1:41">
      <c r="A979" t="s">
        <v>1131</v>
      </c>
      <c r="B979">
        <v>2023</v>
      </c>
      <c r="C979" s="1">
        <v>45247</v>
      </c>
      <c r="D979" t="s">
        <v>98</v>
      </c>
      <c r="E979" t="s">
        <v>212</v>
      </c>
      <c r="F979">
        <v>72</v>
      </c>
      <c r="G979" t="s">
        <v>60</v>
      </c>
      <c r="H979" t="s">
        <v>45</v>
      </c>
      <c r="I979">
        <v>37</v>
      </c>
      <c r="J979">
        <v>36</v>
      </c>
      <c r="K979" t="s">
        <v>46</v>
      </c>
      <c r="L979" t="s">
        <v>47</v>
      </c>
      <c r="M979" t="s">
        <v>47</v>
      </c>
      <c r="N979" t="s">
        <v>62</v>
      </c>
      <c r="O979" t="s">
        <v>49</v>
      </c>
      <c r="P979">
        <v>27.3</v>
      </c>
      <c r="Q979" t="s">
        <v>50</v>
      </c>
      <c r="R979" t="s">
        <v>47</v>
      </c>
      <c r="S979" t="s">
        <v>47</v>
      </c>
      <c r="T979" t="s">
        <v>47</v>
      </c>
      <c r="U979" t="s">
        <v>47</v>
      </c>
      <c r="V979" t="s">
        <v>51</v>
      </c>
      <c r="W979" t="s">
        <v>47</v>
      </c>
      <c r="X979" t="s">
        <v>46</v>
      </c>
      <c r="Y979" t="s">
        <v>47</v>
      </c>
      <c r="Z979" t="s">
        <v>46</v>
      </c>
      <c r="AA979" t="s">
        <v>47</v>
      </c>
      <c r="AB979" t="s">
        <v>46</v>
      </c>
      <c r="AC979" t="s">
        <v>46</v>
      </c>
      <c r="AD979" t="s">
        <v>47</v>
      </c>
      <c r="AE979" t="s">
        <v>47</v>
      </c>
      <c r="AF979" t="s">
        <v>46</v>
      </c>
      <c r="AG979" t="s">
        <v>121</v>
      </c>
      <c r="AH979" t="s">
        <v>122</v>
      </c>
      <c r="AI979" t="s">
        <v>54</v>
      </c>
      <c r="AJ979">
        <v>5.7</v>
      </c>
      <c r="AK979" t="s">
        <v>46</v>
      </c>
      <c r="AL979" t="s">
        <v>156</v>
      </c>
      <c r="AM979" t="s">
        <v>103</v>
      </c>
      <c r="AN979">
        <v>1</v>
      </c>
      <c r="AO979" t="s">
        <v>47</v>
      </c>
    </row>
    <row r="980" spans="1:41">
      <c r="A980" t="s">
        <v>1132</v>
      </c>
      <c r="B980">
        <v>2021</v>
      </c>
      <c r="C980" s="1">
        <v>44387</v>
      </c>
      <c r="D980" t="s">
        <v>84</v>
      </c>
      <c r="E980" t="s">
        <v>184</v>
      </c>
      <c r="F980">
        <v>51</v>
      </c>
      <c r="G980" t="s">
        <v>60</v>
      </c>
      <c r="H980" t="s">
        <v>70</v>
      </c>
      <c r="I980">
        <v>0</v>
      </c>
      <c r="J980">
        <v>0</v>
      </c>
      <c r="K980" t="s">
        <v>46</v>
      </c>
      <c r="L980" t="s">
        <v>47</v>
      </c>
      <c r="M980" t="s">
        <v>46</v>
      </c>
      <c r="N980" t="s">
        <v>48</v>
      </c>
      <c r="O980" t="s">
        <v>49</v>
      </c>
      <c r="P980">
        <v>25</v>
      </c>
      <c r="Q980" t="s">
        <v>62</v>
      </c>
      <c r="R980" t="s">
        <v>47</v>
      </c>
      <c r="S980" t="s">
        <v>46</v>
      </c>
      <c r="T980" t="s">
        <v>47</v>
      </c>
      <c r="U980" t="s">
        <v>47</v>
      </c>
      <c r="V980" t="s">
        <v>51</v>
      </c>
      <c r="W980" t="s">
        <v>46</v>
      </c>
      <c r="X980" t="s">
        <v>47</v>
      </c>
      <c r="Y980" t="s">
        <v>46</v>
      </c>
      <c r="Z980" t="s">
        <v>46</v>
      </c>
      <c r="AA980" t="s">
        <v>46</v>
      </c>
      <c r="AB980" t="s">
        <v>46</v>
      </c>
      <c r="AC980" t="s">
        <v>47</v>
      </c>
      <c r="AD980" t="s">
        <v>47</v>
      </c>
      <c r="AE980" t="s">
        <v>46</v>
      </c>
      <c r="AF980" t="s">
        <v>47</v>
      </c>
      <c r="AG980" t="s">
        <v>52</v>
      </c>
      <c r="AH980" t="s">
        <v>53</v>
      </c>
      <c r="AI980" t="s">
        <v>54</v>
      </c>
      <c r="AJ980">
        <v>5.6</v>
      </c>
      <c r="AK980" t="s">
        <v>46</v>
      </c>
      <c r="AL980" t="s">
        <v>156</v>
      </c>
      <c r="AM980" t="s">
        <v>118</v>
      </c>
      <c r="AN980">
        <v>12</v>
      </c>
      <c r="AO980" t="s">
        <v>47</v>
      </c>
    </row>
    <row r="981" spans="1:41">
      <c r="A981" t="s">
        <v>1133</v>
      </c>
      <c r="B981">
        <v>2025</v>
      </c>
      <c r="C981" s="1">
        <v>45675</v>
      </c>
      <c r="D981" t="s">
        <v>98</v>
      </c>
      <c r="E981" t="s">
        <v>484</v>
      </c>
      <c r="F981">
        <v>61</v>
      </c>
      <c r="G981" t="s">
        <v>60</v>
      </c>
      <c r="H981" t="s">
        <v>70</v>
      </c>
      <c r="I981">
        <v>0</v>
      </c>
      <c r="J981">
        <v>0</v>
      </c>
      <c r="K981" t="s">
        <v>47</v>
      </c>
      <c r="L981" t="s">
        <v>47</v>
      </c>
      <c r="M981" t="s">
        <v>47</v>
      </c>
      <c r="N981" t="s">
        <v>48</v>
      </c>
      <c r="O981" t="s">
        <v>63</v>
      </c>
      <c r="P981">
        <v>23.3</v>
      </c>
      <c r="Q981" t="s">
        <v>62</v>
      </c>
      <c r="R981" t="s">
        <v>47</v>
      </c>
      <c r="S981" t="s">
        <v>47</v>
      </c>
      <c r="T981" t="s">
        <v>47</v>
      </c>
      <c r="U981" t="s">
        <v>47</v>
      </c>
      <c r="V981" t="s">
        <v>117</v>
      </c>
      <c r="W981" t="s">
        <v>47</v>
      </c>
      <c r="X981" t="s">
        <v>47</v>
      </c>
      <c r="Y981" t="s">
        <v>47</v>
      </c>
      <c r="Z981" t="s">
        <v>47</v>
      </c>
      <c r="AA981" t="s">
        <v>47</v>
      </c>
      <c r="AB981" t="s">
        <v>47</v>
      </c>
      <c r="AC981" t="s">
        <v>47</v>
      </c>
      <c r="AD981" t="s">
        <v>47</v>
      </c>
      <c r="AE981" t="s">
        <v>47</v>
      </c>
      <c r="AF981" t="s">
        <v>47</v>
      </c>
      <c r="AG981" t="s">
        <v>52</v>
      </c>
      <c r="AH981" t="s">
        <v>53</v>
      </c>
      <c r="AI981" t="s">
        <v>54</v>
      </c>
      <c r="AJ981">
        <v>5.3</v>
      </c>
      <c r="AK981" t="s">
        <v>46</v>
      </c>
      <c r="AL981" t="s">
        <v>66</v>
      </c>
      <c r="AM981" t="s">
        <v>56</v>
      </c>
      <c r="AN981">
        <v>12</v>
      </c>
      <c r="AO981" t="s">
        <v>47</v>
      </c>
    </row>
    <row r="982" spans="1:41">
      <c r="A982" t="s">
        <v>1134</v>
      </c>
      <c r="B982">
        <v>2020</v>
      </c>
      <c r="C982" s="1">
        <v>44171</v>
      </c>
      <c r="D982" t="s">
        <v>42</v>
      </c>
      <c r="E982" t="s">
        <v>79</v>
      </c>
      <c r="F982">
        <v>69</v>
      </c>
      <c r="G982" t="s">
        <v>60</v>
      </c>
      <c r="H982" t="s">
        <v>70</v>
      </c>
      <c r="I982">
        <v>0</v>
      </c>
      <c r="J982">
        <v>0</v>
      </c>
      <c r="K982" t="s">
        <v>46</v>
      </c>
      <c r="L982" t="s">
        <v>47</v>
      </c>
      <c r="M982" t="s">
        <v>47</v>
      </c>
      <c r="N982" t="s">
        <v>62</v>
      </c>
      <c r="O982" t="s">
        <v>49</v>
      </c>
      <c r="P982">
        <v>25.2</v>
      </c>
      <c r="Q982" t="s">
        <v>48</v>
      </c>
      <c r="R982" t="s">
        <v>47</v>
      </c>
      <c r="S982" t="s">
        <v>47</v>
      </c>
      <c r="T982" t="s">
        <v>47</v>
      </c>
      <c r="U982" t="s">
        <v>47</v>
      </c>
      <c r="V982" t="s">
        <v>86</v>
      </c>
      <c r="W982" t="s">
        <v>46</v>
      </c>
      <c r="X982" t="s">
        <v>47</v>
      </c>
      <c r="Y982" t="s">
        <v>47</v>
      </c>
      <c r="Z982" t="s">
        <v>46</v>
      </c>
      <c r="AA982" t="s">
        <v>46</v>
      </c>
      <c r="AB982" t="s">
        <v>47</v>
      </c>
      <c r="AC982" t="s">
        <v>47</v>
      </c>
      <c r="AD982" t="s">
        <v>47</v>
      </c>
      <c r="AE982" t="s">
        <v>47</v>
      </c>
      <c r="AF982" t="s">
        <v>46</v>
      </c>
      <c r="AG982" t="s">
        <v>52</v>
      </c>
      <c r="AH982" t="s">
        <v>71</v>
      </c>
      <c r="AI982" t="s">
        <v>80</v>
      </c>
      <c r="AJ982">
        <v>7.9</v>
      </c>
      <c r="AK982" t="s">
        <v>47</v>
      </c>
      <c r="AL982" t="s">
        <v>76</v>
      </c>
      <c r="AM982" t="s">
        <v>77</v>
      </c>
      <c r="AN982">
        <v>21</v>
      </c>
      <c r="AO982" t="s">
        <v>47</v>
      </c>
    </row>
    <row r="983" spans="1:41">
      <c r="A983" t="s">
        <v>1135</v>
      </c>
      <c r="B983">
        <v>2022</v>
      </c>
      <c r="C983" s="1">
        <v>44820</v>
      </c>
      <c r="D983" t="s">
        <v>42</v>
      </c>
      <c r="E983" t="s">
        <v>43</v>
      </c>
      <c r="F983">
        <v>63</v>
      </c>
      <c r="G983" t="s">
        <v>44</v>
      </c>
      <c r="H983" t="s">
        <v>70</v>
      </c>
      <c r="I983">
        <v>0</v>
      </c>
      <c r="J983">
        <v>0</v>
      </c>
      <c r="K983" t="s">
        <v>46</v>
      </c>
      <c r="L983" t="s">
        <v>46</v>
      </c>
      <c r="M983" t="s">
        <v>47</v>
      </c>
      <c r="N983" t="s">
        <v>62</v>
      </c>
      <c r="O983" t="s">
        <v>48</v>
      </c>
      <c r="P983">
        <v>32.9</v>
      </c>
      <c r="Q983" t="s">
        <v>62</v>
      </c>
      <c r="R983" t="s">
        <v>47</v>
      </c>
      <c r="S983" t="s">
        <v>47</v>
      </c>
      <c r="T983" t="s">
        <v>46</v>
      </c>
      <c r="U983" t="s">
        <v>47</v>
      </c>
      <c r="V983" t="s">
        <v>51</v>
      </c>
      <c r="W983" t="s">
        <v>46</v>
      </c>
      <c r="X983" t="s">
        <v>47</v>
      </c>
      <c r="Y983" t="s">
        <v>46</v>
      </c>
      <c r="Z983" t="s">
        <v>47</v>
      </c>
      <c r="AA983" t="s">
        <v>46</v>
      </c>
      <c r="AB983" t="s">
        <v>47</v>
      </c>
      <c r="AC983" t="s">
        <v>47</v>
      </c>
      <c r="AD983" t="s">
        <v>47</v>
      </c>
      <c r="AE983" t="s">
        <v>47</v>
      </c>
      <c r="AF983" t="s">
        <v>47</v>
      </c>
      <c r="AG983" t="s">
        <v>52</v>
      </c>
      <c r="AH983" t="s">
        <v>53</v>
      </c>
      <c r="AI983" t="s">
        <v>54</v>
      </c>
      <c r="AJ983">
        <v>6.7</v>
      </c>
      <c r="AK983" t="s">
        <v>46</v>
      </c>
      <c r="AL983" t="s">
        <v>76</v>
      </c>
      <c r="AM983" t="s">
        <v>77</v>
      </c>
      <c r="AN983">
        <v>7</v>
      </c>
      <c r="AO983" t="s">
        <v>47</v>
      </c>
    </row>
    <row r="984" spans="1:41">
      <c r="A984" t="s">
        <v>1136</v>
      </c>
      <c r="B984">
        <v>2022</v>
      </c>
      <c r="C984" s="1">
        <v>44733</v>
      </c>
      <c r="D984" t="s">
        <v>42</v>
      </c>
      <c r="E984" t="s">
        <v>79</v>
      </c>
      <c r="F984">
        <v>61</v>
      </c>
      <c r="G984" t="s">
        <v>44</v>
      </c>
      <c r="H984" t="s">
        <v>70</v>
      </c>
      <c r="I984">
        <v>0</v>
      </c>
      <c r="J984">
        <v>0</v>
      </c>
      <c r="K984" t="s">
        <v>47</v>
      </c>
      <c r="L984" t="s">
        <v>47</v>
      </c>
      <c r="M984" t="s">
        <v>47</v>
      </c>
      <c r="N984" t="s">
        <v>48</v>
      </c>
      <c r="O984" t="s">
        <v>48</v>
      </c>
      <c r="P984">
        <v>35.700000000000003</v>
      </c>
      <c r="Q984" t="s">
        <v>50</v>
      </c>
      <c r="R984" t="s">
        <v>47</v>
      </c>
      <c r="S984" t="s">
        <v>47</v>
      </c>
      <c r="T984" t="s">
        <v>47</v>
      </c>
      <c r="U984" t="s">
        <v>47</v>
      </c>
      <c r="V984" t="s">
        <v>51</v>
      </c>
      <c r="W984" t="s">
        <v>47</v>
      </c>
      <c r="X984" t="s">
        <v>47</v>
      </c>
      <c r="Y984" t="s">
        <v>47</v>
      </c>
      <c r="Z984" t="s">
        <v>47</v>
      </c>
      <c r="AA984" t="s">
        <v>46</v>
      </c>
      <c r="AB984" t="s">
        <v>47</v>
      </c>
      <c r="AC984" t="s">
        <v>46</v>
      </c>
      <c r="AD984" t="s">
        <v>47</v>
      </c>
      <c r="AE984" t="s">
        <v>46</v>
      </c>
      <c r="AF984" t="s">
        <v>47</v>
      </c>
      <c r="AG984" t="s">
        <v>52</v>
      </c>
      <c r="AH984" t="s">
        <v>90</v>
      </c>
      <c r="AI984" t="s">
        <v>87</v>
      </c>
      <c r="AJ984">
        <v>4.5</v>
      </c>
      <c r="AK984" t="s">
        <v>47</v>
      </c>
      <c r="AL984" t="s">
        <v>81</v>
      </c>
      <c r="AM984" t="s">
        <v>77</v>
      </c>
      <c r="AN984">
        <v>50</v>
      </c>
      <c r="AO984" t="s">
        <v>46</v>
      </c>
    </row>
    <row r="985" spans="1:41">
      <c r="A985" t="s">
        <v>1137</v>
      </c>
      <c r="B985">
        <v>2024</v>
      </c>
      <c r="C985" s="1">
        <v>45546</v>
      </c>
      <c r="D985" t="s">
        <v>42</v>
      </c>
      <c r="E985" t="s">
        <v>79</v>
      </c>
      <c r="F985">
        <v>55</v>
      </c>
      <c r="G985" t="s">
        <v>44</v>
      </c>
      <c r="H985" t="s">
        <v>70</v>
      </c>
      <c r="I985">
        <v>0</v>
      </c>
      <c r="J985">
        <v>0</v>
      </c>
      <c r="K985" t="s">
        <v>46</v>
      </c>
      <c r="L985" t="s">
        <v>46</v>
      </c>
      <c r="M985" t="s">
        <v>47</v>
      </c>
      <c r="N985" t="s">
        <v>50</v>
      </c>
      <c r="O985" t="s">
        <v>49</v>
      </c>
      <c r="P985">
        <v>27.7</v>
      </c>
      <c r="Q985" t="s">
        <v>62</v>
      </c>
      <c r="R985" t="s">
        <v>47</v>
      </c>
      <c r="S985" t="s">
        <v>47</v>
      </c>
      <c r="T985" t="s">
        <v>47</v>
      </c>
      <c r="U985" t="s">
        <v>47</v>
      </c>
      <c r="V985" t="s">
        <v>51</v>
      </c>
      <c r="W985" t="s">
        <v>47</v>
      </c>
      <c r="X985" t="s">
        <v>47</v>
      </c>
      <c r="Y985" t="s">
        <v>46</v>
      </c>
      <c r="Z985" t="s">
        <v>47</v>
      </c>
      <c r="AA985" t="s">
        <v>46</v>
      </c>
      <c r="AB985" t="s">
        <v>47</v>
      </c>
      <c r="AC985" t="s">
        <v>47</v>
      </c>
      <c r="AD985" t="s">
        <v>47</v>
      </c>
      <c r="AE985" t="s">
        <v>47</v>
      </c>
      <c r="AF985" t="s">
        <v>47</v>
      </c>
      <c r="AG985" t="s">
        <v>52</v>
      </c>
      <c r="AH985" t="s">
        <v>53</v>
      </c>
      <c r="AI985" t="s">
        <v>65</v>
      </c>
      <c r="AJ985">
        <v>1.9</v>
      </c>
      <c r="AK985" t="s">
        <v>47</v>
      </c>
      <c r="AL985" t="s">
        <v>72</v>
      </c>
      <c r="AM985" t="s">
        <v>67</v>
      </c>
      <c r="AN985">
        <v>89</v>
      </c>
      <c r="AO985" t="s">
        <v>46</v>
      </c>
    </row>
    <row r="986" spans="1:41">
      <c r="A986" t="s">
        <v>1138</v>
      </c>
      <c r="B986">
        <v>2016</v>
      </c>
      <c r="C986" s="1">
        <v>42556</v>
      </c>
      <c r="D986" t="s">
        <v>42</v>
      </c>
      <c r="E986" t="s">
        <v>247</v>
      </c>
      <c r="F986">
        <v>47</v>
      </c>
      <c r="G986" t="s">
        <v>44</v>
      </c>
      <c r="H986" t="s">
        <v>61</v>
      </c>
      <c r="I986">
        <v>5</v>
      </c>
      <c r="J986">
        <v>15</v>
      </c>
      <c r="K986" t="s">
        <v>47</v>
      </c>
      <c r="L986" t="s">
        <v>46</v>
      </c>
      <c r="M986" t="s">
        <v>46</v>
      </c>
      <c r="N986" t="s">
        <v>50</v>
      </c>
      <c r="O986" t="s">
        <v>49</v>
      </c>
      <c r="P986">
        <v>29.5</v>
      </c>
      <c r="Q986" t="s">
        <v>50</v>
      </c>
      <c r="R986" t="s">
        <v>46</v>
      </c>
      <c r="S986" t="s">
        <v>47</v>
      </c>
      <c r="T986" t="s">
        <v>47</v>
      </c>
      <c r="U986" t="s">
        <v>47</v>
      </c>
      <c r="V986" t="s">
        <v>112</v>
      </c>
      <c r="W986" t="s">
        <v>47</v>
      </c>
      <c r="X986" t="s">
        <v>47</v>
      </c>
      <c r="Y986" t="s">
        <v>46</v>
      </c>
      <c r="Z986" t="s">
        <v>47</v>
      </c>
      <c r="AA986" t="s">
        <v>47</v>
      </c>
      <c r="AB986" t="s">
        <v>46</v>
      </c>
      <c r="AC986" t="s">
        <v>46</v>
      </c>
      <c r="AD986" t="s">
        <v>47</v>
      </c>
      <c r="AE986" t="s">
        <v>47</v>
      </c>
      <c r="AF986" t="s">
        <v>46</v>
      </c>
      <c r="AG986" t="s">
        <v>52</v>
      </c>
      <c r="AH986" t="s">
        <v>71</v>
      </c>
      <c r="AI986" t="s">
        <v>87</v>
      </c>
      <c r="AJ986">
        <v>3.6</v>
      </c>
      <c r="AK986" t="s">
        <v>47</v>
      </c>
      <c r="AL986" t="s">
        <v>156</v>
      </c>
      <c r="AM986" t="s">
        <v>67</v>
      </c>
      <c r="AN986">
        <v>29</v>
      </c>
      <c r="AO986" t="s">
        <v>47</v>
      </c>
    </row>
    <row r="987" spans="1:41">
      <c r="A987" t="s">
        <v>1139</v>
      </c>
      <c r="B987">
        <v>2016</v>
      </c>
      <c r="C987" s="1">
        <v>42557</v>
      </c>
      <c r="D987" t="s">
        <v>110</v>
      </c>
      <c r="E987" t="s">
        <v>116</v>
      </c>
      <c r="F987">
        <v>64</v>
      </c>
      <c r="G987" t="s">
        <v>44</v>
      </c>
      <c r="H987" t="s">
        <v>70</v>
      </c>
      <c r="I987">
        <v>0</v>
      </c>
      <c r="J987">
        <v>0</v>
      </c>
      <c r="K987" t="s">
        <v>46</v>
      </c>
      <c r="L987" t="s">
        <v>47</v>
      </c>
      <c r="M987" t="s">
        <v>47</v>
      </c>
      <c r="N987" t="s">
        <v>62</v>
      </c>
      <c r="O987" t="s">
        <v>63</v>
      </c>
      <c r="P987">
        <v>27.9</v>
      </c>
      <c r="Q987" t="s">
        <v>62</v>
      </c>
      <c r="R987" t="s">
        <v>47</v>
      </c>
      <c r="S987" t="s">
        <v>47</v>
      </c>
      <c r="T987" t="s">
        <v>47</v>
      </c>
      <c r="U987" t="s">
        <v>47</v>
      </c>
      <c r="V987" t="s">
        <v>86</v>
      </c>
      <c r="W987" t="s">
        <v>47</v>
      </c>
      <c r="X987" t="s">
        <v>47</v>
      </c>
      <c r="Y987" t="s">
        <v>47</v>
      </c>
      <c r="Z987" t="s">
        <v>47</v>
      </c>
      <c r="AA987" t="s">
        <v>47</v>
      </c>
      <c r="AB987" t="s">
        <v>46</v>
      </c>
      <c r="AC987" t="s">
        <v>47</v>
      </c>
      <c r="AD987" t="s">
        <v>47</v>
      </c>
      <c r="AE987" t="s">
        <v>47</v>
      </c>
      <c r="AF987" t="s">
        <v>47</v>
      </c>
      <c r="AG987" t="s">
        <v>121</v>
      </c>
      <c r="AH987" t="s">
        <v>122</v>
      </c>
      <c r="AI987" t="s">
        <v>87</v>
      </c>
      <c r="AJ987">
        <v>5.2</v>
      </c>
      <c r="AK987" t="s">
        <v>47</v>
      </c>
      <c r="AL987" t="s">
        <v>55</v>
      </c>
      <c r="AM987" t="s">
        <v>118</v>
      </c>
      <c r="AN987">
        <v>10</v>
      </c>
      <c r="AO987" t="s">
        <v>46</v>
      </c>
    </row>
    <row r="988" spans="1:41">
      <c r="A988" t="s">
        <v>1140</v>
      </c>
      <c r="B988">
        <v>2022</v>
      </c>
      <c r="C988" s="1">
        <v>44781</v>
      </c>
      <c r="D988" t="s">
        <v>95</v>
      </c>
      <c r="E988" t="s">
        <v>132</v>
      </c>
      <c r="F988">
        <v>53</v>
      </c>
      <c r="G988" t="s">
        <v>44</v>
      </c>
      <c r="H988" t="s">
        <v>70</v>
      </c>
      <c r="I988">
        <v>0</v>
      </c>
      <c r="J988">
        <v>0</v>
      </c>
      <c r="K988" t="s">
        <v>46</v>
      </c>
      <c r="L988" t="s">
        <v>46</v>
      </c>
      <c r="M988" t="s">
        <v>47</v>
      </c>
      <c r="N988" t="s">
        <v>62</v>
      </c>
      <c r="O988" t="s">
        <v>49</v>
      </c>
      <c r="P988">
        <v>20.6</v>
      </c>
      <c r="Q988" t="s">
        <v>62</v>
      </c>
      <c r="R988" t="s">
        <v>47</v>
      </c>
      <c r="S988" t="s">
        <v>47</v>
      </c>
      <c r="T988" t="s">
        <v>47</v>
      </c>
      <c r="U988" t="s">
        <v>47</v>
      </c>
      <c r="V988" t="s">
        <v>51</v>
      </c>
      <c r="W988" t="s">
        <v>47</v>
      </c>
      <c r="X988" t="s">
        <v>46</v>
      </c>
      <c r="Y988" t="s">
        <v>47</v>
      </c>
      <c r="Z988" t="s">
        <v>47</v>
      </c>
      <c r="AA988" t="s">
        <v>47</v>
      </c>
      <c r="AB988" t="s">
        <v>47</v>
      </c>
      <c r="AC988" t="s">
        <v>46</v>
      </c>
      <c r="AD988" t="s">
        <v>47</v>
      </c>
      <c r="AE988" t="s">
        <v>47</v>
      </c>
      <c r="AF988" t="s">
        <v>46</v>
      </c>
      <c r="AG988" t="s">
        <v>52</v>
      </c>
      <c r="AH988" t="s">
        <v>53</v>
      </c>
      <c r="AI988" t="s">
        <v>80</v>
      </c>
      <c r="AJ988">
        <v>5.7</v>
      </c>
      <c r="AK988" t="s">
        <v>47</v>
      </c>
      <c r="AL988" t="s">
        <v>100</v>
      </c>
      <c r="AM988" t="s">
        <v>77</v>
      </c>
      <c r="AN988">
        <v>14</v>
      </c>
      <c r="AO988" t="s">
        <v>46</v>
      </c>
    </row>
    <row r="989" spans="1:41">
      <c r="A989" t="s">
        <v>1141</v>
      </c>
      <c r="B989">
        <v>2019</v>
      </c>
      <c r="C989" s="1">
        <v>43613</v>
      </c>
      <c r="D989" t="s">
        <v>110</v>
      </c>
      <c r="E989" t="s">
        <v>294</v>
      </c>
      <c r="F989">
        <v>74</v>
      </c>
      <c r="G989" t="s">
        <v>60</v>
      </c>
      <c r="H989" t="s">
        <v>61</v>
      </c>
      <c r="I989">
        <v>10</v>
      </c>
      <c r="J989">
        <v>11</v>
      </c>
      <c r="K989" t="s">
        <v>46</v>
      </c>
      <c r="L989" t="s">
        <v>47</v>
      </c>
      <c r="M989" t="s">
        <v>47</v>
      </c>
      <c r="N989" t="s">
        <v>48</v>
      </c>
      <c r="O989" t="s">
        <v>63</v>
      </c>
      <c r="P989">
        <v>27.7</v>
      </c>
      <c r="Q989" t="s">
        <v>48</v>
      </c>
      <c r="R989" t="s">
        <v>47</v>
      </c>
      <c r="S989" t="s">
        <v>47</v>
      </c>
      <c r="T989" t="s">
        <v>47</v>
      </c>
      <c r="U989" t="s">
        <v>47</v>
      </c>
      <c r="V989" t="s">
        <v>51</v>
      </c>
      <c r="W989" t="s">
        <v>46</v>
      </c>
      <c r="X989" t="s">
        <v>47</v>
      </c>
      <c r="Y989" t="s">
        <v>47</v>
      </c>
      <c r="Z989" t="s">
        <v>47</v>
      </c>
      <c r="AA989" t="s">
        <v>46</v>
      </c>
      <c r="AB989" t="s">
        <v>47</v>
      </c>
      <c r="AC989" t="s">
        <v>46</v>
      </c>
      <c r="AD989" t="s">
        <v>47</v>
      </c>
      <c r="AE989" t="s">
        <v>47</v>
      </c>
      <c r="AF989" t="s">
        <v>47</v>
      </c>
      <c r="AG989" t="s">
        <v>52</v>
      </c>
      <c r="AH989" t="s">
        <v>90</v>
      </c>
      <c r="AI989" t="s">
        <v>65</v>
      </c>
      <c r="AJ989">
        <v>3</v>
      </c>
      <c r="AK989" t="s">
        <v>47</v>
      </c>
      <c r="AL989" t="s">
        <v>81</v>
      </c>
      <c r="AM989" t="s">
        <v>73</v>
      </c>
      <c r="AN989">
        <v>60</v>
      </c>
      <c r="AO989" t="s">
        <v>47</v>
      </c>
    </row>
    <row r="990" spans="1:41">
      <c r="A990" t="s">
        <v>1142</v>
      </c>
      <c r="B990">
        <v>2021</v>
      </c>
      <c r="C990" s="1">
        <v>44410</v>
      </c>
      <c r="D990" t="s">
        <v>110</v>
      </c>
      <c r="E990" t="s">
        <v>116</v>
      </c>
      <c r="F990">
        <v>53</v>
      </c>
      <c r="G990" t="s">
        <v>44</v>
      </c>
      <c r="H990" t="s">
        <v>61</v>
      </c>
      <c r="I990">
        <v>24</v>
      </c>
      <c r="J990">
        <v>15</v>
      </c>
      <c r="K990" t="s">
        <v>46</v>
      </c>
      <c r="L990" t="s">
        <v>47</v>
      </c>
      <c r="M990" t="s">
        <v>47</v>
      </c>
      <c r="N990" t="s">
        <v>48</v>
      </c>
      <c r="O990" t="s">
        <v>49</v>
      </c>
      <c r="P990">
        <v>25.6</v>
      </c>
      <c r="Q990" t="s">
        <v>48</v>
      </c>
      <c r="R990" t="s">
        <v>47</v>
      </c>
      <c r="S990" t="s">
        <v>47</v>
      </c>
      <c r="T990" t="s">
        <v>47</v>
      </c>
      <c r="U990" t="s">
        <v>47</v>
      </c>
      <c r="V990" t="s">
        <v>51</v>
      </c>
      <c r="W990" t="s">
        <v>47</v>
      </c>
      <c r="X990" t="s">
        <v>47</v>
      </c>
      <c r="Y990" t="s">
        <v>47</v>
      </c>
      <c r="Z990" t="s">
        <v>47</v>
      </c>
      <c r="AA990" t="s">
        <v>46</v>
      </c>
      <c r="AB990" t="s">
        <v>47</v>
      </c>
      <c r="AC990" t="s">
        <v>47</v>
      </c>
      <c r="AD990" t="s">
        <v>47</v>
      </c>
      <c r="AE990" t="s">
        <v>47</v>
      </c>
      <c r="AF990" t="s">
        <v>47</v>
      </c>
      <c r="AG990" t="s">
        <v>52</v>
      </c>
      <c r="AH990" t="s">
        <v>53</v>
      </c>
      <c r="AI990" t="s">
        <v>87</v>
      </c>
      <c r="AJ990">
        <v>3.8</v>
      </c>
      <c r="AK990" t="s">
        <v>47</v>
      </c>
      <c r="AL990" t="s">
        <v>76</v>
      </c>
      <c r="AM990" t="s">
        <v>77</v>
      </c>
      <c r="AN990">
        <v>34</v>
      </c>
      <c r="AO990" t="s">
        <v>47</v>
      </c>
    </row>
    <row r="991" spans="1:41">
      <c r="A991" t="s">
        <v>1143</v>
      </c>
      <c r="B991">
        <v>2016</v>
      </c>
      <c r="C991" s="1">
        <v>42565</v>
      </c>
      <c r="D991" t="s">
        <v>42</v>
      </c>
      <c r="E991" t="s">
        <v>75</v>
      </c>
      <c r="F991">
        <v>45</v>
      </c>
      <c r="G991" t="s">
        <v>44</v>
      </c>
      <c r="H991" t="s">
        <v>70</v>
      </c>
      <c r="I991">
        <v>0</v>
      </c>
      <c r="J991">
        <v>0</v>
      </c>
      <c r="K991" t="s">
        <v>46</v>
      </c>
      <c r="L991" t="s">
        <v>47</v>
      </c>
      <c r="M991" t="s">
        <v>47</v>
      </c>
      <c r="N991" t="s">
        <v>62</v>
      </c>
      <c r="O991" t="s">
        <v>63</v>
      </c>
      <c r="P991">
        <v>21.3</v>
      </c>
      <c r="Q991" t="s">
        <v>50</v>
      </c>
      <c r="R991" t="s">
        <v>47</v>
      </c>
      <c r="S991" t="s">
        <v>47</v>
      </c>
      <c r="T991" t="s">
        <v>47</v>
      </c>
      <c r="U991" t="s">
        <v>47</v>
      </c>
      <c r="V991" t="s">
        <v>51</v>
      </c>
      <c r="W991" t="s">
        <v>47</v>
      </c>
      <c r="X991" t="s">
        <v>46</v>
      </c>
      <c r="Y991" t="s">
        <v>47</v>
      </c>
      <c r="Z991" t="s">
        <v>46</v>
      </c>
      <c r="AA991" t="s">
        <v>46</v>
      </c>
      <c r="AB991" t="s">
        <v>47</v>
      </c>
      <c r="AC991" t="s">
        <v>47</v>
      </c>
      <c r="AD991" t="s">
        <v>47</v>
      </c>
      <c r="AE991" t="s">
        <v>47</v>
      </c>
      <c r="AF991" t="s">
        <v>46</v>
      </c>
      <c r="AG991" t="s">
        <v>52</v>
      </c>
      <c r="AH991" t="s">
        <v>53</v>
      </c>
      <c r="AI991" t="s">
        <v>80</v>
      </c>
      <c r="AJ991">
        <v>3</v>
      </c>
      <c r="AK991" t="s">
        <v>47</v>
      </c>
      <c r="AL991" t="s">
        <v>100</v>
      </c>
      <c r="AM991" t="s">
        <v>82</v>
      </c>
      <c r="AN991">
        <v>30</v>
      </c>
      <c r="AO991" t="s">
        <v>46</v>
      </c>
    </row>
    <row r="992" spans="1:41">
      <c r="A992" t="s">
        <v>1144</v>
      </c>
      <c r="B992">
        <v>2020</v>
      </c>
      <c r="C992" s="1">
        <v>44079</v>
      </c>
      <c r="D992" t="s">
        <v>42</v>
      </c>
      <c r="E992" t="s">
        <v>79</v>
      </c>
      <c r="F992">
        <v>60</v>
      </c>
      <c r="G992" t="s">
        <v>44</v>
      </c>
      <c r="H992" t="s">
        <v>70</v>
      </c>
      <c r="I992">
        <v>0</v>
      </c>
      <c r="J992">
        <v>0</v>
      </c>
      <c r="K992" t="s">
        <v>47</v>
      </c>
      <c r="L992" t="s">
        <v>47</v>
      </c>
      <c r="M992" t="s">
        <v>46</v>
      </c>
      <c r="N992" t="s">
        <v>62</v>
      </c>
      <c r="O992" t="s">
        <v>49</v>
      </c>
      <c r="P992">
        <v>29.5</v>
      </c>
      <c r="Q992" t="s">
        <v>50</v>
      </c>
      <c r="R992" t="s">
        <v>47</v>
      </c>
      <c r="S992" t="s">
        <v>47</v>
      </c>
      <c r="T992" t="s">
        <v>47</v>
      </c>
      <c r="U992" t="s">
        <v>47</v>
      </c>
      <c r="V992" t="s">
        <v>51</v>
      </c>
      <c r="W992" t="s">
        <v>47</v>
      </c>
      <c r="X992" t="s">
        <v>47</v>
      </c>
      <c r="Y992" t="s">
        <v>47</v>
      </c>
      <c r="Z992" t="s">
        <v>47</v>
      </c>
      <c r="AA992" t="s">
        <v>46</v>
      </c>
      <c r="AB992" t="s">
        <v>47</v>
      </c>
      <c r="AC992" t="s">
        <v>47</v>
      </c>
      <c r="AD992" t="s">
        <v>47</v>
      </c>
      <c r="AE992" t="s">
        <v>47</v>
      </c>
      <c r="AF992" t="s">
        <v>47</v>
      </c>
      <c r="AG992" t="s">
        <v>52</v>
      </c>
      <c r="AH992" t="s">
        <v>53</v>
      </c>
      <c r="AI992" t="s">
        <v>65</v>
      </c>
      <c r="AJ992">
        <v>2.2000000000000002</v>
      </c>
      <c r="AK992" t="s">
        <v>47</v>
      </c>
      <c r="AL992" t="s">
        <v>72</v>
      </c>
      <c r="AM992" t="s">
        <v>67</v>
      </c>
      <c r="AN992">
        <v>70</v>
      </c>
      <c r="AO992" t="s">
        <v>46</v>
      </c>
    </row>
    <row r="993" spans="1:41">
      <c r="A993" t="s">
        <v>1145</v>
      </c>
      <c r="B993">
        <v>2025</v>
      </c>
      <c r="C993" s="1">
        <v>45756</v>
      </c>
      <c r="D993" t="s">
        <v>42</v>
      </c>
      <c r="E993" t="s">
        <v>160</v>
      </c>
      <c r="F993">
        <v>60</v>
      </c>
      <c r="G993" t="s">
        <v>60</v>
      </c>
      <c r="H993" t="s">
        <v>70</v>
      </c>
      <c r="I993">
        <v>0</v>
      </c>
      <c r="J993">
        <v>0</v>
      </c>
      <c r="K993" t="s">
        <v>47</v>
      </c>
      <c r="L993" t="s">
        <v>47</v>
      </c>
      <c r="M993" t="s">
        <v>47</v>
      </c>
      <c r="N993" t="s">
        <v>48</v>
      </c>
      <c r="O993" t="s">
        <v>49</v>
      </c>
      <c r="P993">
        <v>17.5</v>
      </c>
      <c r="Q993" t="s">
        <v>50</v>
      </c>
      <c r="R993" t="s">
        <v>47</v>
      </c>
      <c r="S993" t="s">
        <v>47</v>
      </c>
      <c r="T993" t="s">
        <v>47</v>
      </c>
      <c r="U993" t="s">
        <v>47</v>
      </c>
      <c r="V993" t="s">
        <v>86</v>
      </c>
      <c r="W993" t="s">
        <v>47</v>
      </c>
      <c r="X993" t="s">
        <v>46</v>
      </c>
      <c r="Y993" t="s">
        <v>47</v>
      </c>
      <c r="Z993" t="s">
        <v>47</v>
      </c>
      <c r="AA993" t="s">
        <v>46</v>
      </c>
      <c r="AB993" t="s">
        <v>47</v>
      </c>
      <c r="AC993" t="s">
        <v>47</v>
      </c>
      <c r="AD993" t="s">
        <v>47</v>
      </c>
      <c r="AE993" t="s">
        <v>47</v>
      </c>
      <c r="AF993" t="s">
        <v>47</v>
      </c>
      <c r="AG993" t="s">
        <v>52</v>
      </c>
      <c r="AH993" t="s">
        <v>71</v>
      </c>
      <c r="AI993" t="s">
        <v>65</v>
      </c>
      <c r="AJ993">
        <v>2</v>
      </c>
      <c r="AK993" t="s">
        <v>47</v>
      </c>
      <c r="AL993" t="s">
        <v>76</v>
      </c>
      <c r="AM993" t="s">
        <v>73</v>
      </c>
      <c r="AN993">
        <v>57</v>
      </c>
      <c r="AO993" t="s">
        <v>46</v>
      </c>
    </row>
    <row r="994" spans="1:41">
      <c r="A994" t="s">
        <v>1146</v>
      </c>
      <c r="B994">
        <v>2022</v>
      </c>
      <c r="C994" s="1">
        <v>44733</v>
      </c>
      <c r="D994" t="s">
        <v>84</v>
      </c>
      <c r="E994" t="s">
        <v>85</v>
      </c>
      <c r="F994">
        <v>65</v>
      </c>
      <c r="G994" t="s">
        <v>60</v>
      </c>
      <c r="H994" t="s">
        <v>70</v>
      </c>
      <c r="I994">
        <v>0</v>
      </c>
      <c r="J994">
        <v>0</v>
      </c>
      <c r="K994" t="s">
        <v>46</v>
      </c>
      <c r="L994" t="s">
        <v>47</v>
      </c>
      <c r="M994" t="s">
        <v>47</v>
      </c>
      <c r="N994" t="s">
        <v>50</v>
      </c>
      <c r="O994" t="s">
        <v>49</v>
      </c>
      <c r="P994">
        <v>26.1</v>
      </c>
      <c r="Q994" t="s">
        <v>62</v>
      </c>
      <c r="R994" t="s">
        <v>47</v>
      </c>
      <c r="S994" t="s">
        <v>47</v>
      </c>
      <c r="T994" t="s">
        <v>47</v>
      </c>
      <c r="U994" t="s">
        <v>47</v>
      </c>
      <c r="V994" t="s">
        <v>128</v>
      </c>
      <c r="W994" t="s">
        <v>46</v>
      </c>
      <c r="X994" t="s">
        <v>46</v>
      </c>
      <c r="Y994" t="s">
        <v>46</v>
      </c>
      <c r="Z994" t="s">
        <v>47</v>
      </c>
      <c r="AA994" t="s">
        <v>46</v>
      </c>
      <c r="AB994" t="s">
        <v>47</v>
      </c>
      <c r="AC994" t="s">
        <v>47</v>
      </c>
      <c r="AD994" t="s">
        <v>47</v>
      </c>
      <c r="AE994" t="s">
        <v>47</v>
      </c>
      <c r="AF994" t="s">
        <v>47</v>
      </c>
      <c r="AG994" t="s">
        <v>52</v>
      </c>
      <c r="AH994" t="s">
        <v>53</v>
      </c>
      <c r="AI994" t="s">
        <v>54</v>
      </c>
      <c r="AJ994">
        <v>9.9</v>
      </c>
      <c r="AK994" t="s">
        <v>46</v>
      </c>
      <c r="AL994" t="s">
        <v>55</v>
      </c>
      <c r="AM994" t="s">
        <v>82</v>
      </c>
      <c r="AN994">
        <v>8</v>
      </c>
      <c r="AO994" t="s">
        <v>47</v>
      </c>
    </row>
    <row r="995" spans="1:41">
      <c r="A995" t="s">
        <v>1147</v>
      </c>
      <c r="B995">
        <v>2020</v>
      </c>
      <c r="C995" s="1">
        <v>44071</v>
      </c>
      <c r="D995" t="s">
        <v>42</v>
      </c>
      <c r="E995" t="s">
        <v>136</v>
      </c>
      <c r="F995">
        <v>63</v>
      </c>
      <c r="G995" t="s">
        <v>60</v>
      </c>
      <c r="H995" t="s">
        <v>45</v>
      </c>
      <c r="I995">
        <v>33</v>
      </c>
      <c r="J995">
        <v>33</v>
      </c>
      <c r="K995" t="s">
        <v>46</v>
      </c>
      <c r="L995" t="s">
        <v>46</v>
      </c>
      <c r="M995" t="s">
        <v>47</v>
      </c>
      <c r="N995" t="s">
        <v>62</v>
      </c>
      <c r="O995" t="s">
        <v>48</v>
      </c>
      <c r="P995">
        <v>21.2</v>
      </c>
      <c r="Q995" t="s">
        <v>48</v>
      </c>
      <c r="R995" t="s">
        <v>47</v>
      </c>
      <c r="S995" t="s">
        <v>47</v>
      </c>
      <c r="T995" t="s">
        <v>47</v>
      </c>
      <c r="U995" t="s">
        <v>47</v>
      </c>
      <c r="V995" t="s">
        <v>92</v>
      </c>
      <c r="W995" t="s">
        <v>46</v>
      </c>
      <c r="X995" t="s">
        <v>46</v>
      </c>
      <c r="Y995" t="s">
        <v>46</v>
      </c>
      <c r="Z995" t="s">
        <v>47</v>
      </c>
      <c r="AA995" t="s">
        <v>46</v>
      </c>
      <c r="AB995" t="s">
        <v>47</v>
      </c>
      <c r="AC995" t="s">
        <v>46</v>
      </c>
      <c r="AD995" t="s">
        <v>47</v>
      </c>
      <c r="AE995" t="s">
        <v>47</v>
      </c>
      <c r="AF995" t="s">
        <v>47</v>
      </c>
      <c r="AG995" t="s">
        <v>121</v>
      </c>
      <c r="AH995" t="s">
        <v>122</v>
      </c>
      <c r="AI995" t="s">
        <v>54</v>
      </c>
      <c r="AJ995">
        <v>6.7</v>
      </c>
      <c r="AK995" t="s">
        <v>46</v>
      </c>
      <c r="AL995" t="s">
        <v>81</v>
      </c>
      <c r="AM995" t="s">
        <v>82</v>
      </c>
      <c r="AN995">
        <v>10</v>
      </c>
      <c r="AO995" t="s">
        <v>47</v>
      </c>
    </row>
    <row r="996" spans="1:41">
      <c r="A996" t="s">
        <v>1148</v>
      </c>
      <c r="B996">
        <v>2022</v>
      </c>
      <c r="C996" s="1">
        <v>44610</v>
      </c>
      <c r="D996" t="s">
        <v>110</v>
      </c>
      <c r="E996" t="s">
        <v>236</v>
      </c>
      <c r="F996">
        <v>49</v>
      </c>
      <c r="G996" t="s">
        <v>44</v>
      </c>
      <c r="H996" t="s">
        <v>70</v>
      </c>
      <c r="I996">
        <v>0</v>
      </c>
      <c r="J996">
        <v>0</v>
      </c>
      <c r="K996" t="s">
        <v>46</v>
      </c>
      <c r="L996" t="s">
        <v>47</v>
      </c>
      <c r="M996" t="s">
        <v>47</v>
      </c>
      <c r="N996" t="s">
        <v>48</v>
      </c>
      <c r="O996" t="s">
        <v>63</v>
      </c>
      <c r="P996">
        <v>24.7</v>
      </c>
      <c r="Q996" t="s">
        <v>62</v>
      </c>
      <c r="R996" t="s">
        <v>47</v>
      </c>
      <c r="S996" t="s">
        <v>47</v>
      </c>
      <c r="T996" t="s">
        <v>47</v>
      </c>
      <c r="U996" t="s">
        <v>47</v>
      </c>
      <c r="V996" t="s">
        <v>51</v>
      </c>
      <c r="W996" t="s">
        <v>47</v>
      </c>
      <c r="X996" t="s">
        <v>47</v>
      </c>
      <c r="Y996" t="s">
        <v>47</v>
      </c>
      <c r="Z996" t="s">
        <v>47</v>
      </c>
      <c r="AA996" t="s">
        <v>47</v>
      </c>
      <c r="AB996" t="s">
        <v>47</v>
      </c>
      <c r="AC996" t="s">
        <v>47</v>
      </c>
      <c r="AD996" t="s">
        <v>47</v>
      </c>
      <c r="AE996" t="s">
        <v>47</v>
      </c>
      <c r="AF996" t="s">
        <v>47</v>
      </c>
      <c r="AG996" t="s">
        <v>52</v>
      </c>
      <c r="AH996" t="s">
        <v>53</v>
      </c>
      <c r="AI996" t="s">
        <v>54</v>
      </c>
      <c r="AJ996">
        <v>7.8</v>
      </c>
      <c r="AK996" t="s">
        <v>46</v>
      </c>
      <c r="AL996" t="s">
        <v>81</v>
      </c>
      <c r="AM996" t="s">
        <v>118</v>
      </c>
      <c r="AN996">
        <v>8</v>
      </c>
      <c r="AO996" t="s">
        <v>46</v>
      </c>
    </row>
    <row r="997" spans="1:41">
      <c r="A997" t="s">
        <v>1149</v>
      </c>
      <c r="B997">
        <v>2022</v>
      </c>
      <c r="C997" s="1">
        <v>44570</v>
      </c>
      <c r="D997" t="s">
        <v>110</v>
      </c>
      <c r="E997" t="s">
        <v>231</v>
      </c>
      <c r="F997">
        <v>78</v>
      </c>
      <c r="G997" t="s">
        <v>60</v>
      </c>
      <c r="H997" t="s">
        <v>70</v>
      </c>
      <c r="I997">
        <v>0</v>
      </c>
      <c r="J997">
        <v>0</v>
      </c>
      <c r="K997" t="s">
        <v>46</v>
      </c>
      <c r="L997" t="s">
        <v>47</v>
      </c>
      <c r="M997" t="s">
        <v>47</v>
      </c>
      <c r="N997" t="s">
        <v>48</v>
      </c>
      <c r="O997" t="s">
        <v>49</v>
      </c>
      <c r="P997">
        <v>25.6</v>
      </c>
      <c r="Q997" t="s">
        <v>62</v>
      </c>
      <c r="R997" t="s">
        <v>47</v>
      </c>
      <c r="S997" t="s">
        <v>47</v>
      </c>
      <c r="T997" t="s">
        <v>47</v>
      </c>
      <c r="U997" t="s">
        <v>47</v>
      </c>
      <c r="V997" t="s">
        <v>51</v>
      </c>
      <c r="W997" t="s">
        <v>47</v>
      </c>
      <c r="X997" t="s">
        <v>47</v>
      </c>
      <c r="Y997" t="s">
        <v>47</v>
      </c>
      <c r="Z997" t="s">
        <v>47</v>
      </c>
      <c r="AA997" t="s">
        <v>46</v>
      </c>
      <c r="AB997" t="s">
        <v>47</v>
      </c>
      <c r="AC997" t="s">
        <v>47</v>
      </c>
      <c r="AD997" t="s">
        <v>47</v>
      </c>
      <c r="AE997" t="s">
        <v>47</v>
      </c>
      <c r="AF997" t="s">
        <v>47</v>
      </c>
      <c r="AG997" t="s">
        <v>52</v>
      </c>
      <c r="AH997" t="s">
        <v>71</v>
      </c>
      <c r="AI997" t="s">
        <v>65</v>
      </c>
      <c r="AJ997">
        <v>2.1</v>
      </c>
      <c r="AK997" t="s">
        <v>47</v>
      </c>
      <c r="AL997" t="s">
        <v>156</v>
      </c>
      <c r="AM997" t="s">
        <v>73</v>
      </c>
      <c r="AN997">
        <v>47</v>
      </c>
      <c r="AO997" t="s">
        <v>46</v>
      </c>
    </row>
    <row r="998" spans="1:41">
      <c r="A998" t="s">
        <v>1150</v>
      </c>
      <c r="B998">
        <v>2019</v>
      </c>
      <c r="C998" s="1">
        <v>43789</v>
      </c>
      <c r="D998" t="s">
        <v>110</v>
      </c>
      <c r="E998" t="s">
        <v>124</v>
      </c>
      <c r="F998">
        <v>56</v>
      </c>
      <c r="G998" t="s">
        <v>44</v>
      </c>
      <c r="H998" t="s">
        <v>70</v>
      </c>
      <c r="I998">
        <v>0</v>
      </c>
      <c r="J998">
        <v>0</v>
      </c>
      <c r="K998" t="s">
        <v>47</v>
      </c>
      <c r="L998" t="s">
        <v>47</v>
      </c>
      <c r="M998" t="s">
        <v>47</v>
      </c>
      <c r="N998" t="s">
        <v>62</v>
      </c>
      <c r="O998" t="s">
        <v>49</v>
      </c>
      <c r="P998">
        <v>26.1</v>
      </c>
      <c r="Q998" t="s">
        <v>48</v>
      </c>
      <c r="R998" t="s">
        <v>47</v>
      </c>
      <c r="S998" t="s">
        <v>46</v>
      </c>
      <c r="T998" t="s">
        <v>47</v>
      </c>
      <c r="U998" t="s">
        <v>47</v>
      </c>
      <c r="V998" t="s">
        <v>117</v>
      </c>
      <c r="W998" t="s">
        <v>47</v>
      </c>
      <c r="X998" t="s">
        <v>47</v>
      </c>
      <c r="Y998" t="s">
        <v>47</v>
      </c>
      <c r="Z998" t="s">
        <v>47</v>
      </c>
      <c r="AA998" t="s">
        <v>47</v>
      </c>
      <c r="AB998" t="s">
        <v>47</v>
      </c>
      <c r="AC998" t="s">
        <v>46</v>
      </c>
      <c r="AD998" t="s">
        <v>47</v>
      </c>
      <c r="AE998" t="s">
        <v>47</v>
      </c>
      <c r="AF998" t="s">
        <v>46</v>
      </c>
      <c r="AG998" t="s">
        <v>52</v>
      </c>
      <c r="AH998" t="s">
        <v>53</v>
      </c>
      <c r="AI998" t="s">
        <v>65</v>
      </c>
      <c r="AJ998">
        <v>2.2000000000000002</v>
      </c>
      <c r="AK998" t="s">
        <v>47</v>
      </c>
      <c r="AL998" t="s">
        <v>76</v>
      </c>
      <c r="AM998" t="s">
        <v>103</v>
      </c>
      <c r="AN998">
        <v>78</v>
      </c>
      <c r="AO998" t="s">
        <v>47</v>
      </c>
    </row>
    <row r="999" spans="1:41">
      <c r="A999" t="s">
        <v>1151</v>
      </c>
      <c r="B999">
        <v>2022</v>
      </c>
      <c r="C999" s="1">
        <v>44589</v>
      </c>
      <c r="D999" t="s">
        <v>42</v>
      </c>
      <c r="E999" t="s">
        <v>69</v>
      </c>
      <c r="F999">
        <v>62</v>
      </c>
      <c r="G999" t="s">
        <v>44</v>
      </c>
      <c r="H999" t="s">
        <v>70</v>
      </c>
      <c r="I999">
        <v>0</v>
      </c>
      <c r="J999">
        <v>0</v>
      </c>
      <c r="K999" t="s">
        <v>46</v>
      </c>
      <c r="L999" t="s">
        <v>47</v>
      </c>
      <c r="M999" t="s">
        <v>47</v>
      </c>
      <c r="N999" t="s">
        <v>62</v>
      </c>
      <c r="O999" t="s">
        <v>49</v>
      </c>
      <c r="P999">
        <v>29.6</v>
      </c>
      <c r="Q999" t="s">
        <v>50</v>
      </c>
      <c r="R999" t="s">
        <v>47</v>
      </c>
      <c r="S999" t="s">
        <v>47</v>
      </c>
      <c r="T999" t="s">
        <v>47</v>
      </c>
      <c r="U999" t="s">
        <v>47</v>
      </c>
      <c r="V999" t="s">
        <v>51</v>
      </c>
      <c r="W999" t="s">
        <v>46</v>
      </c>
      <c r="X999" t="s">
        <v>47</v>
      </c>
      <c r="Y999" t="s">
        <v>47</v>
      </c>
      <c r="Z999" t="s">
        <v>47</v>
      </c>
      <c r="AA999" t="s">
        <v>47</v>
      </c>
      <c r="AB999" t="s">
        <v>47</v>
      </c>
      <c r="AC999" t="s">
        <v>47</v>
      </c>
      <c r="AD999" t="s">
        <v>47</v>
      </c>
      <c r="AE999" t="s">
        <v>47</v>
      </c>
      <c r="AF999" t="s">
        <v>47</v>
      </c>
      <c r="AG999" t="s">
        <v>52</v>
      </c>
      <c r="AH999" t="s">
        <v>53</v>
      </c>
      <c r="AI999" t="s">
        <v>87</v>
      </c>
      <c r="AJ999">
        <v>4.3</v>
      </c>
      <c r="AK999" t="s">
        <v>47</v>
      </c>
      <c r="AL999" t="s">
        <v>76</v>
      </c>
      <c r="AM999" t="s">
        <v>73</v>
      </c>
      <c r="AN999">
        <v>27</v>
      </c>
      <c r="AO999" t="s">
        <v>47</v>
      </c>
    </row>
    <row r="1000" spans="1:41">
      <c r="A1000" t="s">
        <v>1152</v>
      </c>
      <c r="B1000">
        <v>2025</v>
      </c>
      <c r="C1000" s="1">
        <v>45773</v>
      </c>
      <c r="D1000" t="s">
        <v>98</v>
      </c>
      <c r="E1000" t="s">
        <v>484</v>
      </c>
      <c r="F1000">
        <v>54</v>
      </c>
      <c r="G1000" t="s">
        <v>44</v>
      </c>
      <c r="H1000" t="s">
        <v>70</v>
      </c>
      <c r="I1000">
        <v>0</v>
      </c>
      <c r="J1000">
        <v>0</v>
      </c>
      <c r="K1000" t="s">
        <v>47</v>
      </c>
      <c r="L1000" t="s">
        <v>47</v>
      </c>
      <c r="M1000" t="s">
        <v>47</v>
      </c>
      <c r="N1000" t="s">
        <v>62</v>
      </c>
      <c r="O1000" t="s">
        <v>49</v>
      </c>
      <c r="P1000">
        <v>27.8</v>
      </c>
      <c r="Q1000" t="s">
        <v>48</v>
      </c>
      <c r="R1000" t="s">
        <v>47</v>
      </c>
      <c r="S1000" t="s">
        <v>47</v>
      </c>
      <c r="T1000" t="s">
        <v>47</v>
      </c>
      <c r="U1000" t="s">
        <v>47</v>
      </c>
      <c r="V1000" t="s">
        <v>51</v>
      </c>
      <c r="W1000" t="s">
        <v>47</v>
      </c>
      <c r="X1000" t="s">
        <v>47</v>
      </c>
      <c r="Y1000" t="s">
        <v>46</v>
      </c>
      <c r="Z1000" t="s">
        <v>47</v>
      </c>
      <c r="AA1000" t="s">
        <v>46</v>
      </c>
      <c r="AB1000" t="s">
        <v>47</v>
      </c>
      <c r="AC1000" t="s">
        <v>46</v>
      </c>
      <c r="AD1000" t="s">
        <v>47</v>
      </c>
      <c r="AE1000" t="s">
        <v>47</v>
      </c>
      <c r="AF1000" t="s">
        <v>47</v>
      </c>
      <c r="AG1000" t="s">
        <v>52</v>
      </c>
      <c r="AH1000" t="s">
        <v>71</v>
      </c>
      <c r="AI1000" t="s">
        <v>54</v>
      </c>
      <c r="AJ1000">
        <v>8.8000000000000007</v>
      </c>
      <c r="AK1000" t="s">
        <v>46</v>
      </c>
      <c r="AL1000" t="s">
        <v>76</v>
      </c>
      <c r="AM1000" t="s">
        <v>77</v>
      </c>
      <c r="AN1000">
        <v>6</v>
      </c>
      <c r="AO1000" t="s">
        <v>47</v>
      </c>
    </row>
    <row r="1001" spans="1:41">
      <c r="A1001" t="s">
        <v>1153</v>
      </c>
      <c r="B1001">
        <v>2018</v>
      </c>
      <c r="C1001" s="1">
        <v>43456</v>
      </c>
      <c r="D1001" t="s">
        <v>95</v>
      </c>
      <c r="E1001" t="s">
        <v>147</v>
      </c>
      <c r="F1001">
        <v>62</v>
      </c>
      <c r="G1001" t="s">
        <v>60</v>
      </c>
      <c r="H1001" t="s">
        <v>70</v>
      </c>
      <c r="I1001">
        <v>0</v>
      </c>
      <c r="J1001">
        <v>0</v>
      </c>
      <c r="K1001" t="s">
        <v>46</v>
      </c>
      <c r="L1001" t="s">
        <v>47</v>
      </c>
      <c r="M1001" t="s">
        <v>47</v>
      </c>
      <c r="N1001" t="s">
        <v>62</v>
      </c>
      <c r="O1001" t="s">
        <v>48</v>
      </c>
      <c r="P1001">
        <v>34.9</v>
      </c>
      <c r="Q1001" t="s">
        <v>50</v>
      </c>
      <c r="R1001" t="s">
        <v>47</v>
      </c>
      <c r="S1001" t="s">
        <v>47</v>
      </c>
      <c r="T1001" t="s">
        <v>46</v>
      </c>
      <c r="U1001" t="s">
        <v>47</v>
      </c>
      <c r="V1001" t="s">
        <v>117</v>
      </c>
      <c r="W1001" t="s">
        <v>47</v>
      </c>
      <c r="X1001" t="s">
        <v>46</v>
      </c>
      <c r="Y1001" t="s">
        <v>47</v>
      </c>
      <c r="Z1001" t="s">
        <v>47</v>
      </c>
      <c r="AA1001" t="s">
        <v>46</v>
      </c>
      <c r="AB1001" t="s">
        <v>47</v>
      </c>
      <c r="AC1001" t="s">
        <v>47</v>
      </c>
      <c r="AD1001" t="s">
        <v>47</v>
      </c>
      <c r="AE1001" t="s">
        <v>47</v>
      </c>
      <c r="AF1001" t="s">
        <v>47</v>
      </c>
      <c r="AG1001" t="s">
        <v>52</v>
      </c>
      <c r="AH1001" t="s">
        <v>53</v>
      </c>
      <c r="AI1001" t="s">
        <v>65</v>
      </c>
      <c r="AJ1001">
        <v>2.2000000000000002</v>
      </c>
      <c r="AK1001" t="s">
        <v>47</v>
      </c>
      <c r="AL1001" t="s">
        <v>156</v>
      </c>
      <c r="AM1001" t="s">
        <v>103</v>
      </c>
      <c r="AN1001">
        <v>51</v>
      </c>
      <c r="AO1001" t="s">
        <v>47</v>
      </c>
    </row>
    <row r="1002" spans="1:41">
      <c r="A1002" t="s">
        <v>1154</v>
      </c>
      <c r="B1002">
        <v>2023</v>
      </c>
      <c r="C1002" s="1">
        <v>45032</v>
      </c>
      <c r="D1002" t="s">
        <v>98</v>
      </c>
      <c r="E1002" t="s">
        <v>212</v>
      </c>
      <c r="F1002">
        <v>76</v>
      </c>
      <c r="G1002" t="s">
        <v>44</v>
      </c>
      <c r="H1002" t="s">
        <v>70</v>
      </c>
      <c r="I1002">
        <v>0</v>
      </c>
      <c r="J1002">
        <v>0</v>
      </c>
      <c r="K1002" t="s">
        <v>47</v>
      </c>
      <c r="L1002" t="s">
        <v>46</v>
      </c>
      <c r="M1002" t="s">
        <v>47</v>
      </c>
      <c r="N1002" t="s">
        <v>62</v>
      </c>
      <c r="O1002" t="s">
        <v>49</v>
      </c>
      <c r="P1002">
        <v>33.9</v>
      </c>
      <c r="Q1002" t="s">
        <v>50</v>
      </c>
      <c r="R1002" t="s">
        <v>47</v>
      </c>
      <c r="S1002" t="s">
        <v>47</v>
      </c>
      <c r="T1002" t="s">
        <v>47</v>
      </c>
      <c r="U1002" t="s">
        <v>47</v>
      </c>
      <c r="V1002" t="s">
        <v>51</v>
      </c>
      <c r="W1002" t="s">
        <v>47</v>
      </c>
      <c r="X1002" t="s">
        <v>47</v>
      </c>
      <c r="Y1002" t="s">
        <v>47</v>
      </c>
      <c r="Z1002" t="s">
        <v>47</v>
      </c>
      <c r="AA1002" t="s">
        <v>46</v>
      </c>
      <c r="AB1002" t="s">
        <v>47</v>
      </c>
      <c r="AC1002" t="s">
        <v>47</v>
      </c>
      <c r="AD1002" t="s">
        <v>46</v>
      </c>
      <c r="AE1002" t="s">
        <v>47</v>
      </c>
      <c r="AF1002" t="s">
        <v>46</v>
      </c>
      <c r="AG1002" t="s">
        <v>52</v>
      </c>
      <c r="AH1002" t="s">
        <v>71</v>
      </c>
      <c r="AI1002" t="s">
        <v>80</v>
      </c>
      <c r="AJ1002">
        <v>7</v>
      </c>
      <c r="AK1002" t="s">
        <v>47</v>
      </c>
      <c r="AL1002" t="s">
        <v>81</v>
      </c>
      <c r="AM1002" t="s">
        <v>56</v>
      </c>
      <c r="AN1002">
        <v>28</v>
      </c>
      <c r="AO1002" t="s">
        <v>47</v>
      </c>
    </row>
    <row r="1003" spans="1:41">
      <c r="A1003" t="s">
        <v>1155</v>
      </c>
      <c r="B1003">
        <v>2024</v>
      </c>
      <c r="C1003" s="1">
        <v>45453</v>
      </c>
      <c r="D1003" t="s">
        <v>110</v>
      </c>
      <c r="E1003" t="s">
        <v>177</v>
      </c>
      <c r="F1003">
        <v>62</v>
      </c>
      <c r="G1003" t="s">
        <v>60</v>
      </c>
      <c r="H1003" t="s">
        <v>45</v>
      </c>
      <c r="I1003">
        <v>10</v>
      </c>
      <c r="J1003">
        <v>27</v>
      </c>
      <c r="K1003" t="s">
        <v>47</v>
      </c>
      <c r="L1003" t="s">
        <v>47</v>
      </c>
      <c r="M1003" t="s">
        <v>46</v>
      </c>
      <c r="N1003" t="s">
        <v>62</v>
      </c>
      <c r="O1003" t="s">
        <v>49</v>
      </c>
      <c r="P1003">
        <v>24.8</v>
      </c>
      <c r="Q1003" t="s">
        <v>62</v>
      </c>
      <c r="R1003" t="s">
        <v>47</v>
      </c>
      <c r="S1003" t="s">
        <v>47</v>
      </c>
      <c r="T1003" t="s">
        <v>47</v>
      </c>
      <c r="U1003" t="s">
        <v>47</v>
      </c>
      <c r="V1003" t="s">
        <v>51</v>
      </c>
      <c r="W1003" t="s">
        <v>46</v>
      </c>
      <c r="X1003" t="s">
        <v>46</v>
      </c>
      <c r="Y1003" t="s">
        <v>46</v>
      </c>
      <c r="Z1003" t="s">
        <v>47</v>
      </c>
      <c r="AA1003" t="s">
        <v>47</v>
      </c>
      <c r="AB1003" t="s">
        <v>46</v>
      </c>
      <c r="AC1003" t="s">
        <v>46</v>
      </c>
      <c r="AD1003" t="s">
        <v>46</v>
      </c>
      <c r="AE1003" t="s">
        <v>47</v>
      </c>
      <c r="AF1003" t="s">
        <v>47</v>
      </c>
      <c r="AG1003" t="s">
        <v>121</v>
      </c>
      <c r="AH1003" t="s">
        <v>122</v>
      </c>
      <c r="AI1003" t="s">
        <v>80</v>
      </c>
      <c r="AJ1003">
        <v>6.8</v>
      </c>
      <c r="AK1003" t="s">
        <v>47</v>
      </c>
      <c r="AL1003" t="s">
        <v>81</v>
      </c>
      <c r="AM1003" t="s">
        <v>77</v>
      </c>
      <c r="AN1003">
        <v>17</v>
      </c>
      <c r="AO1003" t="s">
        <v>47</v>
      </c>
    </row>
    <row r="1004" spans="1:41">
      <c r="A1004" t="s">
        <v>1156</v>
      </c>
      <c r="B1004">
        <v>2023</v>
      </c>
      <c r="C1004" s="1">
        <v>45023</v>
      </c>
      <c r="D1004" t="s">
        <v>95</v>
      </c>
      <c r="E1004" t="s">
        <v>120</v>
      </c>
      <c r="F1004">
        <v>75</v>
      </c>
      <c r="G1004" t="s">
        <v>60</v>
      </c>
      <c r="H1004" t="s">
        <v>45</v>
      </c>
      <c r="I1004">
        <v>5</v>
      </c>
      <c r="J1004">
        <v>32</v>
      </c>
      <c r="K1004" t="s">
        <v>46</v>
      </c>
      <c r="L1004" t="s">
        <v>47</v>
      </c>
      <c r="M1004" t="s">
        <v>47</v>
      </c>
      <c r="N1004" t="s">
        <v>50</v>
      </c>
      <c r="O1004" t="s">
        <v>49</v>
      </c>
      <c r="P1004">
        <v>21.2</v>
      </c>
      <c r="Q1004" t="s">
        <v>62</v>
      </c>
      <c r="R1004" t="s">
        <v>46</v>
      </c>
      <c r="S1004" t="s">
        <v>47</v>
      </c>
      <c r="T1004" t="s">
        <v>47</v>
      </c>
      <c r="U1004" t="s">
        <v>47</v>
      </c>
      <c r="V1004" t="s">
        <v>86</v>
      </c>
      <c r="W1004" t="s">
        <v>47</v>
      </c>
      <c r="X1004" t="s">
        <v>46</v>
      </c>
      <c r="Y1004" t="s">
        <v>46</v>
      </c>
      <c r="Z1004" t="s">
        <v>46</v>
      </c>
      <c r="AA1004" t="s">
        <v>46</v>
      </c>
      <c r="AB1004" t="s">
        <v>46</v>
      </c>
      <c r="AC1004" t="s">
        <v>46</v>
      </c>
      <c r="AD1004" t="s">
        <v>47</v>
      </c>
      <c r="AE1004" t="s">
        <v>47</v>
      </c>
      <c r="AF1004" t="s">
        <v>47</v>
      </c>
      <c r="AG1004" t="s">
        <v>121</v>
      </c>
      <c r="AH1004" t="s">
        <v>122</v>
      </c>
      <c r="AI1004" t="s">
        <v>54</v>
      </c>
      <c r="AJ1004">
        <v>6.9</v>
      </c>
      <c r="AK1004" t="s">
        <v>46</v>
      </c>
      <c r="AL1004" t="s">
        <v>76</v>
      </c>
      <c r="AM1004" t="s">
        <v>56</v>
      </c>
      <c r="AN1004">
        <v>2</v>
      </c>
      <c r="AO1004" t="s">
        <v>47</v>
      </c>
    </row>
    <row r="1005" spans="1:41">
      <c r="A1005" t="s">
        <v>1157</v>
      </c>
      <c r="B1005">
        <v>2015</v>
      </c>
      <c r="C1005" s="1">
        <v>42363</v>
      </c>
      <c r="D1005" t="s">
        <v>110</v>
      </c>
      <c r="E1005" t="s">
        <v>225</v>
      </c>
      <c r="F1005">
        <v>75</v>
      </c>
      <c r="G1005" t="s">
        <v>60</v>
      </c>
      <c r="H1005" t="s">
        <v>70</v>
      </c>
      <c r="I1005">
        <v>0</v>
      </c>
      <c r="J1005">
        <v>0</v>
      </c>
      <c r="K1005" t="s">
        <v>47</v>
      </c>
      <c r="L1005" t="s">
        <v>47</v>
      </c>
      <c r="M1005" t="s">
        <v>47</v>
      </c>
      <c r="N1005" t="s">
        <v>62</v>
      </c>
      <c r="O1005" t="s">
        <v>63</v>
      </c>
      <c r="P1005">
        <v>19.100000000000001</v>
      </c>
      <c r="Q1005" t="s">
        <v>50</v>
      </c>
      <c r="R1005" t="s">
        <v>47</v>
      </c>
      <c r="S1005" t="s">
        <v>47</v>
      </c>
      <c r="T1005" t="s">
        <v>47</v>
      </c>
      <c r="U1005" t="s">
        <v>47</v>
      </c>
      <c r="V1005" t="s">
        <v>117</v>
      </c>
      <c r="W1005" t="s">
        <v>47</v>
      </c>
      <c r="X1005" t="s">
        <v>47</v>
      </c>
      <c r="Y1005" t="s">
        <v>47</v>
      </c>
      <c r="Z1005" t="s">
        <v>46</v>
      </c>
      <c r="AA1005" t="s">
        <v>47</v>
      </c>
      <c r="AB1005" t="s">
        <v>47</v>
      </c>
      <c r="AC1005" t="s">
        <v>46</v>
      </c>
      <c r="AD1005" t="s">
        <v>47</v>
      </c>
      <c r="AE1005" t="s">
        <v>47</v>
      </c>
      <c r="AF1005" t="s">
        <v>47</v>
      </c>
      <c r="AG1005" t="s">
        <v>121</v>
      </c>
      <c r="AH1005" t="s">
        <v>122</v>
      </c>
      <c r="AI1005" t="s">
        <v>87</v>
      </c>
      <c r="AJ1005">
        <v>2.8</v>
      </c>
      <c r="AK1005" t="s">
        <v>47</v>
      </c>
      <c r="AL1005" t="s">
        <v>81</v>
      </c>
      <c r="AM1005" t="s">
        <v>67</v>
      </c>
      <c r="AN1005">
        <v>33</v>
      </c>
      <c r="AO1005" t="s">
        <v>46</v>
      </c>
    </row>
    <row r="1006" spans="1:41">
      <c r="A1006" t="s">
        <v>1158</v>
      </c>
      <c r="B1006">
        <v>2021</v>
      </c>
      <c r="C1006" s="1">
        <v>44309</v>
      </c>
      <c r="D1006" t="s">
        <v>84</v>
      </c>
      <c r="E1006" t="s">
        <v>449</v>
      </c>
      <c r="F1006">
        <v>67</v>
      </c>
      <c r="G1006" t="s">
        <v>60</v>
      </c>
      <c r="H1006" t="s">
        <v>70</v>
      </c>
      <c r="I1006">
        <v>0</v>
      </c>
      <c r="J1006">
        <v>0</v>
      </c>
      <c r="K1006" t="s">
        <v>46</v>
      </c>
      <c r="L1006" t="s">
        <v>47</v>
      </c>
      <c r="M1006" t="s">
        <v>47</v>
      </c>
      <c r="N1006" t="s">
        <v>50</v>
      </c>
      <c r="O1006" t="s">
        <v>48</v>
      </c>
      <c r="P1006">
        <v>21.8</v>
      </c>
      <c r="Q1006" t="s">
        <v>50</v>
      </c>
      <c r="R1006" t="s">
        <v>47</v>
      </c>
      <c r="S1006" t="s">
        <v>47</v>
      </c>
      <c r="T1006" t="s">
        <v>47</v>
      </c>
      <c r="U1006" t="s">
        <v>47</v>
      </c>
      <c r="V1006" t="s">
        <v>117</v>
      </c>
      <c r="W1006" t="s">
        <v>47</v>
      </c>
      <c r="X1006" t="s">
        <v>46</v>
      </c>
      <c r="Y1006" t="s">
        <v>47</v>
      </c>
      <c r="Z1006" t="s">
        <v>47</v>
      </c>
      <c r="AA1006" t="s">
        <v>46</v>
      </c>
      <c r="AB1006" t="s">
        <v>46</v>
      </c>
      <c r="AC1006" t="s">
        <v>46</v>
      </c>
      <c r="AD1006" t="s">
        <v>47</v>
      </c>
      <c r="AE1006" t="s">
        <v>47</v>
      </c>
      <c r="AF1006" t="s">
        <v>47</v>
      </c>
      <c r="AG1006" t="s">
        <v>52</v>
      </c>
      <c r="AH1006" t="s">
        <v>71</v>
      </c>
      <c r="AI1006" t="s">
        <v>65</v>
      </c>
      <c r="AJ1006">
        <v>2</v>
      </c>
      <c r="AK1006" t="s">
        <v>47</v>
      </c>
      <c r="AL1006" t="s">
        <v>76</v>
      </c>
      <c r="AM1006" t="s">
        <v>67</v>
      </c>
      <c r="AN1006">
        <v>83</v>
      </c>
      <c r="AO1006" t="s">
        <v>46</v>
      </c>
    </row>
    <row r="1007" spans="1:41">
      <c r="A1007" t="s">
        <v>1159</v>
      </c>
      <c r="B1007">
        <v>2025</v>
      </c>
      <c r="C1007" s="1">
        <v>45998</v>
      </c>
      <c r="D1007" t="s">
        <v>110</v>
      </c>
      <c r="E1007" t="s">
        <v>231</v>
      </c>
      <c r="F1007">
        <v>65</v>
      </c>
      <c r="G1007" t="s">
        <v>60</v>
      </c>
      <c r="H1007" t="s">
        <v>70</v>
      </c>
      <c r="I1007">
        <v>0</v>
      </c>
      <c r="J1007">
        <v>0</v>
      </c>
      <c r="K1007" t="s">
        <v>46</v>
      </c>
      <c r="L1007" t="s">
        <v>47</v>
      </c>
      <c r="M1007" t="s">
        <v>47</v>
      </c>
      <c r="N1007" t="s">
        <v>62</v>
      </c>
      <c r="O1007" t="s">
        <v>48</v>
      </c>
      <c r="P1007">
        <v>23.8</v>
      </c>
      <c r="Q1007" t="s">
        <v>48</v>
      </c>
      <c r="R1007" t="s">
        <v>47</v>
      </c>
      <c r="S1007" t="s">
        <v>47</v>
      </c>
      <c r="T1007" t="s">
        <v>47</v>
      </c>
      <c r="U1007" t="s">
        <v>47</v>
      </c>
      <c r="V1007" t="s">
        <v>92</v>
      </c>
      <c r="W1007" t="s">
        <v>46</v>
      </c>
      <c r="X1007" t="s">
        <v>46</v>
      </c>
      <c r="Y1007" t="s">
        <v>47</v>
      </c>
      <c r="Z1007" t="s">
        <v>47</v>
      </c>
      <c r="AA1007" t="s">
        <v>47</v>
      </c>
      <c r="AB1007" t="s">
        <v>47</v>
      </c>
      <c r="AC1007" t="s">
        <v>47</v>
      </c>
      <c r="AD1007" t="s">
        <v>47</v>
      </c>
      <c r="AE1007" t="s">
        <v>47</v>
      </c>
      <c r="AF1007" t="s">
        <v>46</v>
      </c>
      <c r="AG1007" t="s">
        <v>52</v>
      </c>
      <c r="AH1007" t="s">
        <v>53</v>
      </c>
      <c r="AI1007" t="s">
        <v>65</v>
      </c>
      <c r="AJ1007">
        <v>1.8</v>
      </c>
      <c r="AK1007" t="s">
        <v>47</v>
      </c>
      <c r="AL1007" t="s">
        <v>72</v>
      </c>
      <c r="AM1007" t="s">
        <v>67</v>
      </c>
      <c r="AN1007">
        <v>52</v>
      </c>
      <c r="AO1007" t="s">
        <v>47</v>
      </c>
    </row>
    <row r="1008" spans="1:41">
      <c r="A1008" t="s">
        <v>1160</v>
      </c>
      <c r="B1008">
        <v>2016</v>
      </c>
      <c r="C1008" s="1">
        <v>42478</v>
      </c>
      <c r="D1008" t="s">
        <v>58</v>
      </c>
      <c r="E1008" t="s">
        <v>138</v>
      </c>
      <c r="F1008">
        <v>55</v>
      </c>
      <c r="G1008" t="s">
        <v>60</v>
      </c>
      <c r="H1008" t="s">
        <v>45</v>
      </c>
      <c r="I1008">
        <v>25</v>
      </c>
      <c r="J1008">
        <v>25</v>
      </c>
      <c r="K1008" t="s">
        <v>47</v>
      </c>
      <c r="L1008" t="s">
        <v>47</v>
      </c>
      <c r="M1008" t="s">
        <v>46</v>
      </c>
      <c r="N1008" t="s">
        <v>48</v>
      </c>
      <c r="O1008" t="s">
        <v>63</v>
      </c>
      <c r="P1008">
        <v>29.4</v>
      </c>
      <c r="Q1008" t="s">
        <v>50</v>
      </c>
      <c r="R1008" t="s">
        <v>47</v>
      </c>
      <c r="S1008" t="s">
        <v>47</v>
      </c>
      <c r="T1008" t="s">
        <v>47</v>
      </c>
      <c r="U1008" t="s">
        <v>46</v>
      </c>
      <c r="V1008" t="s">
        <v>128</v>
      </c>
      <c r="W1008" t="s">
        <v>46</v>
      </c>
      <c r="X1008" t="s">
        <v>46</v>
      </c>
      <c r="Y1008" t="s">
        <v>46</v>
      </c>
      <c r="Z1008" t="s">
        <v>46</v>
      </c>
      <c r="AA1008" t="s">
        <v>47</v>
      </c>
      <c r="AB1008" t="s">
        <v>46</v>
      </c>
      <c r="AC1008" t="s">
        <v>47</v>
      </c>
      <c r="AD1008" t="s">
        <v>46</v>
      </c>
      <c r="AE1008" t="s">
        <v>47</v>
      </c>
      <c r="AF1008" t="s">
        <v>47</v>
      </c>
      <c r="AG1008" t="s">
        <v>52</v>
      </c>
      <c r="AH1008" t="s">
        <v>90</v>
      </c>
      <c r="AI1008" t="s">
        <v>54</v>
      </c>
      <c r="AJ1008">
        <v>7.5</v>
      </c>
      <c r="AK1008" t="s">
        <v>46</v>
      </c>
      <c r="AL1008" t="s">
        <v>100</v>
      </c>
      <c r="AM1008" t="s">
        <v>77</v>
      </c>
      <c r="AN1008">
        <v>9</v>
      </c>
      <c r="AO1008" t="s">
        <v>47</v>
      </c>
    </row>
    <row r="1009" spans="1:41">
      <c r="A1009" t="s">
        <v>1161</v>
      </c>
      <c r="B1009">
        <v>2025</v>
      </c>
      <c r="C1009" s="1">
        <v>45790</v>
      </c>
      <c r="D1009" t="s">
        <v>42</v>
      </c>
      <c r="E1009" t="s">
        <v>210</v>
      </c>
      <c r="F1009">
        <v>60</v>
      </c>
      <c r="G1009" t="s">
        <v>60</v>
      </c>
      <c r="H1009" t="s">
        <v>70</v>
      </c>
      <c r="I1009">
        <v>0</v>
      </c>
      <c r="J1009">
        <v>0</v>
      </c>
      <c r="K1009" t="s">
        <v>46</v>
      </c>
      <c r="L1009" t="s">
        <v>46</v>
      </c>
      <c r="M1009" t="s">
        <v>47</v>
      </c>
      <c r="N1009" t="s">
        <v>50</v>
      </c>
      <c r="O1009" t="s">
        <v>48</v>
      </c>
      <c r="P1009">
        <v>32.1</v>
      </c>
      <c r="Q1009" t="s">
        <v>62</v>
      </c>
      <c r="R1009" t="s">
        <v>47</v>
      </c>
      <c r="S1009" t="s">
        <v>47</v>
      </c>
      <c r="T1009" t="s">
        <v>47</v>
      </c>
      <c r="U1009" t="s">
        <v>47</v>
      </c>
      <c r="V1009" t="s">
        <v>51</v>
      </c>
      <c r="W1009" t="s">
        <v>46</v>
      </c>
      <c r="X1009" t="s">
        <v>47</v>
      </c>
      <c r="Y1009" t="s">
        <v>46</v>
      </c>
      <c r="Z1009" t="s">
        <v>46</v>
      </c>
      <c r="AA1009" t="s">
        <v>46</v>
      </c>
      <c r="AB1009" t="s">
        <v>46</v>
      </c>
      <c r="AC1009" t="s">
        <v>47</v>
      </c>
      <c r="AD1009" t="s">
        <v>47</v>
      </c>
      <c r="AE1009" t="s">
        <v>46</v>
      </c>
      <c r="AF1009" t="s">
        <v>46</v>
      </c>
      <c r="AG1009" t="s">
        <v>52</v>
      </c>
      <c r="AH1009" t="s">
        <v>71</v>
      </c>
      <c r="AI1009" t="s">
        <v>80</v>
      </c>
      <c r="AJ1009">
        <v>6.4</v>
      </c>
      <c r="AK1009" t="s">
        <v>47</v>
      </c>
      <c r="AL1009" t="s">
        <v>76</v>
      </c>
      <c r="AM1009" t="s">
        <v>67</v>
      </c>
      <c r="AN1009">
        <v>16</v>
      </c>
      <c r="AO1009" t="s">
        <v>47</v>
      </c>
    </row>
    <row r="1010" spans="1:41">
      <c r="A1010" t="s">
        <v>1162</v>
      </c>
      <c r="B1010">
        <v>2025</v>
      </c>
      <c r="C1010" s="1">
        <v>45921</v>
      </c>
      <c r="D1010" t="s">
        <v>95</v>
      </c>
      <c r="E1010" t="s">
        <v>107</v>
      </c>
      <c r="F1010">
        <v>52</v>
      </c>
      <c r="G1010" t="s">
        <v>44</v>
      </c>
      <c r="H1010" t="s">
        <v>70</v>
      </c>
      <c r="I1010">
        <v>0</v>
      </c>
      <c r="J1010">
        <v>0</v>
      </c>
      <c r="K1010" t="s">
        <v>47</v>
      </c>
      <c r="L1010" t="s">
        <v>47</v>
      </c>
      <c r="M1010" t="s">
        <v>47</v>
      </c>
      <c r="N1010" t="s">
        <v>48</v>
      </c>
      <c r="O1010" t="s">
        <v>48</v>
      </c>
      <c r="P1010">
        <v>22</v>
      </c>
      <c r="Q1010" t="s">
        <v>48</v>
      </c>
      <c r="R1010" t="s">
        <v>47</v>
      </c>
      <c r="S1010" t="s">
        <v>47</v>
      </c>
      <c r="T1010" t="s">
        <v>47</v>
      </c>
      <c r="U1010" t="s">
        <v>47</v>
      </c>
      <c r="V1010" t="s">
        <v>86</v>
      </c>
      <c r="W1010" t="s">
        <v>46</v>
      </c>
      <c r="X1010" t="s">
        <v>47</v>
      </c>
      <c r="Y1010" t="s">
        <v>46</v>
      </c>
      <c r="Z1010" t="s">
        <v>46</v>
      </c>
      <c r="AA1010" t="s">
        <v>46</v>
      </c>
      <c r="AB1010" t="s">
        <v>47</v>
      </c>
      <c r="AC1010" t="s">
        <v>47</v>
      </c>
      <c r="AD1010" t="s">
        <v>46</v>
      </c>
      <c r="AE1010" t="s">
        <v>46</v>
      </c>
      <c r="AF1010" t="s">
        <v>47</v>
      </c>
      <c r="AG1010" t="s">
        <v>52</v>
      </c>
      <c r="AH1010" t="s">
        <v>53</v>
      </c>
      <c r="AI1010" t="s">
        <v>80</v>
      </c>
      <c r="AJ1010">
        <v>5.2</v>
      </c>
      <c r="AK1010" t="s">
        <v>47</v>
      </c>
      <c r="AL1010" t="s">
        <v>66</v>
      </c>
      <c r="AM1010" t="s">
        <v>82</v>
      </c>
      <c r="AN1010">
        <v>4</v>
      </c>
      <c r="AO1010" t="s">
        <v>47</v>
      </c>
    </row>
    <row r="1011" spans="1:41">
      <c r="A1011" t="s">
        <v>1163</v>
      </c>
      <c r="B1011">
        <v>2018</v>
      </c>
      <c r="C1011" s="1">
        <v>43229</v>
      </c>
      <c r="D1011" t="s">
        <v>95</v>
      </c>
      <c r="E1011" t="s">
        <v>107</v>
      </c>
      <c r="F1011">
        <v>39</v>
      </c>
      <c r="G1011" t="s">
        <v>44</v>
      </c>
      <c r="H1011" t="s">
        <v>70</v>
      </c>
      <c r="I1011">
        <v>0</v>
      </c>
      <c r="J1011">
        <v>0</v>
      </c>
      <c r="K1011" t="s">
        <v>47</v>
      </c>
      <c r="L1011" t="s">
        <v>47</v>
      </c>
      <c r="M1011" t="s">
        <v>47</v>
      </c>
      <c r="N1011" t="s">
        <v>48</v>
      </c>
      <c r="O1011" t="s">
        <v>49</v>
      </c>
      <c r="P1011">
        <v>25.6</v>
      </c>
      <c r="Q1011" t="s">
        <v>48</v>
      </c>
      <c r="R1011" t="s">
        <v>47</v>
      </c>
      <c r="S1011" t="s">
        <v>47</v>
      </c>
      <c r="T1011" t="s">
        <v>47</v>
      </c>
      <c r="U1011" t="s">
        <v>46</v>
      </c>
      <c r="V1011" t="s">
        <v>112</v>
      </c>
      <c r="W1011" t="s">
        <v>46</v>
      </c>
      <c r="X1011" t="s">
        <v>47</v>
      </c>
      <c r="Y1011" t="s">
        <v>47</v>
      </c>
      <c r="Z1011" t="s">
        <v>47</v>
      </c>
      <c r="AA1011" t="s">
        <v>46</v>
      </c>
      <c r="AB1011" t="s">
        <v>47</v>
      </c>
      <c r="AC1011" t="s">
        <v>47</v>
      </c>
      <c r="AD1011" t="s">
        <v>46</v>
      </c>
      <c r="AE1011" t="s">
        <v>47</v>
      </c>
      <c r="AF1011" t="s">
        <v>47</v>
      </c>
      <c r="AG1011" t="s">
        <v>52</v>
      </c>
      <c r="AH1011" t="s">
        <v>71</v>
      </c>
      <c r="AI1011" t="s">
        <v>65</v>
      </c>
      <c r="AJ1011">
        <v>1.5</v>
      </c>
      <c r="AK1011" t="s">
        <v>47</v>
      </c>
      <c r="AL1011" t="s">
        <v>72</v>
      </c>
      <c r="AM1011" t="s">
        <v>103</v>
      </c>
      <c r="AN1011">
        <v>57</v>
      </c>
      <c r="AO1011" t="s">
        <v>46</v>
      </c>
    </row>
    <row r="1012" spans="1:41">
      <c r="A1012" t="s">
        <v>1164</v>
      </c>
      <c r="B1012">
        <v>2021</v>
      </c>
      <c r="C1012" s="1">
        <v>44455</v>
      </c>
      <c r="D1012" t="s">
        <v>42</v>
      </c>
      <c r="E1012" t="s">
        <v>210</v>
      </c>
      <c r="F1012">
        <v>57</v>
      </c>
      <c r="G1012" t="s">
        <v>44</v>
      </c>
      <c r="H1012" t="s">
        <v>70</v>
      </c>
      <c r="I1012">
        <v>0</v>
      </c>
      <c r="J1012">
        <v>0</v>
      </c>
      <c r="K1012" t="s">
        <v>47</v>
      </c>
      <c r="L1012" t="s">
        <v>47</v>
      </c>
      <c r="M1012" t="s">
        <v>46</v>
      </c>
      <c r="N1012" t="s">
        <v>62</v>
      </c>
      <c r="O1012" t="s">
        <v>49</v>
      </c>
      <c r="P1012">
        <v>29.4</v>
      </c>
      <c r="Q1012" t="s">
        <v>50</v>
      </c>
      <c r="R1012" t="s">
        <v>46</v>
      </c>
      <c r="S1012" t="s">
        <v>47</v>
      </c>
      <c r="T1012" t="s">
        <v>47</v>
      </c>
      <c r="U1012" t="s">
        <v>47</v>
      </c>
      <c r="V1012" t="s">
        <v>51</v>
      </c>
      <c r="W1012" t="s">
        <v>47</v>
      </c>
      <c r="X1012" t="s">
        <v>46</v>
      </c>
      <c r="Y1012" t="s">
        <v>47</v>
      </c>
      <c r="Z1012" t="s">
        <v>46</v>
      </c>
      <c r="AA1012" t="s">
        <v>46</v>
      </c>
      <c r="AB1012" t="s">
        <v>47</v>
      </c>
      <c r="AC1012" t="s">
        <v>47</v>
      </c>
      <c r="AD1012" t="s">
        <v>47</v>
      </c>
      <c r="AE1012" t="s">
        <v>47</v>
      </c>
      <c r="AF1012" t="s">
        <v>47</v>
      </c>
      <c r="AG1012" t="s">
        <v>52</v>
      </c>
      <c r="AH1012" t="s">
        <v>53</v>
      </c>
      <c r="AI1012" t="s">
        <v>65</v>
      </c>
      <c r="AJ1012">
        <v>2.1</v>
      </c>
      <c r="AK1012" t="s">
        <v>47</v>
      </c>
      <c r="AL1012" t="s">
        <v>76</v>
      </c>
      <c r="AM1012" t="s">
        <v>73</v>
      </c>
      <c r="AN1012">
        <v>52</v>
      </c>
      <c r="AO1012" t="s">
        <v>46</v>
      </c>
    </row>
    <row r="1013" spans="1:41">
      <c r="A1013" t="s">
        <v>1165</v>
      </c>
      <c r="B1013">
        <v>2020</v>
      </c>
      <c r="C1013" s="1">
        <v>43887</v>
      </c>
      <c r="D1013" t="s">
        <v>42</v>
      </c>
      <c r="E1013" t="s">
        <v>210</v>
      </c>
      <c r="F1013">
        <v>59</v>
      </c>
      <c r="G1013" t="s">
        <v>44</v>
      </c>
      <c r="H1013" t="s">
        <v>70</v>
      </c>
      <c r="I1013">
        <v>0</v>
      </c>
      <c r="J1013">
        <v>0</v>
      </c>
      <c r="K1013" t="s">
        <v>47</v>
      </c>
      <c r="L1013" t="s">
        <v>47</v>
      </c>
      <c r="M1013" t="s">
        <v>47</v>
      </c>
      <c r="N1013" t="s">
        <v>62</v>
      </c>
      <c r="O1013" t="s">
        <v>48</v>
      </c>
      <c r="P1013">
        <v>29</v>
      </c>
      <c r="Q1013" t="s">
        <v>48</v>
      </c>
      <c r="R1013" t="s">
        <v>47</v>
      </c>
      <c r="S1013" t="s">
        <v>47</v>
      </c>
      <c r="T1013" t="s">
        <v>47</v>
      </c>
      <c r="U1013" t="s">
        <v>47</v>
      </c>
      <c r="V1013" t="s">
        <v>51</v>
      </c>
      <c r="W1013" t="s">
        <v>47</v>
      </c>
      <c r="X1013" t="s">
        <v>47</v>
      </c>
      <c r="Y1013" t="s">
        <v>46</v>
      </c>
      <c r="Z1013" t="s">
        <v>47</v>
      </c>
      <c r="AA1013" t="s">
        <v>46</v>
      </c>
      <c r="AB1013" t="s">
        <v>47</v>
      </c>
      <c r="AC1013" t="s">
        <v>47</v>
      </c>
      <c r="AD1013" t="s">
        <v>46</v>
      </c>
      <c r="AE1013" t="s">
        <v>46</v>
      </c>
      <c r="AF1013" t="s">
        <v>47</v>
      </c>
      <c r="AG1013" t="s">
        <v>52</v>
      </c>
      <c r="AH1013" t="s">
        <v>53</v>
      </c>
      <c r="AI1013" t="s">
        <v>65</v>
      </c>
      <c r="AJ1013">
        <v>1.5</v>
      </c>
      <c r="AK1013" t="s">
        <v>47</v>
      </c>
      <c r="AL1013" t="s">
        <v>76</v>
      </c>
      <c r="AM1013" t="s">
        <v>118</v>
      </c>
      <c r="AN1013">
        <v>80</v>
      </c>
      <c r="AO1013" t="s">
        <v>46</v>
      </c>
    </row>
    <row r="1014" spans="1:41">
      <c r="A1014" t="s">
        <v>1166</v>
      </c>
      <c r="B1014">
        <v>2024</v>
      </c>
      <c r="C1014" s="1">
        <v>45450</v>
      </c>
      <c r="D1014" t="s">
        <v>84</v>
      </c>
      <c r="E1014" t="s">
        <v>189</v>
      </c>
      <c r="F1014">
        <v>63</v>
      </c>
      <c r="G1014" t="s">
        <v>60</v>
      </c>
      <c r="H1014" t="s">
        <v>70</v>
      </c>
      <c r="I1014">
        <v>0</v>
      </c>
      <c r="J1014">
        <v>0</v>
      </c>
      <c r="K1014" t="s">
        <v>46</v>
      </c>
      <c r="L1014" t="s">
        <v>46</v>
      </c>
      <c r="M1014" t="s">
        <v>46</v>
      </c>
      <c r="N1014" t="s">
        <v>62</v>
      </c>
      <c r="O1014" t="s">
        <v>63</v>
      </c>
      <c r="P1014">
        <v>26.4</v>
      </c>
      <c r="Q1014" t="s">
        <v>48</v>
      </c>
      <c r="R1014" t="s">
        <v>47</v>
      </c>
      <c r="S1014" t="s">
        <v>47</v>
      </c>
      <c r="T1014" t="s">
        <v>47</v>
      </c>
      <c r="U1014" t="s">
        <v>47</v>
      </c>
      <c r="V1014" t="s">
        <v>86</v>
      </c>
      <c r="W1014" t="s">
        <v>47</v>
      </c>
      <c r="X1014" t="s">
        <v>47</v>
      </c>
      <c r="Y1014" t="s">
        <v>47</v>
      </c>
      <c r="Z1014" t="s">
        <v>47</v>
      </c>
      <c r="AA1014" t="s">
        <v>47</v>
      </c>
      <c r="AB1014" t="s">
        <v>46</v>
      </c>
      <c r="AC1014" t="s">
        <v>47</v>
      </c>
      <c r="AD1014" t="s">
        <v>46</v>
      </c>
      <c r="AE1014" t="s">
        <v>47</v>
      </c>
      <c r="AF1014" t="s">
        <v>47</v>
      </c>
      <c r="AG1014" t="s">
        <v>121</v>
      </c>
      <c r="AH1014" t="s">
        <v>122</v>
      </c>
      <c r="AI1014" t="s">
        <v>80</v>
      </c>
      <c r="AJ1014">
        <v>4.2</v>
      </c>
      <c r="AK1014" t="s">
        <v>47</v>
      </c>
      <c r="AL1014" t="s">
        <v>66</v>
      </c>
      <c r="AM1014" t="s">
        <v>82</v>
      </c>
      <c r="AN1014">
        <v>19</v>
      </c>
      <c r="AO1014" t="s">
        <v>46</v>
      </c>
    </row>
    <row r="1015" spans="1:41">
      <c r="A1015" t="s">
        <v>1167</v>
      </c>
      <c r="B1015">
        <v>2021</v>
      </c>
      <c r="C1015" s="1">
        <v>44361</v>
      </c>
      <c r="D1015" t="s">
        <v>110</v>
      </c>
      <c r="E1015" t="s">
        <v>177</v>
      </c>
      <c r="F1015">
        <v>65</v>
      </c>
      <c r="G1015" t="s">
        <v>60</v>
      </c>
      <c r="H1015" t="s">
        <v>70</v>
      </c>
      <c r="I1015">
        <v>0</v>
      </c>
      <c r="J1015">
        <v>0</v>
      </c>
      <c r="K1015" t="s">
        <v>47</v>
      </c>
      <c r="L1015" t="s">
        <v>47</v>
      </c>
      <c r="M1015" t="s">
        <v>47</v>
      </c>
      <c r="N1015" t="s">
        <v>62</v>
      </c>
      <c r="O1015" t="s">
        <v>49</v>
      </c>
      <c r="P1015">
        <v>25</v>
      </c>
      <c r="Q1015" t="s">
        <v>50</v>
      </c>
      <c r="R1015" t="s">
        <v>47</v>
      </c>
      <c r="S1015" t="s">
        <v>47</v>
      </c>
      <c r="T1015" t="s">
        <v>47</v>
      </c>
      <c r="U1015" t="s">
        <v>47</v>
      </c>
      <c r="V1015" t="s">
        <v>193</v>
      </c>
      <c r="W1015" t="s">
        <v>47</v>
      </c>
      <c r="X1015" t="s">
        <v>47</v>
      </c>
      <c r="Y1015" t="s">
        <v>47</v>
      </c>
      <c r="Z1015" t="s">
        <v>47</v>
      </c>
      <c r="AA1015" t="s">
        <v>46</v>
      </c>
      <c r="AB1015" t="s">
        <v>47</v>
      </c>
      <c r="AC1015" t="s">
        <v>46</v>
      </c>
      <c r="AD1015" t="s">
        <v>47</v>
      </c>
      <c r="AE1015" t="s">
        <v>47</v>
      </c>
      <c r="AF1015" t="s">
        <v>47</v>
      </c>
      <c r="AG1015" t="s">
        <v>52</v>
      </c>
      <c r="AH1015" t="s">
        <v>53</v>
      </c>
      <c r="AI1015" t="s">
        <v>80</v>
      </c>
      <c r="AJ1015">
        <v>3.8</v>
      </c>
      <c r="AK1015" t="s">
        <v>47</v>
      </c>
      <c r="AL1015" t="s">
        <v>156</v>
      </c>
      <c r="AM1015" t="s">
        <v>77</v>
      </c>
      <c r="AN1015">
        <v>16</v>
      </c>
      <c r="AO1015" t="s">
        <v>47</v>
      </c>
    </row>
    <row r="1016" spans="1:41">
      <c r="A1016" t="s">
        <v>1168</v>
      </c>
      <c r="B1016">
        <v>2024</v>
      </c>
      <c r="C1016" s="1">
        <v>45593</v>
      </c>
      <c r="D1016" t="s">
        <v>84</v>
      </c>
      <c r="E1016" t="s">
        <v>126</v>
      </c>
      <c r="F1016">
        <v>59</v>
      </c>
      <c r="G1016" t="s">
        <v>44</v>
      </c>
      <c r="H1016" t="s">
        <v>70</v>
      </c>
      <c r="I1016">
        <v>0</v>
      </c>
      <c r="J1016">
        <v>0</v>
      </c>
      <c r="K1016" t="s">
        <v>47</v>
      </c>
      <c r="L1016" t="s">
        <v>46</v>
      </c>
      <c r="M1016" t="s">
        <v>47</v>
      </c>
      <c r="N1016" t="s">
        <v>48</v>
      </c>
      <c r="O1016" t="s">
        <v>48</v>
      </c>
      <c r="P1016">
        <v>21.2</v>
      </c>
      <c r="Q1016" t="s">
        <v>50</v>
      </c>
      <c r="R1016" t="s">
        <v>47</v>
      </c>
      <c r="S1016" t="s">
        <v>47</v>
      </c>
      <c r="T1016" t="s">
        <v>47</v>
      </c>
      <c r="U1016" t="s">
        <v>47</v>
      </c>
      <c r="V1016" t="s">
        <v>117</v>
      </c>
      <c r="W1016" t="s">
        <v>46</v>
      </c>
      <c r="X1016" t="s">
        <v>47</v>
      </c>
      <c r="Y1016" t="s">
        <v>47</v>
      </c>
      <c r="Z1016" t="s">
        <v>47</v>
      </c>
      <c r="AA1016" t="s">
        <v>46</v>
      </c>
      <c r="AB1016" t="s">
        <v>47</v>
      </c>
      <c r="AC1016" t="s">
        <v>47</v>
      </c>
      <c r="AD1016" t="s">
        <v>47</v>
      </c>
      <c r="AE1016" t="s">
        <v>47</v>
      </c>
      <c r="AF1016" t="s">
        <v>47</v>
      </c>
      <c r="AG1016" t="s">
        <v>52</v>
      </c>
      <c r="AH1016" t="s">
        <v>90</v>
      </c>
      <c r="AI1016" t="s">
        <v>87</v>
      </c>
      <c r="AJ1016">
        <v>3.5</v>
      </c>
      <c r="AK1016" t="s">
        <v>47</v>
      </c>
      <c r="AL1016" t="s">
        <v>156</v>
      </c>
      <c r="AM1016" t="s">
        <v>67</v>
      </c>
      <c r="AN1016">
        <v>36</v>
      </c>
      <c r="AO1016" t="s">
        <v>46</v>
      </c>
    </row>
    <row r="1017" spans="1:41">
      <c r="A1017" t="s">
        <v>1169</v>
      </c>
      <c r="B1017">
        <v>2016</v>
      </c>
      <c r="C1017" s="1">
        <v>42709</v>
      </c>
      <c r="D1017" t="s">
        <v>98</v>
      </c>
      <c r="E1017" t="s">
        <v>99</v>
      </c>
      <c r="F1017">
        <v>66</v>
      </c>
      <c r="G1017" t="s">
        <v>60</v>
      </c>
      <c r="H1017" t="s">
        <v>70</v>
      </c>
      <c r="I1017">
        <v>0</v>
      </c>
      <c r="J1017">
        <v>0</v>
      </c>
      <c r="K1017" t="s">
        <v>46</v>
      </c>
      <c r="L1017" t="s">
        <v>46</v>
      </c>
      <c r="M1017" t="s">
        <v>47</v>
      </c>
      <c r="N1017" t="s">
        <v>48</v>
      </c>
      <c r="O1017" t="s">
        <v>48</v>
      </c>
      <c r="P1017">
        <v>20.9</v>
      </c>
      <c r="Q1017" t="s">
        <v>62</v>
      </c>
      <c r="R1017" t="s">
        <v>47</v>
      </c>
      <c r="S1017" t="s">
        <v>47</v>
      </c>
      <c r="T1017" t="s">
        <v>47</v>
      </c>
      <c r="U1017" t="s">
        <v>47</v>
      </c>
      <c r="V1017" t="s">
        <v>171</v>
      </c>
      <c r="W1017" t="s">
        <v>47</v>
      </c>
      <c r="X1017" t="s">
        <v>47</v>
      </c>
      <c r="Y1017" t="s">
        <v>47</v>
      </c>
      <c r="Z1017" t="s">
        <v>47</v>
      </c>
      <c r="AA1017" t="s">
        <v>47</v>
      </c>
      <c r="AB1017" t="s">
        <v>47</v>
      </c>
      <c r="AC1017" t="s">
        <v>47</v>
      </c>
      <c r="AD1017" t="s">
        <v>47</v>
      </c>
      <c r="AE1017" t="s">
        <v>47</v>
      </c>
      <c r="AF1017" t="s">
        <v>47</v>
      </c>
      <c r="AG1017" t="s">
        <v>52</v>
      </c>
      <c r="AH1017" t="s">
        <v>90</v>
      </c>
      <c r="AI1017" t="s">
        <v>65</v>
      </c>
      <c r="AJ1017">
        <v>2.2000000000000002</v>
      </c>
      <c r="AK1017" t="s">
        <v>47</v>
      </c>
      <c r="AL1017" t="s">
        <v>156</v>
      </c>
      <c r="AM1017" t="s">
        <v>73</v>
      </c>
      <c r="AN1017">
        <v>70</v>
      </c>
      <c r="AO1017" t="s">
        <v>46</v>
      </c>
    </row>
    <row r="1018" spans="1:41">
      <c r="A1018" t="s">
        <v>1170</v>
      </c>
      <c r="B1018">
        <v>2025</v>
      </c>
      <c r="C1018" s="1">
        <v>45795</v>
      </c>
      <c r="D1018" t="s">
        <v>42</v>
      </c>
      <c r="E1018" t="s">
        <v>154</v>
      </c>
      <c r="F1018">
        <v>74</v>
      </c>
      <c r="G1018" t="s">
        <v>60</v>
      </c>
      <c r="H1018" t="s">
        <v>70</v>
      </c>
      <c r="I1018">
        <v>0</v>
      </c>
      <c r="J1018">
        <v>0</v>
      </c>
      <c r="K1018" t="s">
        <v>47</v>
      </c>
      <c r="L1018" t="s">
        <v>46</v>
      </c>
      <c r="M1018" t="s">
        <v>46</v>
      </c>
      <c r="N1018" t="s">
        <v>62</v>
      </c>
      <c r="O1018" t="s">
        <v>49</v>
      </c>
      <c r="P1018">
        <v>23.6</v>
      </c>
      <c r="Q1018" t="s">
        <v>50</v>
      </c>
      <c r="R1018" t="s">
        <v>47</v>
      </c>
      <c r="S1018" t="s">
        <v>47</v>
      </c>
      <c r="T1018" t="s">
        <v>47</v>
      </c>
      <c r="U1018" t="s">
        <v>47</v>
      </c>
      <c r="V1018" t="s">
        <v>51</v>
      </c>
      <c r="W1018" t="s">
        <v>47</v>
      </c>
      <c r="X1018" t="s">
        <v>46</v>
      </c>
      <c r="Y1018" t="s">
        <v>47</v>
      </c>
      <c r="Z1018" t="s">
        <v>47</v>
      </c>
      <c r="AA1018" t="s">
        <v>47</v>
      </c>
      <c r="AB1018" t="s">
        <v>47</v>
      </c>
      <c r="AC1018" t="s">
        <v>47</v>
      </c>
      <c r="AD1018" t="s">
        <v>47</v>
      </c>
      <c r="AE1018" t="s">
        <v>47</v>
      </c>
      <c r="AF1018" t="s">
        <v>47</v>
      </c>
      <c r="AG1018" t="s">
        <v>52</v>
      </c>
      <c r="AH1018" t="s">
        <v>71</v>
      </c>
      <c r="AI1018" t="s">
        <v>87</v>
      </c>
      <c r="AJ1018">
        <v>3.7</v>
      </c>
      <c r="AK1018" t="s">
        <v>47</v>
      </c>
      <c r="AL1018" t="s">
        <v>76</v>
      </c>
      <c r="AM1018" t="s">
        <v>73</v>
      </c>
      <c r="AN1018">
        <v>6</v>
      </c>
      <c r="AO1018" t="s">
        <v>47</v>
      </c>
    </row>
    <row r="1019" spans="1:41">
      <c r="A1019" t="s">
        <v>1171</v>
      </c>
      <c r="B1019">
        <v>2025</v>
      </c>
      <c r="C1019" s="1">
        <v>45954</v>
      </c>
      <c r="D1019" t="s">
        <v>95</v>
      </c>
      <c r="E1019" t="s">
        <v>145</v>
      </c>
      <c r="F1019">
        <v>61</v>
      </c>
      <c r="G1019" t="s">
        <v>60</v>
      </c>
      <c r="H1019" t="s">
        <v>70</v>
      </c>
      <c r="I1019">
        <v>0</v>
      </c>
      <c r="J1019">
        <v>0</v>
      </c>
      <c r="K1019" t="s">
        <v>46</v>
      </c>
      <c r="L1019" t="s">
        <v>47</v>
      </c>
      <c r="M1019" t="s">
        <v>47</v>
      </c>
      <c r="N1019" t="s">
        <v>48</v>
      </c>
      <c r="O1019" t="s">
        <v>63</v>
      </c>
      <c r="P1019">
        <v>23.8</v>
      </c>
      <c r="Q1019" t="s">
        <v>48</v>
      </c>
      <c r="R1019" t="s">
        <v>47</v>
      </c>
      <c r="S1019" t="s">
        <v>47</v>
      </c>
      <c r="T1019" t="s">
        <v>47</v>
      </c>
      <c r="U1019" t="s">
        <v>47</v>
      </c>
      <c r="V1019" t="s">
        <v>117</v>
      </c>
      <c r="W1019" t="s">
        <v>47</v>
      </c>
      <c r="X1019" t="s">
        <v>47</v>
      </c>
      <c r="Y1019" t="s">
        <v>47</v>
      </c>
      <c r="Z1019" t="s">
        <v>47</v>
      </c>
      <c r="AA1019" t="s">
        <v>47</v>
      </c>
      <c r="AB1019" t="s">
        <v>47</v>
      </c>
      <c r="AC1019" t="s">
        <v>47</v>
      </c>
      <c r="AD1019" t="s">
        <v>47</v>
      </c>
      <c r="AE1019" t="s">
        <v>47</v>
      </c>
      <c r="AF1019" t="s">
        <v>47</v>
      </c>
      <c r="AG1019" t="s">
        <v>52</v>
      </c>
      <c r="AH1019" t="s">
        <v>53</v>
      </c>
      <c r="AI1019" t="s">
        <v>54</v>
      </c>
      <c r="AJ1019">
        <v>10.7</v>
      </c>
      <c r="AK1019" t="s">
        <v>46</v>
      </c>
      <c r="AL1019" t="s">
        <v>66</v>
      </c>
      <c r="AM1019" t="s">
        <v>77</v>
      </c>
      <c r="AN1019">
        <v>1</v>
      </c>
      <c r="AO1019" t="s">
        <v>47</v>
      </c>
    </row>
    <row r="1020" spans="1:41">
      <c r="A1020" t="s">
        <v>1172</v>
      </c>
      <c r="B1020">
        <v>2016</v>
      </c>
      <c r="C1020" s="1">
        <v>42495</v>
      </c>
      <c r="D1020" t="s">
        <v>58</v>
      </c>
      <c r="E1020" t="s">
        <v>59</v>
      </c>
      <c r="F1020">
        <v>40</v>
      </c>
      <c r="G1020" t="s">
        <v>60</v>
      </c>
      <c r="H1020" t="s">
        <v>70</v>
      </c>
      <c r="I1020">
        <v>0</v>
      </c>
      <c r="J1020">
        <v>0</v>
      </c>
      <c r="K1020" t="s">
        <v>46</v>
      </c>
      <c r="L1020" t="s">
        <v>47</v>
      </c>
      <c r="M1020" t="s">
        <v>47</v>
      </c>
      <c r="N1020" t="s">
        <v>50</v>
      </c>
      <c r="O1020" t="s">
        <v>49</v>
      </c>
      <c r="P1020">
        <v>27.3</v>
      </c>
      <c r="Q1020" t="s">
        <v>50</v>
      </c>
      <c r="R1020" t="s">
        <v>47</v>
      </c>
      <c r="S1020" t="s">
        <v>47</v>
      </c>
      <c r="T1020" t="s">
        <v>47</v>
      </c>
      <c r="U1020" t="s">
        <v>47</v>
      </c>
      <c r="V1020" t="s">
        <v>171</v>
      </c>
      <c r="W1020" t="s">
        <v>47</v>
      </c>
      <c r="X1020" t="s">
        <v>46</v>
      </c>
      <c r="Y1020" t="s">
        <v>47</v>
      </c>
      <c r="Z1020" t="s">
        <v>47</v>
      </c>
      <c r="AA1020" t="s">
        <v>46</v>
      </c>
      <c r="AB1020" t="s">
        <v>47</v>
      </c>
      <c r="AC1020" t="s">
        <v>47</v>
      </c>
      <c r="AD1020" t="s">
        <v>47</v>
      </c>
      <c r="AE1020" t="s">
        <v>46</v>
      </c>
      <c r="AF1020" t="s">
        <v>47</v>
      </c>
      <c r="AG1020" t="s">
        <v>52</v>
      </c>
      <c r="AH1020" t="s">
        <v>53</v>
      </c>
      <c r="AI1020" t="s">
        <v>80</v>
      </c>
      <c r="AJ1020">
        <v>6.9</v>
      </c>
      <c r="AK1020" t="s">
        <v>47</v>
      </c>
      <c r="AL1020" t="s">
        <v>100</v>
      </c>
      <c r="AM1020" t="s">
        <v>82</v>
      </c>
      <c r="AN1020">
        <v>13</v>
      </c>
      <c r="AO1020" t="s">
        <v>47</v>
      </c>
    </row>
    <row r="1021" spans="1:41">
      <c r="A1021" t="s">
        <v>1173</v>
      </c>
      <c r="B1021">
        <v>2018</v>
      </c>
      <c r="C1021" s="1">
        <v>43259</v>
      </c>
      <c r="D1021" t="s">
        <v>98</v>
      </c>
      <c r="E1021" t="s">
        <v>249</v>
      </c>
      <c r="F1021">
        <v>55</v>
      </c>
      <c r="G1021" t="s">
        <v>44</v>
      </c>
      <c r="H1021" t="s">
        <v>45</v>
      </c>
      <c r="I1021">
        <v>24</v>
      </c>
      <c r="J1021">
        <v>20</v>
      </c>
      <c r="K1021" t="s">
        <v>46</v>
      </c>
      <c r="L1021" t="s">
        <v>47</v>
      </c>
      <c r="M1021" t="s">
        <v>47</v>
      </c>
      <c r="N1021" t="s">
        <v>48</v>
      </c>
      <c r="O1021" t="s">
        <v>63</v>
      </c>
      <c r="P1021">
        <v>25.8</v>
      </c>
      <c r="Q1021" t="s">
        <v>50</v>
      </c>
      <c r="R1021" t="s">
        <v>47</v>
      </c>
      <c r="S1021" t="s">
        <v>47</v>
      </c>
      <c r="T1021" t="s">
        <v>47</v>
      </c>
      <c r="U1021" t="s">
        <v>47</v>
      </c>
      <c r="V1021" t="s">
        <v>51</v>
      </c>
      <c r="W1021" t="s">
        <v>47</v>
      </c>
      <c r="X1021" t="s">
        <v>46</v>
      </c>
      <c r="Y1021" t="s">
        <v>46</v>
      </c>
      <c r="Z1021" t="s">
        <v>47</v>
      </c>
      <c r="AA1021" t="s">
        <v>46</v>
      </c>
      <c r="AB1021" t="s">
        <v>46</v>
      </c>
      <c r="AC1021" t="s">
        <v>46</v>
      </c>
      <c r="AD1021" t="s">
        <v>47</v>
      </c>
      <c r="AE1021" t="s">
        <v>46</v>
      </c>
      <c r="AF1021" t="s">
        <v>47</v>
      </c>
      <c r="AG1021" t="s">
        <v>52</v>
      </c>
      <c r="AH1021" t="s">
        <v>53</v>
      </c>
      <c r="AI1021" t="s">
        <v>80</v>
      </c>
      <c r="AJ1021">
        <v>3.9</v>
      </c>
      <c r="AK1021" t="s">
        <v>46</v>
      </c>
      <c r="AL1021" t="s">
        <v>55</v>
      </c>
      <c r="AM1021" t="s">
        <v>67</v>
      </c>
      <c r="AN1021">
        <v>3</v>
      </c>
      <c r="AO1021" t="s">
        <v>46</v>
      </c>
    </row>
    <row r="1022" spans="1:41">
      <c r="A1022" t="s">
        <v>1174</v>
      </c>
      <c r="B1022">
        <v>2019</v>
      </c>
      <c r="C1022" s="1">
        <v>43765</v>
      </c>
      <c r="D1022" t="s">
        <v>42</v>
      </c>
      <c r="E1022" t="s">
        <v>160</v>
      </c>
      <c r="F1022">
        <v>52</v>
      </c>
      <c r="G1022" t="s">
        <v>44</v>
      </c>
      <c r="H1022" t="s">
        <v>45</v>
      </c>
      <c r="I1022">
        <v>35</v>
      </c>
      <c r="J1022">
        <v>34</v>
      </c>
      <c r="K1022" t="s">
        <v>47</v>
      </c>
      <c r="L1022" t="s">
        <v>47</v>
      </c>
      <c r="M1022" t="s">
        <v>47</v>
      </c>
      <c r="N1022" t="s">
        <v>62</v>
      </c>
      <c r="O1022" t="s">
        <v>48</v>
      </c>
      <c r="P1022">
        <v>31</v>
      </c>
      <c r="Q1022" t="s">
        <v>62</v>
      </c>
      <c r="R1022" t="s">
        <v>46</v>
      </c>
      <c r="S1022" t="s">
        <v>47</v>
      </c>
      <c r="T1022" t="s">
        <v>47</v>
      </c>
      <c r="U1022" t="s">
        <v>47</v>
      </c>
      <c r="V1022" t="s">
        <v>86</v>
      </c>
      <c r="W1022" t="s">
        <v>46</v>
      </c>
      <c r="X1022" t="s">
        <v>47</v>
      </c>
      <c r="Y1022" t="s">
        <v>46</v>
      </c>
      <c r="Z1022" t="s">
        <v>47</v>
      </c>
      <c r="AA1022" t="s">
        <v>46</v>
      </c>
      <c r="AB1022" t="s">
        <v>46</v>
      </c>
      <c r="AC1022" t="s">
        <v>47</v>
      </c>
      <c r="AD1022" t="s">
        <v>47</v>
      </c>
      <c r="AE1022" t="s">
        <v>47</v>
      </c>
      <c r="AF1022" t="s">
        <v>47</v>
      </c>
      <c r="AG1022" t="s">
        <v>121</v>
      </c>
      <c r="AH1022" t="s">
        <v>122</v>
      </c>
      <c r="AI1022" t="s">
        <v>80</v>
      </c>
      <c r="AJ1022">
        <v>7.5</v>
      </c>
      <c r="AK1022" t="s">
        <v>47</v>
      </c>
      <c r="AL1022" t="s">
        <v>66</v>
      </c>
      <c r="AM1022" t="s">
        <v>56</v>
      </c>
      <c r="AN1022">
        <v>25</v>
      </c>
      <c r="AO1022" t="s">
        <v>47</v>
      </c>
    </row>
    <row r="1023" spans="1:41">
      <c r="A1023" t="s">
        <v>1175</v>
      </c>
      <c r="B1023">
        <v>2022</v>
      </c>
      <c r="C1023" s="1">
        <v>44791</v>
      </c>
      <c r="D1023" t="s">
        <v>42</v>
      </c>
      <c r="E1023" t="s">
        <v>136</v>
      </c>
      <c r="F1023">
        <v>65</v>
      </c>
      <c r="G1023" t="s">
        <v>60</v>
      </c>
      <c r="H1023" t="s">
        <v>70</v>
      </c>
      <c r="I1023">
        <v>0</v>
      </c>
      <c r="J1023">
        <v>0</v>
      </c>
      <c r="K1023" t="s">
        <v>47</v>
      </c>
      <c r="L1023" t="s">
        <v>47</v>
      </c>
      <c r="M1023" t="s">
        <v>47</v>
      </c>
      <c r="N1023" t="s">
        <v>62</v>
      </c>
      <c r="O1023" t="s">
        <v>49</v>
      </c>
      <c r="P1023">
        <v>32.1</v>
      </c>
      <c r="Q1023" t="s">
        <v>48</v>
      </c>
      <c r="R1023" t="s">
        <v>47</v>
      </c>
      <c r="S1023" t="s">
        <v>47</v>
      </c>
      <c r="T1023" t="s">
        <v>47</v>
      </c>
      <c r="U1023" t="s">
        <v>47</v>
      </c>
      <c r="V1023" t="s">
        <v>64</v>
      </c>
      <c r="W1023" t="s">
        <v>47</v>
      </c>
      <c r="X1023" t="s">
        <v>46</v>
      </c>
      <c r="Y1023" t="s">
        <v>46</v>
      </c>
      <c r="Z1023" t="s">
        <v>47</v>
      </c>
      <c r="AA1023" t="s">
        <v>47</v>
      </c>
      <c r="AB1023" t="s">
        <v>47</v>
      </c>
      <c r="AC1023" t="s">
        <v>47</v>
      </c>
      <c r="AD1023" t="s">
        <v>47</v>
      </c>
      <c r="AE1023" t="s">
        <v>47</v>
      </c>
      <c r="AF1023" t="s">
        <v>47</v>
      </c>
      <c r="AG1023" t="s">
        <v>121</v>
      </c>
      <c r="AH1023" t="s">
        <v>122</v>
      </c>
      <c r="AI1023" t="s">
        <v>65</v>
      </c>
      <c r="AJ1023">
        <v>3.2</v>
      </c>
      <c r="AK1023" t="s">
        <v>47</v>
      </c>
      <c r="AL1023" t="s">
        <v>72</v>
      </c>
      <c r="AM1023" t="s">
        <v>67</v>
      </c>
      <c r="AN1023">
        <v>46</v>
      </c>
      <c r="AO1023" t="s">
        <v>47</v>
      </c>
    </row>
    <row r="1024" spans="1:41">
      <c r="A1024" t="s">
        <v>1176</v>
      </c>
      <c r="B1024">
        <v>2024</v>
      </c>
      <c r="C1024" s="1">
        <v>45437</v>
      </c>
      <c r="D1024" t="s">
        <v>84</v>
      </c>
      <c r="E1024" t="s">
        <v>571</v>
      </c>
      <c r="F1024">
        <v>60</v>
      </c>
      <c r="G1024" t="s">
        <v>60</v>
      </c>
      <c r="H1024" t="s">
        <v>70</v>
      </c>
      <c r="I1024">
        <v>0</v>
      </c>
      <c r="J1024">
        <v>0</v>
      </c>
      <c r="K1024" t="s">
        <v>47</v>
      </c>
      <c r="L1024" t="s">
        <v>47</v>
      </c>
      <c r="M1024" t="s">
        <v>47</v>
      </c>
      <c r="N1024" t="s">
        <v>50</v>
      </c>
      <c r="O1024" t="s">
        <v>49</v>
      </c>
      <c r="P1024">
        <v>34.9</v>
      </c>
      <c r="Q1024" t="s">
        <v>48</v>
      </c>
      <c r="R1024" t="s">
        <v>47</v>
      </c>
      <c r="S1024" t="s">
        <v>47</v>
      </c>
      <c r="T1024" t="s">
        <v>47</v>
      </c>
      <c r="U1024" t="s">
        <v>47</v>
      </c>
      <c r="V1024" t="s">
        <v>86</v>
      </c>
      <c r="W1024" t="s">
        <v>46</v>
      </c>
      <c r="X1024" t="s">
        <v>46</v>
      </c>
      <c r="Y1024" t="s">
        <v>47</v>
      </c>
      <c r="Z1024" t="s">
        <v>47</v>
      </c>
      <c r="AA1024" t="s">
        <v>47</v>
      </c>
      <c r="AB1024" t="s">
        <v>47</v>
      </c>
      <c r="AC1024" t="s">
        <v>46</v>
      </c>
      <c r="AD1024" t="s">
        <v>47</v>
      </c>
      <c r="AE1024" t="s">
        <v>47</v>
      </c>
      <c r="AF1024" t="s">
        <v>47</v>
      </c>
      <c r="AG1024" t="s">
        <v>52</v>
      </c>
      <c r="AH1024" t="s">
        <v>90</v>
      </c>
      <c r="AI1024" t="s">
        <v>87</v>
      </c>
      <c r="AJ1024">
        <v>3.7</v>
      </c>
      <c r="AK1024" t="s">
        <v>47</v>
      </c>
      <c r="AL1024" t="s">
        <v>100</v>
      </c>
      <c r="AM1024" t="s">
        <v>103</v>
      </c>
      <c r="AN1024">
        <v>28</v>
      </c>
      <c r="AO1024" t="s">
        <v>46</v>
      </c>
    </row>
    <row r="1025" spans="1:41">
      <c r="A1025" t="s">
        <v>1177</v>
      </c>
      <c r="B1025">
        <v>2025</v>
      </c>
      <c r="C1025" s="1">
        <v>46012</v>
      </c>
      <c r="D1025" t="s">
        <v>58</v>
      </c>
      <c r="E1025" t="s">
        <v>252</v>
      </c>
      <c r="F1025">
        <v>67</v>
      </c>
      <c r="G1025" t="s">
        <v>60</v>
      </c>
      <c r="H1025" t="s">
        <v>45</v>
      </c>
      <c r="I1025">
        <v>16</v>
      </c>
      <c r="J1025">
        <v>24</v>
      </c>
      <c r="K1025" t="s">
        <v>47</v>
      </c>
      <c r="L1025" t="s">
        <v>47</v>
      </c>
      <c r="M1025" t="s">
        <v>47</v>
      </c>
      <c r="N1025" t="s">
        <v>62</v>
      </c>
      <c r="O1025" t="s">
        <v>48</v>
      </c>
      <c r="P1025">
        <v>25.2</v>
      </c>
      <c r="Q1025" t="s">
        <v>50</v>
      </c>
      <c r="R1025" t="s">
        <v>46</v>
      </c>
      <c r="S1025" t="s">
        <v>47</v>
      </c>
      <c r="T1025" t="s">
        <v>47</v>
      </c>
      <c r="U1025" t="s">
        <v>47</v>
      </c>
      <c r="V1025" t="s">
        <v>86</v>
      </c>
      <c r="W1025" t="s">
        <v>46</v>
      </c>
      <c r="X1025" t="s">
        <v>46</v>
      </c>
      <c r="Y1025" t="s">
        <v>46</v>
      </c>
      <c r="Z1025" t="s">
        <v>47</v>
      </c>
      <c r="AA1025" t="s">
        <v>46</v>
      </c>
      <c r="AB1025" t="s">
        <v>46</v>
      </c>
      <c r="AC1025" t="s">
        <v>47</v>
      </c>
      <c r="AD1025" t="s">
        <v>47</v>
      </c>
      <c r="AE1025" t="s">
        <v>47</v>
      </c>
      <c r="AF1025" t="s">
        <v>47</v>
      </c>
      <c r="AG1025" t="s">
        <v>52</v>
      </c>
      <c r="AH1025" t="s">
        <v>53</v>
      </c>
      <c r="AI1025" t="s">
        <v>65</v>
      </c>
      <c r="AJ1025">
        <v>1.8</v>
      </c>
      <c r="AK1025" t="s">
        <v>47</v>
      </c>
      <c r="AL1025" t="s">
        <v>156</v>
      </c>
      <c r="AM1025" t="s">
        <v>73</v>
      </c>
      <c r="AN1025">
        <v>57</v>
      </c>
      <c r="AO1025" t="s">
        <v>46</v>
      </c>
    </row>
    <row r="1026" spans="1:41">
      <c r="A1026" t="s">
        <v>1178</v>
      </c>
      <c r="B1026">
        <v>2018</v>
      </c>
      <c r="C1026" s="1">
        <v>43318</v>
      </c>
      <c r="D1026" t="s">
        <v>58</v>
      </c>
      <c r="E1026" t="s">
        <v>138</v>
      </c>
      <c r="F1026">
        <v>84</v>
      </c>
      <c r="G1026" t="s">
        <v>44</v>
      </c>
      <c r="H1026" t="s">
        <v>70</v>
      </c>
      <c r="I1026">
        <v>0</v>
      </c>
      <c r="J1026">
        <v>0</v>
      </c>
      <c r="K1026" t="s">
        <v>46</v>
      </c>
      <c r="L1026" t="s">
        <v>47</v>
      </c>
      <c r="M1026" t="s">
        <v>46</v>
      </c>
      <c r="N1026" t="s">
        <v>50</v>
      </c>
      <c r="O1026" t="s">
        <v>63</v>
      </c>
      <c r="P1026">
        <v>29.5</v>
      </c>
      <c r="Q1026" t="s">
        <v>50</v>
      </c>
      <c r="R1026" t="s">
        <v>47</v>
      </c>
      <c r="S1026" t="s">
        <v>47</v>
      </c>
      <c r="T1026" t="s">
        <v>46</v>
      </c>
      <c r="U1026" t="s">
        <v>47</v>
      </c>
      <c r="V1026" t="s">
        <v>86</v>
      </c>
      <c r="W1026" t="s">
        <v>46</v>
      </c>
      <c r="X1026" t="s">
        <v>47</v>
      </c>
      <c r="Y1026" t="s">
        <v>46</v>
      </c>
      <c r="Z1026" t="s">
        <v>47</v>
      </c>
      <c r="AA1026" t="s">
        <v>47</v>
      </c>
      <c r="AB1026" t="s">
        <v>47</v>
      </c>
      <c r="AC1026" t="s">
        <v>47</v>
      </c>
      <c r="AD1026" t="s">
        <v>47</v>
      </c>
      <c r="AE1026" t="s">
        <v>47</v>
      </c>
      <c r="AF1026" t="s">
        <v>47</v>
      </c>
      <c r="AG1026" t="s">
        <v>52</v>
      </c>
      <c r="AH1026" t="s">
        <v>90</v>
      </c>
      <c r="AI1026" t="s">
        <v>65</v>
      </c>
      <c r="AJ1026">
        <v>0.5</v>
      </c>
      <c r="AK1026" t="s">
        <v>47</v>
      </c>
      <c r="AL1026" t="s">
        <v>156</v>
      </c>
      <c r="AM1026" t="s">
        <v>67</v>
      </c>
      <c r="AN1026">
        <v>55</v>
      </c>
      <c r="AO1026" t="s">
        <v>46</v>
      </c>
    </row>
    <row r="1027" spans="1:41">
      <c r="A1027" t="s">
        <v>1179</v>
      </c>
      <c r="B1027">
        <v>2016</v>
      </c>
      <c r="C1027" s="1">
        <v>42434</v>
      </c>
      <c r="D1027" t="s">
        <v>95</v>
      </c>
      <c r="E1027" t="s">
        <v>147</v>
      </c>
      <c r="F1027">
        <v>58</v>
      </c>
      <c r="G1027" t="s">
        <v>44</v>
      </c>
      <c r="H1027" t="s">
        <v>61</v>
      </c>
      <c r="I1027">
        <v>21</v>
      </c>
      <c r="J1027">
        <v>24</v>
      </c>
      <c r="K1027" t="s">
        <v>46</v>
      </c>
      <c r="L1027" t="s">
        <v>47</v>
      </c>
      <c r="M1027" t="s">
        <v>47</v>
      </c>
      <c r="N1027" t="s">
        <v>50</v>
      </c>
      <c r="O1027" t="s">
        <v>48</v>
      </c>
      <c r="P1027">
        <v>25.9</v>
      </c>
      <c r="Q1027" t="s">
        <v>48</v>
      </c>
      <c r="R1027" t="s">
        <v>46</v>
      </c>
      <c r="S1027" t="s">
        <v>47</v>
      </c>
      <c r="T1027" t="s">
        <v>47</v>
      </c>
      <c r="U1027" t="s">
        <v>46</v>
      </c>
      <c r="V1027" t="s">
        <v>51</v>
      </c>
      <c r="W1027" t="s">
        <v>46</v>
      </c>
      <c r="X1027" t="s">
        <v>47</v>
      </c>
      <c r="Y1027" t="s">
        <v>47</v>
      </c>
      <c r="Z1027" t="s">
        <v>46</v>
      </c>
      <c r="AA1027" t="s">
        <v>46</v>
      </c>
      <c r="AB1027" t="s">
        <v>46</v>
      </c>
      <c r="AC1027" t="s">
        <v>47</v>
      </c>
      <c r="AD1027" t="s">
        <v>47</v>
      </c>
      <c r="AE1027" t="s">
        <v>47</v>
      </c>
      <c r="AF1027" t="s">
        <v>46</v>
      </c>
      <c r="AG1027" t="s">
        <v>52</v>
      </c>
      <c r="AH1027" t="s">
        <v>71</v>
      </c>
      <c r="AI1027" t="s">
        <v>80</v>
      </c>
      <c r="AJ1027">
        <v>6.3</v>
      </c>
      <c r="AK1027" t="s">
        <v>47</v>
      </c>
      <c r="AL1027" t="s">
        <v>81</v>
      </c>
      <c r="AM1027" t="s">
        <v>82</v>
      </c>
      <c r="AN1027">
        <v>14</v>
      </c>
      <c r="AO1027" t="s">
        <v>47</v>
      </c>
    </row>
    <row r="1028" spans="1:41">
      <c r="A1028" t="s">
        <v>1180</v>
      </c>
      <c r="B1028">
        <v>2025</v>
      </c>
      <c r="C1028" s="1">
        <v>45875</v>
      </c>
      <c r="D1028" t="s">
        <v>95</v>
      </c>
      <c r="E1028" t="s">
        <v>147</v>
      </c>
      <c r="F1028">
        <v>65</v>
      </c>
      <c r="G1028" t="s">
        <v>44</v>
      </c>
      <c r="H1028" t="s">
        <v>70</v>
      </c>
      <c r="I1028">
        <v>0</v>
      </c>
      <c r="J1028">
        <v>0</v>
      </c>
      <c r="K1028" t="s">
        <v>46</v>
      </c>
      <c r="L1028" t="s">
        <v>47</v>
      </c>
      <c r="M1028" t="s">
        <v>47</v>
      </c>
      <c r="N1028" t="s">
        <v>62</v>
      </c>
      <c r="O1028" t="s">
        <v>48</v>
      </c>
      <c r="P1028">
        <v>30.3</v>
      </c>
      <c r="Q1028" t="s">
        <v>62</v>
      </c>
      <c r="R1028" t="s">
        <v>47</v>
      </c>
      <c r="S1028" t="s">
        <v>47</v>
      </c>
      <c r="T1028" t="s">
        <v>47</v>
      </c>
      <c r="U1028" t="s">
        <v>47</v>
      </c>
      <c r="V1028" t="s">
        <v>51</v>
      </c>
      <c r="W1028" t="s">
        <v>47</v>
      </c>
      <c r="X1028" t="s">
        <v>46</v>
      </c>
      <c r="Y1028" t="s">
        <v>47</v>
      </c>
      <c r="Z1028" t="s">
        <v>47</v>
      </c>
      <c r="AA1028" t="s">
        <v>46</v>
      </c>
      <c r="AB1028" t="s">
        <v>47</v>
      </c>
      <c r="AC1028" t="s">
        <v>47</v>
      </c>
      <c r="AD1028" t="s">
        <v>46</v>
      </c>
      <c r="AE1028" t="s">
        <v>47</v>
      </c>
      <c r="AF1028" t="s">
        <v>46</v>
      </c>
      <c r="AG1028" t="s">
        <v>52</v>
      </c>
      <c r="AH1028" t="s">
        <v>53</v>
      </c>
      <c r="AI1028" t="s">
        <v>54</v>
      </c>
      <c r="AJ1028">
        <v>3.5</v>
      </c>
      <c r="AK1028" t="s">
        <v>46</v>
      </c>
      <c r="AL1028" t="s">
        <v>55</v>
      </c>
      <c r="AM1028" t="s">
        <v>118</v>
      </c>
      <c r="AN1028">
        <v>4</v>
      </c>
      <c r="AO1028" t="s">
        <v>47</v>
      </c>
    </row>
    <row r="1029" spans="1:41">
      <c r="A1029" t="s">
        <v>1181</v>
      </c>
      <c r="B1029">
        <v>2016</v>
      </c>
      <c r="C1029" s="1">
        <v>42676</v>
      </c>
      <c r="D1029" t="s">
        <v>95</v>
      </c>
      <c r="E1029" t="s">
        <v>147</v>
      </c>
      <c r="F1029">
        <v>52</v>
      </c>
      <c r="G1029" t="s">
        <v>44</v>
      </c>
      <c r="H1029" t="s">
        <v>70</v>
      </c>
      <c r="I1029">
        <v>0</v>
      </c>
      <c r="J1029">
        <v>0</v>
      </c>
      <c r="K1029" t="s">
        <v>47</v>
      </c>
      <c r="L1029" t="s">
        <v>46</v>
      </c>
      <c r="M1029" t="s">
        <v>47</v>
      </c>
      <c r="N1029" t="s">
        <v>62</v>
      </c>
      <c r="O1029" t="s">
        <v>49</v>
      </c>
      <c r="P1029">
        <v>20.2</v>
      </c>
      <c r="Q1029" t="s">
        <v>48</v>
      </c>
      <c r="R1029" t="s">
        <v>47</v>
      </c>
      <c r="S1029" t="s">
        <v>47</v>
      </c>
      <c r="T1029" t="s">
        <v>47</v>
      </c>
      <c r="U1029" t="s">
        <v>47</v>
      </c>
      <c r="V1029" t="s">
        <v>86</v>
      </c>
      <c r="W1029" t="s">
        <v>46</v>
      </c>
      <c r="X1029" t="s">
        <v>47</v>
      </c>
      <c r="Y1029" t="s">
        <v>47</v>
      </c>
      <c r="Z1029" t="s">
        <v>47</v>
      </c>
      <c r="AA1029" t="s">
        <v>47</v>
      </c>
      <c r="AB1029" t="s">
        <v>47</v>
      </c>
      <c r="AC1029" t="s">
        <v>47</v>
      </c>
      <c r="AD1029" t="s">
        <v>47</v>
      </c>
      <c r="AE1029" t="s">
        <v>47</v>
      </c>
      <c r="AF1029" t="s">
        <v>47</v>
      </c>
      <c r="AG1029" t="s">
        <v>52</v>
      </c>
      <c r="AH1029" t="s">
        <v>53</v>
      </c>
      <c r="AI1029" t="s">
        <v>80</v>
      </c>
      <c r="AJ1029">
        <v>4.0999999999999996</v>
      </c>
      <c r="AK1029" t="s">
        <v>47</v>
      </c>
      <c r="AL1029" t="s">
        <v>66</v>
      </c>
      <c r="AM1029" t="s">
        <v>77</v>
      </c>
      <c r="AN1029">
        <v>34</v>
      </c>
      <c r="AO1029" t="s">
        <v>47</v>
      </c>
    </row>
    <row r="1030" spans="1:41">
      <c r="A1030" t="s">
        <v>1182</v>
      </c>
      <c r="B1030">
        <v>2016</v>
      </c>
      <c r="C1030" s="1">
        <v>42396</v>
      </c>
      <c r="D1030" t="s">
        <v>110</v>
      </c>
      <c r="E1030" t="s">
        <v>227</v>
      </c>
      <c r="F1030">
        <v>59</v>
      </c>
      <c r="G1030" t="s">
        <v>44</v>
      </c>
      <c r="H1030" t="s">
        <v>70</v>
      </c>
      <c r="I1030">
        <v>0</v>
      </c>
      <c r="J1030">
        <v>0</v>
      </c>
      <c r="K1030" t="s">
        <v>46</v>
      </c>
      <c r="L1030" t="s">
        <v>47</v>
      </c>
      <c r="M1030" t="s">
        <v>47</v>
      </c>
      <c r="N1030" t="s">
        <v>62</v>
      </c>
      <c r="O1030" t="s">
        <v>48</v>
      </c>
      <c r="P1030">
        <v>24.9</v>
      </c>
      <c r="Q1030" t="s">
        <v>62</v>
      </c>
      <c r="R1030" t="s">
        <v>47</v>
      </c>
      <c r="S1030" t="s">
        <v>47</v>
      </c>
      <c r="T1030" t="s">
        <v>47</v>
      </c>
      <c r="U1030" t="s">
        <v>47</v>
      </c>
      <c r="V1030" t="s">
        <v>51</v>
      </c>
      <c r="W1030" t="s">
        <v>46</v>
      </c>
      <c r="X1030" t="s">
        <v>46</v>
      </c>
      <c r="Y1030" t="s">
        <v>47</v>
      </c>
      <c r="Z1030" t="s">
        <v>47</v>
      </c>
      <c r="AA1030" t="s">
        <v>46</v>
      </c>
      <c r="AB1030" t="s">
        <v>47</v>
      </c>
      <c r="AC1030" t="s">
        <v>47</v>
      </c>
      <c r="AD1030" t="s">
        <v>47</v>
      </c>
      <c r="AE1030" t="s">
        <v>47</v>
      </c>
      <c r="AF1030" t="s">
        <v>47</v>
      </c>
      <c r="AG1030" t="s">
        <v>121</v>
      </c>
      <c r="AH1030" t="s">
        <v>122</v>
      </c>
      <c r="AI1030" t="s">
        <v>80</v>
      </c>
      <c r="AJ1030">
        <v>6.8</v>
      </c>
      <c r="AK1030" t="s">
        <v>47</v>
      </c>
      <c r="AL1030" t="s">
        <v>76</v>
      </c>
      <c r="AM1030" t="s">
        <v>118</v>
      </c>
      <c r="AN1030">
        <v>21</v>
      </c>
      <c r="AO1030" t="s">
        <v>47</v>
      </c>
    </row>
    <row r="1031" spans="1:41">
      <c r="A1031" t="s">
        <v>1183</v>
      </c>
      <c r="B1031">
        <v>2023</v>
      </c>
      <c r="C1031" s="1">
        <v>45232</v>
      </c>
      <c r="D1031" t="s">
        <v>42</v>
      </c>
      <c r="E1031" t="s">
        <v>43</v>
      </c>
      <c r="F1031">
        <v>55</v>
      </c>
      <c r="G1031" t="s">
        <v>60</v>
      </c>
      <c r="H1031" t="s">
        <v>70</v>
      </c>
      <c r="I1031">
        <v>0</v>
      </c>
      <c r="J1031">
        <v>0</v>
      </c>
      <c r="K1031" t="s">
        <v>47</v>
      </c>
      <c r="L1031" t="s">
        <v>47</v>
      </c>
      <c r="M1031" t="s">
        <v>47</v>
      </c>
      <c r="N1031" t="s">
        <v>62</v>
      </c>
      <c r="O1031" t="s">
        <v>63</v>
      </c>
      <c r="P1031">
        <v>24</v>
      </c>
      <c r="Q1031" t="s">
        <v>50</v>
      </c>
      <c r="R1031" t="s">
        <v>47</v>
      </c>
      <c r="S1031" t="s">
        <v>47</v>
      </c>
      <c r="T1031" t="s">
        <v>47</v>
      </c>
      <c r="U1031" t="s">
        <v>47</v>
      </c>
      <c r="V1031" t="s">
        <v>171</v>
      </c>
      <c r="W1031" t="s">
        <v>47</v>
      </c>
      <c r="X1031" t="s">
        <v>47</v>
      </c>
      <c r="Y1031" t="s">
        <v>47</v>
      </c>
      <c r="Z1031" t="s">
        <v>47</v>
      </c>
      <c r="AA1031" t="s">
        <v>46</v>
      </c>
      <c r="AB1031" t="s">
        <v>47</v>
      </c>
      <c r="AC1031" t="s">
        <v>47</v>
      </c>
      <c r="AD1031" t="s">
        <v>47</v>
      </c>
      <c r="AE1031" t="s">
        <v>46</v>
      </c>
      <c r="AF1031" t="s">
        <v>47</v>
      </c>
      <c r="AG1031" t="s">
        <v>52</v>
      </c>
      <c r="AH1031" t="s">
        <v>90</v>
      </c>
      <c r="AI1031" t="s">
        <v>87</v>
      </c>
      <c r="AJ1031">
        <v>2.4</v>
      </c>
      <c r="AK1031" t="s">
        <v>47</v>
      </c>
      <c r="AL1031" t="s">
        <v>76</v>
      </c>
      <c r="AM1031" t="s">
        <v>67</v>
      </c>
      <c r="AN1031">
        <v>52</v>
      </c>
      <c r="AO1031" t="s">
        <v>47</v>
      </c>
    </row>
    <row r="1032" spans="1:41">
      <c r="A1032" t="s">
        <v>1184</v>
      </c>
      <c r="B1032">
        <v>2023</v>
      </c>
      <c r="C1032" s="1">
        <v>45112</v>
      </c>
      <c r="D1032" t="s">
        <v>110</v>
      </c>
      <c r="E1032" t="s">
        <v>236</v>
      </c>
      <c r="F1032">
        <v>61</v>
      </c>
      <c r="G1032" t="s">
        <v>44</v>
      </c>
      <c r="H1032" t="s">
        <v>70</v>
      </c>
      <c r="I1032">
        <v>0</v>
      </c>
      <c r="J1032">
        <v>0</v>
      </c>
      <c r="K1032" t="s">
        <v>47</v>
      </c>
      <c r="L1032" t="s">
        <v>47</v>
      </c>
      <c r="M1032" t="s">
        <v>47</v>
      </c>
      <c r="N1032" t="s">
        <v>62</v>
      </c>
      <c r="O1032" t="s">
        <v>48</v>
      </c>
      <c r="P1032">
        <v>30.9</v>
      </c>
      <c r="Q1032" t="s">
        <v>50</v>
      </c>
      <c r="R1032" t="s">
        <v>47</v>
      </c>
      <c r="S1032" t="s">
        <v>47</v>
      </c>
      <c r="T1032" t="s">
        <v>47</v>
      </c>
      <c r="U1032" t="s">
        <v>47</v>
      </c>
      <c r="V1032" t="s">
        <v>151</v>
      </c>
      <c r="W1032" t="s">
        <v>47</v>
      </c>
      <c r="X1032" t="s">
        <v>47</v>
      </c>
      <c r="Y1032" t="s">
        <v>46</v>
      </c>
      <c r="Z1032" t="s">
        <v>47</v>
      </c>
      <c r="AA1032" t="s">
        <v>47</v>
      </c>
      <c r="AB1032" t="s">
        <v>47</v>
      </c>
      <c r="AC1032" t="s">
        <v>47</v>
      </c>
      <c r="AD1032" t="s">
        <v>47</v>
      </c>
      <c r="AE1032" t="s">
        <v>47</v>
      </c>
      <c r="AF1032" t="s">
        <v>47</v>
      </c>
      <c r="AG1032" t="s">
        <v>52</v>
      </c>
      <c r="AH1032" t="s">
        <v>53</v>
      </c>
      <c r="AI1032" t="s">
        <v>87</v>
      </c>
      <c r="AJ1032">
        <v>4.5</v>
      </c>
      <c r="AK1032" t="s">
        <v>47</v>
      </c>
      <c r="AL1032" t="s">
        <v>66</v>
      </c>
      <c r="AM1032" t="s">
        <v>73</v>
      </c>
      <c r="AN1032">
        <v>20</v>
      </c>
      <c r="AO1032" t="s">
        <v>47</v>
      </c>
    </row>
    <row r="1033" spans="1:41">
      <c r="A1033" t="s">
        <v>1185</v>
      </c>
      <c r="B1033">
        <v>2021</v>
      </c>
      <c r="C1033" s="1">
        <v>44250</v>
      </c>
      <c r="D1033" t="s">
        <v>110</v>
      </c>
      <c r="E1033" t="s">
        <v>294</v>
      </c>
      <c r="F1033">
        <v>73</v>
      </c>
      <c r="G1033" t="s">
        <v>60</v>
      </c>
      <c r="H1033" t="s">
        <v>70</v>
      </c>
      <c r="I1033">
        <v>0</v>
      </c>
      <c r="J1033">
        <v>0</v>
      </c>
      <c r="K1033" t="s">
        <v>46</v>
      </c>
      <c r="L1033" t="s">
        <v>47</v>
      </c>
      <c r="M1033" t="s">
        <v>47</v>
      </c>
      <c r="N1033" t="s">
        <v>48</v>
      </c>
      <c r="O1033" t="s">
        <v>48</v>
      </c>
      <c r="P1033">
        <v>28.1</v>
      </c>
      <c r="Q1033" t="s">
        <v>48</v>
      </c>
      <c r="R1033" t="s">
        <v>47</v>
      </c>
      <c r="S1033" t="s">
        <v>47</v>
      </c>
      <c r="T1033" t="s">
        <v>47</v>
      </c>
      <c r="U1033" t="s">
        <v>47</v>
      </c>
      <c r="V1033" t="s">
        <v>86</v>
      </c>
      <c r="W1033" t="s">
        <v>47</v>
      </c>
      <c r="X1033" t="s">
        <v>46</v>
      </c>
      <c r="Y1033" t="s">
        <v>47</v>
      </c>
      <c r="Z1033" t="s">
        <v>47</v>
      </c>
      <c r="AA1033" t="s">
        <v>46</v>
      </c>
      <c r="AB1033" t="s">
        <v>47</v>
      </c>
      <c r="AC1033" t="s">
        <v>47</v>
      </c>
      <c r="AD1033" t="s">
        <v>47</v>
      </c>
      <c r="AE1033" t="s">
        <v>47</v>
      </c>
      <c r="AF1033" t="s">
        <v>46</v>
      </c>
      <c r="AG1033" t="s">
        <v>52</v>
      </c>
      <c r="AH1033" t="s">
        <v>53</v>
      </c>
      <c r="AI1033" t="s">
        <v>65</v>
      </c>
      <c r="AJ1033">
        <v>2.1</v>
      </c>
      <c r="AK1033" t="s">
        <v>47</v>
      </c>
      <c r="AL1033" t="s">
        <v>72</v>
      </c>
      <c r="AM1033" t="s">
        <v>73</v>
      </c>
      <c r="AN1033">
        <v>86</v>
      </c>
      <c r="AO1033" t="s">
        <v>46</v>
      </c>
    </row>
    <row r="1034" spans="1:41">
      <c r="A1034" t="s">
        <v>1186</v>
      </c>
      <c r="B1034">
        <v>2016</v>
      </c>
      <c r="C1034" s="1">
        <v>42376</v>
      </c>
      <c r="D1034" t="s">
        <v>42</v>
      </c>
      <c r="E1034" t="s">
        <v>75</v>
      </c>
      <c r="F1034">
        <v>63</v>
      </c>
      <c r="G1034" t="s">
        <v>60</v>
      </c>
      <c r="H1034" t="s">
        <v>70</v>
      </c>
      <c r="I1034">
        <v>0</v>
      </c>
      <c r="J1034">
        <v>0</v>
      </c>
      <c r="K1034" t="s">
        <v>47</v>
      </c>
      <c r="L1034" t="s">
        <v>47</v>
      </c>
      <c r="M1034" t="s">
        <v>47</v>
      </c>
      <c r="N1034" t="s">
        <v>48</v>
      </c>
      <c r="O1034" t="s">
        <v>48</v>
      </c>
      <c r="P1034">
        <v>24.9</v>
      </c>
      <c r="Q1034" t="s">
        <v>50</v>
      </c>
      <c r="R1034" t="s">
        <v>47</v>
      </c>
      <c r="S1034" t="s">
        <v>47</v>
      </c>
      <c r="T1034" t="s">
        <v>47</v>
      </c>
      <c r="U1034" t="s">
        <v>47</v>
      </c>
      <c r="V1034" t="s">
        <v>51</v>
      </c>
      <c r="W1034" t="s">
        <v>47</v>
      </c>
      <c r="X1034" t="s">
        <v>47</v>
      </c>
      <c r="Y1034" t="s">
        <v>47</v>
      </c>
      <c r="Z1034" t="s">
        <v>47</v>
      </c>
      <c r="AA1034" t="s">
        <v>46</v>
      </c>
      <c r="AB1034" t="s">
        <v>47</v>
      </c>
      <c r="AC1034" t="s">
        <v>47</v>
      </c>
      <c r="AD1034" t="s">
        <v>47</v>
      </c>
      <c r="AE1034" t="s">
        <v>47</v>
      </c>
      <c r="AF1034" t="s">
        <v>47</v>
      </c>
      <c r="AG1034" t="s">
        <v>52</v>
      </c>
      <c r="AH1034" t="s">
        <v>53</v>
      </c>
      <c r="AI1034" t="s">
        <v>80</v>
      </c>
      <c r="AJ1034">
        <v>8.5</v>
      </c>
      <c r="AK1034" t="s">
        <v>47</v>
      </c>
      <c r="AL1034" t="s">
        <v>100</v>
      </c>
      <c r="AM1034" t="s">
        <v>56</v>
      </c>
      <c r="AN1034">
        <v>17</v>
      </c>
      <c r="AO1034" t="s">
        <v>47</v>
      </c>
    </row>
    <row r="1035" spans="1:41">
      <c r="A1035" t="s">
        <v>1187</v>
      </c>
      <c r="B1035">
        <v>2017</v>
      </c>
      <c r="C1035" s="1">
        <v>42959</v>
      </c>
      <c r="D1035" t="s">
        <v>110</v>
      </c>
      <c r="E1035" t="s">
        <v>177</v>
      </c>
      <c r="F1035">
        <v>81</v>
      </c>
      <c r="G1035" t="s">
        <v>60</v>
      </c>
      <c r="H1035" t="s">
        <v>70</v>
      </c>
      <c r="I1035">
        <v>0</v>
      </c>
      <c r="J1035">
        <v>0</v>
      </c>
      <c r="K1035" t="s">
        <v>47</v>
      </c>
      <c r="L1035" t="s">
        <v>47</v>
      </c>
      <c r="M1035" t="s">
        <v>46</v>
      </c>
      <c r="N1035" t="s">
        <v>48</v>
      </c>
      <c r="O1035" t="s">
        <v>49</v>
      </c>
      <c r="P1035">
        <v>23.8</v>
      </c>
      <c r="Q1035" t="s">
        <v>62</v>
      </c>
      <c r="R1035" t="s">
        <v>47</v>
      </c>
      <c r="S1035" t="s">
        <v>46</v>
      </c>
      <c r="T1035" t="s">
        <v>47</v>
      </c>
      <c r="U1035" t="s">
        <v>47</v>
      </c>
      <c r="V1035" t="s">
        <v>51</v>
      </c>
      <c r="W1035" t="s">
        <v>47</v>
      </c>
      <c r="X1035" t="s">
        <v>46</v>
      </c>
      <c r="Y1035" t="s">
        <v>47</v>
      </c>
      <c r="Z1035" t="s">
        <v>47</v>
      </c>
      <c r="AA1035" t="s">
        <v>47</v>
      </c>
      <c r="AB1035" t="s">
        <v>47</v>
      </c>
      <c r="AC1035" t="s">
        <v>46</v>
      </c>
      <c r="AD1035" t="s">
        <v>47</v>
      </c>
      <c r="AE1035" t="s">
        <v>47</v>
      </c>
      <c r="AF1035" t="s">
        <v>47</v>
      </c>
      <c r="AG1035" t="s">
        <v>52</v>
      </c>
      <c r="AH1035" t="s">
        <v>53</v>
      </c>
      <c r="AI1035" t="s">
        <v>65</v>
      </c>
      <c r="AJ1035">
        <v>3</v>
      </c>
      <c r="AK1035" t="s">
        <v>47</v>
      </c>
      <c r="AL1035" t="s">
        <v>72</v>
      </c>
      <c r="AM1035" t="s">
        <v>73</v>
      </c>
      <c r="AN1035">
        <v>39</v>
      </c>
      <c r="AO1035" t="s">
        <v>47</v>
      </c>
    </row>
    <row r="1036" spans="1:41">
      <c r="A1036" t="s">
        <v>1188</v>
      </c>
      <c r="B1036">
        <v>2024</v>
      </c>
      <c r="C1036" s="1">
        <v>45586</v>
      </c>
      <c r="D1036" t="s">
        <v>95</v>
      </c>
      <c r="E1036" t="s">
        <v>255</v>
      </c>
      <c r="F1036">
        <v>54</v>
      </c>
      <c r="G1036" t="s">
        <v>60</v>
      </c>
      <c r="H1036" t="s">
        <v>70</v>
      </c>
      <c r="I1036">
        <v>0</v>
      </c>
      <c r="J1036">
        <v>0</v>
      </c>
      <c r="K1036" t="s">
        <v>47</v>
      </c>
      <c r="L1036" t="s">
        <v>47</v>
      </c>
      <c r="M1036" t="s">
        <v>46</v>
      </c>
      <c r="N1036" t="s">
        <v>50</v>
      </c>
      <c r="O1036" t="s">
        <v>63</v>
      </c>
      <c r="P1036">
        <v>20.399999999999999</v>
      </c>
      <c r="Q1036" t="s">
        <v>50</v>
      </c>
      <c r="R1036" t="s">
        <v>47</v>
      </c>
      <c r="S1036" t="s">
        <v>47</v>
      </c>
      <c r="T1036" t="s">
        <v>47</v>
      </c>
      <c r="U1036" t="s">
        <v>47</v>
      </c>
      <c r="V1036" t="s">
        <v>86</v>
      </c>
      <c r="W1036" t="s">
        <v>47</v>
      </c>
      <c r="X1036" t="s">
        <v>47</v>
      </c>
      <c r="Y1036" t="s">
        <v>47</v>
      </c>
      <c r="Z1036" t="s">
        <v>47</v>
      </c>
      <c r="AA1036" t="s">
        <v>46</v>
      </c>
      <c r="AB1036" t="s">
        <v>47</v>
      </c>
      <c r="AC1036" t="s">
        <v>46</v>
      </c>
      <c r="AD1036" t="s">
        <v>46</v>
      </c>
      <c r="AE1036" t="s">
        <v>47</v>
      </c>
      <c r="AF1036" t="s">
        <v>47</v>
      </c>
      <c r="AG1036" t="s">
        <v>52</v>
      </c>
      <c r="AH1036" t="s">
        <v>53</v>
      </c>
      <c r="AI1036" t="s">
        <v>54</v>
      </c>
      <c r="AJ1036">
        <v>8.6999999999999993</v>
      </c>
      <c r="AK1036" t="s">
        <v>46</v>
      </c>
      <c r="AL1036" t="s">
        <v>100</v>
      </c>
      <c r="AM1036" t="s">
        <v>77</v>
      </c>
      <c r="AN1036">
        <v>12</v>
      </c>
      <c r="AO1036" t="s">
        <v>47</v>
      </c>
    </row>
    <row r="1037" spans="1:41">
      <c r="A1037" t="s">
        <v>1189</v>
      </c>
      <c r="B1037">
        <v>2025</v>
      </c>
      <c r="C1037" s="1">
        <v>45891</v>
      </c>
      <c r="D1037" t="s">
        <v>58</v>
      </c>
      <c r="E1037" t="s">
        <v>252</v>
      </c>
      <c r="F1037">
        <v>51</v>
      </c>
      <c r="G1037" t="s">
        <v>44</v>
      </c>
      <c r="H1037" t="s">
        <v>70</v>
      </c>
      <c r="I1037">
        <v>0</v>
      </c>
      <c r="J1037">
        <v>0</v>
      </c>
      <c r="K1037" t="s">
        <v>46</v>
      </c>
      <c r="L1037" t="s">
        <v>46</v>
      </c>
      <c r="M1037" t="s">
        <v>47</v>
      </c>
      <c r="N1037" t="s">
        <v>50</v>
      </c>
      <c r="O1037" t="s">
        <v>49</v>
      </c>
      <c r="P1037">
        <v>31.8</v>
      </c>
      <c r="Q1037" t="s">
        <v>50</v>
      </c>
      <c r="R1037" t="s">
        <v>47</v>
      </c>
      <c r="S1037" t="s">
        <v>47</v>
      </c>
      <c r="T1037" t="s">
        <v>47</v>
      </c>
      <c r="U1037" t="s">
        <v>47</v>
      </c>
      <c r="V1037" t="s">
        <v>171</v>
      </c>
      <c r="W1037" t="s">
        <v>47</v>
      </c>
      <c r="X1037" t="s">
        <v>46</v>
      </c>
      <c r="Y1037" t="s">
        <v>47</v>
      </c>
      <c r="Z1037" t="s">
        <v>46</v>
      </c>
      <c r="AA1037" t="s">
        <v>46</v>
      </c>
      <c r="AB1037" t="s">
        <v>47</v>
      </c>
      <c r="AC1037" t="s">
        <v>47</v>
      </c>
      <c r="AD1037" t="s">
        <v>47</v>
      </c>
      <c r="AE1037" t="s">
        <v>47</v>
      </c>
      <c r="AF1037" t="s">
        <v>47</v>
      </c>
      <c r="AG1037" t="s">
        <v>52</v>
      </c>
      <c r="AH1037" t="s">
        <v>90</v>
      </c>
      <c r="AI1037" t="s">
        <v>54</v>
      </c>
      <c r="AJ1037">
        <v>8.9</v>
      </c>
      <c r="AK1037" t="s">
        <v>46</v>
      </c>
      <c r="AL1037" t="s">
        <v>76</v>
      </c>
      <c r="AM1037" t="s">
        <v>118</v>
      </c>
      <c r="AN1037">
        <v>1</v>
      </c>
      <c r="AO1037" t="s">
        <v>47</v>
      </c>
    </row>
    <row r="1038" spans="1:41">
      <c r="A1038" t="s">
        <v>1190</v>
      </c>
      <c r="B1038">
        <v>2019</v>
      </c>
      <c r="C1038" s="1">
        <v>43466</v>
      </c>
      <c r="D1038" t="s">
        <v>58</v>
      </c>
      <c r="E1038" t="s">
        <v>220</v>
      </c>
      <c r="F1038">
        <v>68</v>
      </c>
      <c r="G1038" t="s">
        <v>60</v>
      </c>
      <c r="H1038" t="s">
        <v>70</v>
      </c>
      <c r="I1038">
        <v>0</v>
      </c>
      <c r="J1038">
        <v>0</v>
      </c>
      <c r="K1038" t="s">
        <v>46</v>
      </c>
      <c r="L1038" t="s">
        <v>47</v>
      </c>
      <c r="M1038" t="s">
        <v>46</v>
      </c>
      <c r="N1038" t="s">
        <v>48</v>
      </c>
      <c r="O1038" t="s">
        <v>48</v>
      </c>
      <c r="P1038">
        <v>25.6</v>
      </c>
      <c r="Q1038" t="s">
        <v>48</v>
      </c>
      <c r="R1038" t="s">
        <v>47</v>
      </c>
      <c r="S1038" t="s">
        <v>47</v>
      </c>
      <c r="T1038" t="s">
        <v>47</v>
      </c>
      <c r="U1038" t="s">
        <v>47</v>
      </c>
      <c r="V1038" t="s">
        <v>51</v>
      </c>
      <c r="W1038" t="s">
        <v>47</v>
      </c>
      <c r="X1038" t="s">
        <v>46</v>
      </c>
      <c r="Y1038" t="s">
        <v>47</v>
      </c>
      <c r="Z1038" t="s">
        <v>47</v>
      </c>
      <c r="AA1038" t="s">
        <v>46</v>
      </c>
      <c r="AB1038" t="s">
        <v>47</v>
      </c>
      <c r="AC1038" t="s">
        <v>47</v>
      </c>
      <c r="AD1038" t="s">
        <v>47</v>
      </c>
      <c r="AE1038" t="s">
        <v>46</v>
      </c>
      <c r="AF1038" t="s">
        <v>47</v>
      </c>
      <c r="AG1038" t="s">
        <v>52</v>
      </c>
      <c r="AH1038" t="s">
        <v>53</v>
      </c>
      <c r="AI1038" t="s">
        <v>65</v>
      </c>
      <c r="AJ1038">
        <v>2</v>
      </c>
      <c r="AK1038" t="s">
        <v>47</v>
      </c>
      <c r="AL1038" t="s">
        <v>156</v>
      </c>
      <c r="AM1038" t="s">
        <v>73</v>
      </c>
      <c r="AN1038">
        <v>43</v>
      </c>
      <c r="AO1038" t="s">
        <v>46</v>
      </c>
    </row>
    <row r="1039" spans="1:41">
      <c r="A1039" t="s">
        <v>1191</v>
      </c>
      <c r="B1039">
        <v>2024</v>
      </c>
      <c r="C1039" s="1">
        <v>45549</v>
      </c>
      <c r="D1039" t="s">
        <v>42</v>
      </c>
      <c r="E1039" t="s">
        <v>43</v>
      </c>
      <c r="F1039">
        <v>49</v>
      </c>
      <c r="G1039" t="s">
        <v>44</v>
      </c>
      <c r="H1039" t="s">
        <v>61</v>
      </c>
      <c r="I1039">
        <v>14</v>
      </c>
      <c r="J1039">
        <v>21</v>
      </c>
      <c r="K1039" t="s">
        <v>46</v>
      </c>
      <c r="L1039" t="s">
        <v>47</v>
      </c>
      <c r="M1039" t="s">
        <v>47</v>
      </c>
      <c r="N1039" t="s">
        <v>48</v>
      </c>
      <c r="O1039" t="s">
        <v>63</v>
      </c>
      <c r="P1039">
        <v>33.200000000000003</v>
      </c>
      <c r="Q1039" t="s">
        <v>50</v>
      </c>
      <c r="R1039" t="s">
        <v>46</v>
      </c>
      <c r="S1039" t="s">
        <v>47</v>
      </c>
      <c r="T1039" t="s">
        <v>47</v>
      </c>
      <c r="U1039" t="s">
        <v>47</v>
      </c>
      <c r="V1039" t="s">
        <v>64</v>
      </c>
      <c r="W1039" t="s">
        <v>47</v>
      </c>
      <c r="X1039" t="s">
        <v>46</v>
      </c>
      <c r="Y1039" t="s">
        <v>47</v>
      </c>
      <c r="Z1039" t="s">
        <v>47</v>
      </c>
      <c r="AA1039" t="s">
        <v>47</v>
      </c>
      <c r="AB1039" t="s">
        <v>46</v>
      </c>
      <c r="AC1039" t="s">
        <v>47</v>
      </c>
      <c r="AD1039" t="s">
        <v>47</v>
      </c>
      <c r="AE1039" t="s">
        <v>47</v>
      </c>
      <c r="AF1039" t="s">
        <v>47</v>
      </c>
      <c r="AG1039" t="s">
        <v>121</v>
      </c>
      <c r="AH1039" t="s">
        <v>122</v>
      </c>
      <c r="AI1039" t="s">
        <v>65</v>
      </c>
      <c r="AJ1039">
        <v>1.8</v>
      </c>
      <c r="AK1039" t="s">
        <v>47</v>
      </c>
      <c r="AL1039" t="s">
        <v>66</v>
      </c>
      <c r="AM1039" t="s">
        <v>73</v>
      </c>
      <c r="AN1039">
        <v>76</v>
      </c>
      <c r="AO1039" t="s">
        <v>46</v>
      </c>
    </row>
    <row r="1040" spans="1:41">
      <c r="A1040" t="s">
        <v>1192</v>
      </c>
      <c r="B1040">
        <v>2021</v>
      </c>
      <c r="C1040" s="1">
        <v>44213</v>
      </c>
      <c r="D1040" t="s">
        <v>42</v>
      </c>
      <c r="E1040" t="s">
        <v>247</v>
      </c>
      <c r="F1040">
        <v>60</v>
      </c>
      <c r="G1040" t="s">
        <v>60</v>
      </c>
      <c r="H1040" t="s">
        <v>70</v>
      </c>
      <c r="I1040">
        <v>0</v>
      </c>
      <c r="J1040">
        <v>0</v>
      </c>
      <c r="K1040" t="s">
        <v>47</v>
      </c>
      <c r="L1040" t="s">
        <v>47</v>
      </c>
      <c r="M1040" t="s">
        <v>47</v>
      </c>
      <c r="N1040" t="s">
        <v>50</v>
      </c>
      <c r="O1040" t="s">
        <v>48</v>
      </c>
      <c r="P1040">
        <v>21.6</v>
      </c>
      <c r="Q1040" t="s">
        <v>50</v>
      </c>
      <c r="R1040" t="s">
        <v>47</v>
      </c>
      <c r="S1040" t="s">
        <v>47</v>
      </c>
      <c r="T1040" t="s">
        <v>47</v>
      </c>
      <c r="U1040" t="s">
        <v>47</v>
      </c>
      <c r="V1040" t="s">
        <v>117</v>
      </c>
      <c r="W1040" t="s">
        <v>46</v>
      </c>
      <c r="X1040" t="s">
        <v>46</v>
      </c>
      <c r="Y1040" t="s">
        <v>47</v>
      </c>
      <c r="Z1040" t="s">
        <v>47</v>
      </c>
      <c r="AA1040" t="s">
        <v>46</v>
      </c>
      <c r="AB1040" t="s">
        <v>46</v>
      </c>
      <c r="AC1040" t="s">
        <v>47</v>
      </c>
      <c r="AD1040" t="s">
        <v>47</v>
      </c>
      <c r="AE1040" t="s">
        <v>47</v>
      </c>
      <c r="AF1040" t="s">
        <v>47</v>
      </c>
      <c r="AG1040" t="s">
        <v>52</v>
      </c>
      <c r="AH1040" t="s">
        <v>53</v>
      </c>
      <c r="AI1040" t="s">
        <v>80</v>
      </c>
      <c r="AJ1040">
        <v>6.6</v>
      </c>
      <c r="AK1040" t="s">
        <v>47</v>
      </c>
      <c r="AL1040" t="s">
        <v>76</v>
      </c>
      <c r="AM1040" t="s">
        <v>77</v>
      </c>
      <c r="AN1040">
        <v>12</v>
      </c>
      <c r="AO1040" t="s">
        <v>46</v>
      </c>
    </row>
    <row r="1041" spans="1:41">
      <c r="A1041" t="s">
        <v>1193</v>
      </c>
      <c r="B1041">
        <v>2022</v>
      </c>
      <c r="C1041" s="1">
        <v>44814</v>
      </c>
      <c r="D1041" t="s">
        <v>84</v>
      </c>
      <c r="E1041" t="s">
        <v>218</v>
      </c>
      <c r="F1041">
        <v>30</v>
      </c>
      <c r="G1041" t="s">
        <v>60</v>
      </c>
      <c r="H1041" t="s">
        <v>70</v>
      </c>
      <c r="I1041">
        <v>0</v>
      </c>
      <c r="J1041">
        <v>0</v>
      </c>
      <c r="K1041" t="s">
        <v>46</v>
      </c>
      <c r="L1041" t="s">
        <v>47</v>
      </c>
      <c r="M1041" t="s">
        <v>47</v>
      </c>
      <c r="N1041" t="s">
        <v>62</v>
      </c>
      <c r="O1041" t="s">
        <v>49</v>
      </c>
      <c r="P1041">
        <v>27</v>
      </c>
      <c r="Q1041" t="s">
        <v>48</v>
      </c>
      <c r="R1041" t="s">
        <v>47</v>
      </c>
      <c r="S1041" t="s">
        <v>47</v>
      </c>
      <c r="T1041" t="s">
        <v>47</v>
      </c>
      <c r="U1041" t="s">
        <v>47</v>
      </c>
      <c r="V1041" t="s">
        <v>86</v>
      </c>
      <c r="W1041" t="s">
        <v>47</v>
      </c>
      <c r="X1041" t="s">
        <v>47</v>
      </c>
      <c r="Y1041" t="s">
        <v>46</v>
      </c>
      <c r="Z1041" t="s">
        <v>46</v>
      </c>
      <c r="AA1041" t="s">
        <v>46</v>
      </c>
      <c r="AB1041" t="s">
        <v>47</v>
      </c>
      <c r="AC1041" t="s">
        <v>46</v>
      </c>
      <c r="AD1041" t="s">
        <v>46</v>
      </c>
      <c r="AE1041" t="s">
        <v>47</v>
      </c>
      <c r="AF1041" t="s">
        <v>47</v>
      </c>
      <c r="AG1041" t="s">
        <v>52</v>
      </c>
      <c r="AH1041" t="s">
        <v>71</v>
      </c>
      <c r="AI1041" t="s">
        <v>65</v>
      </c>
      <c r="AJ1041">
        <v>1.6</v>
      </c>
      <c r="AK1041" t="s">
        <v>47</v>
      </c>
      <c r="AL1041" t="s">
        <v>156</v>
      </c>
      <c r="AM1041" t="s">
        <v>73</v>
      </c>
      <c r="AN1041">
        <v>107</v>
      </c>
      <c r="AO1041" t="s">
        <v>47</v>
      </c>
    </row>
    <row r="1042" spans="1:41">
      <c r="A1042" t="s">
        <v>1194</v>
      </c>
      <c r="B1042">
        <v>2018</v>
      </c>
      <c r="C1042" s="1">
        <v>43370</v>
      </c>
      <c r="D1042" t="s">
        <v>42</v>
      </c>
      <c r="E1042" t="s">
        <v>79</v>
      </c>
      <c r="F1042">
        <v>51</v>
      </c>
      <c r="G1042" t="s">
        <v>60</v>
      </c>
      <c r="H1042" t="s">
        <v>45</v>
      </c>
      <c r="I1042">
        <v>28</v>
      </c>
      <c r="J1042">
        <v>26</v>
      </c>
      <c r="K1042" t="s">
        <v>47</v>
      </c>
      <c r="L1042" t="s">
        <v>47</v>
      </c>
      <c r="M1042" t="s">
        <v>47</v>
      </c>
      <c r="N1042" t="s">
        <v>48</v>
      </c>
      <c r="O1042" t="s">
        <v>48</v>
      </c>
      <c r="P1042">
        <v>25.7</v>
      </c>
      <c r="Q1042" t="s">
        <v>50</v>
      </c>
      <c r="R1042" t="s">
        <v>47</v>
      </c>
      <c r="S1042" t="s">
        <v>47</v>
      </c>
      <c r="T1042" t="s">
        <v>46</v>
      </c>
      <c r="U1042" t="s">
        <v>47</v>
      </c>
      <c r="V1042" t="s">
        <v>64</v>
      </c>
      <c r="W1042" t="s">
        <v>47</v>
      </c>
      <c r="X1042" t="s">
        <v>47</v>
      </c>
      <c r="Y1042" t="s">
        <v>47</v>
      </c>
      <c r="Z1042" t="s">
        <v>46</v>
      </c>
      <c r="AA1042" t="s">
        <v>46</v>
      </c>
      <c r="AB1042" t="s">
        <v>46</v>
      </c>
      <c r="AC1042" t="s">
        <v>46</v>
      </c>
      <c r="AD1042" t="s">
        <v>46</v>
      </c>
      <c r="AE1042" t="s">
        <v>47</v>
      </c>
      <c r="AF1042" t="s">
        <v>46</v>
      </c>
      <c r="AG1042" t="s">
        <v>121</v>
      </c>
      <c r="AH1042" t="s">
        <v>122</v>
      </c>
      <c r="AI1042" t="s">
        <v>54</v>
      </c>
      <c r="AJ1042">
        <v>5.2</v>
      </c>
      <c r="AK1042" t="s">
        <v>46</v>
      </c>
      <c r="AL1042" t="s">
        <v>100</v>
      </c>
      <c r="AM1042" t="s">
        <v>118</v>
      </c>
      <c r="AN1042">
        <v>4</v>
      </c>
      <c r="AO1042" t="s">
        <v>47</v>
      </c>
    </row>
    <row r="1043" spans="1:41">
      <c r="A1043" t="s">
        <v>1195</v>
      </c>
      <c r="B1043">
        <v>2024</v>
      </c>
      <c r="C1043" s="1">
        <v>45355</v>
      </c>
      <c r="D1043" t="s">
        <v>58</v>
      </c>
      <c r="E1043" t="s">
        <v>169</v>
      </c>
      <c r="F1043">
        <v>56</v>
      </c>
      <c r="G1043" t="s">
        <v>60</v>
      </c>
      <c r="H1043" t="s">
        <v>45</v>
      </c>
      <c r="I1043">
        <v>16</v>
      </c>
      <c r="J1043">
        <v>28</v>
      </c>
      <c r="K1043" t="s">
        <v>47</v>
      </c>
      <c r="L1043" t="s">
        <v>46</v>
      </c>
      <c r="M1043" t="s">
        <v>46</v>
      </c>
      <c r="N1043" t="s">
        <v>48</v>
      </c>
      <c r="O1043" t="s">
        <v>49</v>
      </c>
      <c r="P1043">
        <v>35.200000000000003</v>
      </c>
      <c r="Q1043" t="s">
        <v>50</v>
      </c>
      <c r="R1043" t="s">
        <v>46</v>
      </c>
      <c r="S1043" t="s">
        <v>47</v>
      </c>
      <c r="T1043" t="s">
        <v>47</v>
      </c>
      <c r="U1043" t="s">
        <v>47</v>
      </c>
      <c r="V1043" t="s">
        <v>112</v>
      </c>
      <c r="W1043" t="s">
        <v>46</v>
      </c>
      <c r="X1043" t="s">
        <v>46</v>
      </c>
      <c r="Y1043" t="s">
        <v>46</v>
      </c>
      <c r="Z1043" t="s">
        <v>47</v>
      </c>
      <c r="AA1043" t="s">
        <v>46</v>
      </c>
      <c r="AB1043" t="s">
        <v>46</v>
      </c>
      <c r="AC1043" t="s">
        <v>47</v>
      </c>
      <c r="AD1043" t="s">
        <v>47</v>
      </c>
      <c r="AE1043" t="s">
        <v>47</v>
      </c>
      <c r="AF1043" t="s">
        <v>47</v>
      </c>
      <c r="AG1043" t="s">
        <v>52</v>
      </c>
      <c r="AH1043" t="s">
        <v>71</v>
      </c>
      <c r="AI1043" t="s">
        <v>80</v>
      </c>
      <c r="AJ1043">
        <v>6.3</v>
      </c>
      <c r="AK1043" t="s">
        <v>47</v>
      </c>
      <c r="AL1043" t="s">
        <v>100</v>
      </c>
      <c r="AM1043" t="s">
        <v>118</v>
      </c>
      <c r="AN1043">
        <v>31</v>
      </c>
      <c r="AO1043" t="s">
        <v>46</v>
      </c>
    </row>
    <row r="1044" spans="1:41">
      <c r="A1044" t="s">
        <v>1196</v>
      </c>
      <c r="B1044">
        <v>2021</v>
      </c>
      <c r="C1044" s="1">
        <v>44444</v>
      </c>
      <c r="D1044" t="s">
        <v>98</v>
      </c>
      <c r="E1044" t="s">
        <v>212</v>
      </c>
      <c r="F1044">
        <v>62</v>
      </c>
      <c r="G1044" t="s">
        <v>60</v>
      </c>
      <c r="H1044" t="s">
        <v>70</v>
      </c>
      <c r="I1044">
        <v>0</v>
      </c>
      <c r="J1044">
        <v>0</v>
      </c>
      <c r="K1044" t="s">
        <v>47</v>
      </c>
      <c r="L1044" t="s">
        <v>47</v>
      </c>
      <c r="M1044" t="s">
        <v>47</v>
      </c>
      <c r="N1044" t="s">
        <v>48</v>
      </c>
      <c r="O1044" t="s">
        <v>63</v>
      </c>
      <c r="P1044">
        <v>24.7</v>
      </c>
      <c r="Q1044" t="s">
        <v>50</v>
      </c>
      <c r="R1044" t="s">
        <v>47</v>
      </c>
      <c r="S1044" t="s">
        <v>47</v>
      </c>
      <c r="T1044" t="s">
        <v>47</v>
      </c>
      <c r="U1044" t="s">
        <v>47</v>
      </c>
      <c r="V1044" t="s">
        <v>151</v>
      </c>
      <c r="W1044" t="s">
        <v>46</v>
      </c>
      <c r="X1044" t="s">
        <v>47</v>
      </c>
      <c r="Y1044" t="s">
        <v>47</v>
      </c>
      <c r="Z1044" t="s">
        <v>47</v>
      </c>
      <c r="AA1044" t="s">
        <v>46</v>
      </c>
      <c r="AB1044" t="s">
        <v>47</v>
      </c>
      <c r="AC1044" t="s">
        <v>47</v>
      </c>
      <c r="AD1044" t="s">
        <v>47</v>
      </c>
      <c r="AE1044" t="s">
        <v>47</v>
      </c>
      <c r="AF1044" t="s">
        <v>46</v>
      </c>
      <c r="AG1044" t="s">
        <v>52</v>
      </c>
      <c r="AH1044" t="s">
        <v>90</v>
      </c>
      <c r="AI1044" t="s">
        <v>54</v>
      </c>
      <c r="AJ1044">
        <v>8.6999999999999993</v>
      </c>
      <c r="AK1044" t="s">
        <v>46</v>
      </c>
      <c r="AL1044" t="s">
        <v>100</v>
      </c>
      <c r="AM1044" t="s">
        <v>77</v>
      </c>
      <c r="AN1044">
        <v>1</v>
      </c>
      <c r="AO1044" t="s">
        <v>47</v>
      </c>
    </row>
    <row r="1045" spans="1:41">
      <c r="A1045" t="s">
        <v>1197</v>
      </c>
      <c r="B1045">
        <v>2024</v>
      </c>
      <c r="C1045" s="1">
        <v>45402</v>
      </c>
      <c r="D1045" t="s">
        <v>84</v>
      </c>
      <c r="E1045" t="s">
        <v>89</v>
      </c>
      <c r="F1045">
        <v>52</v>
      </c>
      <c r="G1045" t="s">
        <v>60</v>
      </c>
      <c r="H1045" t="s">
        <v>45</v>
      </c>
      <c r="I1045">
        <v>35</v>
      </c>
      <c r="J1045">
        <v>5</v>
      </c>
      <c r="K1045" t="s">
        <v>47</v>
      </c>
      <c r="L1045" t="s">
        <v>47</v>
      </c>
      <c r="M1045" t="s">
        <v>47</v>
      </c>
      <c r="N1045" t="s">
        <v>48</v>
      </c>
      <c r="O1045" t="s">
        <v>48</v>
      </c>
      <c r="P1045">
        <v>35.5</v>
      </c>
      <c r="Q1045" t="s">
        <v>50</v>
      </c>
      <c r="R1045" t="s">
        <v>47</v>
      </c>
      <c r="S1045" t="s">
        <v>47</v>
      </c>
      <c r="T1045" t="s">
        <v>47</v>
      </c>
      <c r="U1045" t="s">
        <v>47</v>
      </c>
      <c r="V1045" t="s">
        <v>64</v>
      </c>
      <c r="W1045" t="s">
        <v>46</v>
      </c>
      <c r="X1045" t="s">
        <v>46</v>
      </c>
      <c r="Y1045" t="s">
        <v>46</v>
      </c>
      <c r="Z1045" t="s">
        <v>47</v>
      </c>
      <c r="AA1045" t="s">
        <v>46</v>
      </c>
      <c r="AB1045" t="s">
        <v>47</v>
      </c>
      <c r="AC1045" t="s">
        <v>46</v>
      </c>
      <c r="AD1045" t="s">
        <v>47</v>
      </c>
      <c r="AE1045" t="s">
        <v>46</v>
      </c>
      <c r="AF1045" t="s">
        <v>47</v>
      </c>
      <c r="AG1045" t="s">
        <v>52</v>
      </c>
      <c r="AH1045" t="s">
        <v>53</v>
      </c>
      <c r="AI1045" t="s">
        <v>80</v>
      </c>
      <c r="AJ1045">
        <v>6.1</v>
      </c>
      <c r="AK1045" t="s">
        <v>47</v>
      </c>
      <c r="AL1045" t="s">
        <v>66</v>
      </c>
      <c r="AM1045" t="s">
        <v>82</v>
      </c>
      <c r="AN1045">
        <v>26</v>
      </c>
      <c r="AO1045" t="s">
        <v>47</v>
      </c>
    </row>
    <row r="1046" spans="1:41">
      <c r="A1046" t="s">
        <v>1198</v>
      </c>
      <c r="B1046">
        <v>2016</v>
      </c>
      <c r="C1046" s="1">
        <v>42517</v>
      </c>
      <c r="D1046" t="s">
        <v>42</v>
      </c>
      <c r="E1046" t="s">
        <v>136</v>
      </c>
      <c r="F1046">
        <v>59</v>
      </c>
      <c r="G1046" t="s">
        <v>44</v>
      </c>
      <c r="H1046" t="s">
        <v>70</v>
      </c>
      <c r="I1046">
        <v>0</v>
      </c>
      <c r="J1046">
        <v>0</v>
      </c>
      <c r="K1046" t="s">
        <v>47</v>
      </c>
      <c r="L1046" t="s">
        <v>47</v>
      </c>
      <c r="M1046" t="s">
        <v>47</v>
      </c>
      <c r="N1046" t="s">
        <v>62</v>
      </c>
      <c r="O1046" t="s">
        <v>49</v>
      </c>
      <c r="P1046">
        <v>33.9</v>
      </c>
      <c r="Q1046" t="s">
        <v>50</v>
      </c>
      <c r="R1046" t="s">
        <v>47</v>
      </c>
      <c r="S1046" t="s">
        <v>46</v>
      </c>
      <c r="T1046" t="s">
        <v>47</v>
      </c>
      <c r="U1046" t="s">
        <v>47</v>
      </c>
      <c r="V1046" t="s">
        <v>117</v>
      </c>
      <c r="W1046" t="s">
        <v>46</v>
      </c>
      <c r="X1046" t="s">
        <v>47</v>
      </c>
      <c r="Y1046" t="s">
        <v>46</v>
      </c>
      <c r="Z1046" t="s">
        <v>47</v>
      </c>
      <c r="AA1046" t="s">
        <v>47</v>
      </c>
      <c r="AB1046" t="s">
        <v>47</v>
      </c>
      <c r="AC1046" t="s">
        <v>47</v>
      </c>
      <c r="AD1046" t="s">
        <v>47</v>
      </c>
      <c r="AE1046" t="s">
        <v>47</v>
      </c>
      <c r="AF1046" t="s">
        <v>47</v>
      </c>
      <c r="AG1046" t="s">
        <v>52</v>
      </c>
      <c r="AH1046" t="s">
        <v>53</v>
      </c>
      <c r="AI1046" t="s">
        <v>87</v>
      </c>
      <c r="AJ1046">
        <v>2.5</v>
      </c>
      <c r="AK1046" t="s">
        <v>47</v>
      </c>
      <c r="AL1046" t="s">
        <v>100</v>
      </c>
      <c r="AM1046" t="s">
        <v>73</v>
      </c>
      <c r="AN1046">
        <v>16</v>
      </c>
      <c r="AO1046" t="s">
        <v>47</v>
      </c>
    </row>
    <row r="1047" spans="1:41">
      <c r="A1047" t="s">
        <v>1199</v>
      </c>
      <c r="B1047">
        <v>2018</v>
      </c>
      <c r="C1047" s="1">
        <v>43246</v>
      </c>
      <c r="D1047" t="s">
        <v>110</v>
      </c>
      <c r="E1047" t="s">
        <v>231</v>
      </c>
      <c r="F1047">
        <v>64</v>
      </c>
      <c r="G1047" t="s">
        <v>60</v>
      </c>
      <c r="H1047" t="s">
        <v>70</v>
      </c>
      <c r="I1047">
        <v>0</v>
      </c>
      <c r="J1047">
        <v>0</v>
      </c>
      <c r="K1047" t="s">
        <v>46</v>
      </c>
      <c r="L1047" t="s">
        <v>47</v>
      </c>
      <c r="M1047" t="s">
        <v>47</v>
      </c>
      <c r="N1047" t="s">
        <v>48</v>
      </c>
      <c r="O1047" t="s">
        <v>48</v>
      </c>
      <c r="P1047">
        <v>27</v>
      </c>
      <c r="Q1047" t="s">
        <v>48</v>
      </c>
      <c r="R1047" t="s">
        <v>47</v>
      </c>
      <c r="S1047" t="s">
        <v>47</v>
      </c>
      <c r="T1047" t="s">
        <v>47</v>
      </c>
      <c r="U1047" t="s">
        <v>47</v>
      </c>
      <c r="V1047" t="s">
        <v>51</v>
      </c>
      <c r="W1047" t="s">
        <v>47</v>
      </c>
      <c r="X1047" t="s">
        <v>47</v>
      </c>
      <c r="Y1047" t="s">
        <v>47</v>
      </c>
      <c r="Z1047" t="s">
        <v>47</v>
      </c>
      <c r="AA1047" t="s">
        <v>46</v>
      </c>
      <c r="AB1047" t="s">
        <v>47</v>
      </c>
      <c r="AC1047" t="s">
        <v>47</v>
      </c>
      <c r="AD1047" t="s">
        <v>47</v>
      </c>
      <c r="AE1047" t="s">
        <v>47</v>
      </c>
      <c r="AF1047" t="s">
        <v>47</v>
      </c>
      <c r="AG1047" t="s">
        <v>52</v>
      </c>
      <c r="AH1047" t="s">
        <v>90</v>
      </c>
      <c r="AI1047" t="s">
        <v>80</v>
      </c>
      <c r="AJ1047">
        <v>7</v>
      </c>
      <c r="AK1047" t="s">
        <v>47</v>
      </c>
      <c r="AL1047" t="s">
        <v>100</v>
      </c>
      <c r="AM1047" t="s">
        <v>77</v>
      </c>
      <c r="AN1047">
        <v>25</v>
      </c>
      <c r="AO1047" t="s">
        <v>47</v>
      </c>
    </row>
    <row r="1048" spans="1:41">
      <c r="A1048" t="s">
        <v>1200</v>
      </c>
      <c r="B1048">
        <v>2022</v>
      </c>
      <c r="C1048" s="1">
        <v>44604</v>
      </c>
      <c r="D1048" t="s">
        <v>110</v>
      </c>
      <c r="E1048" t="s">
        <v>231</v>
      </c>
      <c r="F1048">
        <v>53</v>
      </c>
      <c r="G1048" t="s">
        <v>44</v>
      </c>
      <c r="H1048" t="s">
        <v>70</v>
      </c>
      <c r="I1048">
        <v>0</v>
      </c>
      <c r="J1048">
        <v>0</v>
      </c>
      <c r="K1048" t="s">
        <v>46</v>
      </c>
      <c r="L1048" t="s">
        <v>47</v>
      </c>
      <c r="M1048" t="s">
        <v>47</v>
      </c>
      <c r="N1048" t="s">
        <v>50</v>
      </c>
      <c r="O1048" t="s">
        <v>63</v>
      </c>
      <c r="P1048">
        <v>26.4</v>
      </c>
      <c r="Q1048" t="s">
        <v>48</v>
      </c>
      <c r="R1048" t="s">
        <v>47</v>
      </c>
      <c r="S1048" t="s">
        <v>47</v>
      </c>
      <c r="T1048" t="s">
        <v>47</v>
      </c>
      <c r="U1048" t="s">
        <v>47</v>
      </c>
      <c r="V1048" t="s">
        <v>86</v>
      </c>
      <c r="W1048" t="s">
        <v>46</v>
      </c>
      <c r="X1048" t="s">
        <v>47</v>
      </c>
      <c r="Y1048" t="s">
        <v>46</v>
      </c>
      <c r="Z1048" t="s">
        <v>46</v>
      </c>
      <c r="AA1048" t="s">
        <v>47</v>
      </c>
      <c r="AB1048" t="s">
        <v>47</v>
      </c>
      <c r="AC1048" t="s">
        <v>47</v>
      </c>
      <c r="AD1048" t="s">
        <v>46</v>
      </c>
      <c r="AE1048" t="s">
        <v>46</v>
      </c>
      <c r="AF1048" t="s">
        <v>47</v>
      </c>
      <c r="AG1048" t="s">
        <v>52</v>
      </c>
      <c r="AH1048" t="s">
        <v>53</v>
      </c>
      <c r="AI1048" t="s">
        <v>87</v>
      </c>
      <c r="AJ1048">
        <v>2.6</v>
      </c>
      <c r="AK1048" t="s">
        <v>47</v>
      </c>
      <c r="AL1048" t="s">
        <v>76</v>
      </c>
      <c r="AM1048" t="s">
        <v>73</v>
      </c>
      <c r="AN1048">
        <v>22</v>
      </c>
      <c r="AO1048" t="s">
        <v>46</v>
      </c>
    </row>
    <row r="1049" spans="1:41">
      <c r="A1049" t="s">
        <v>1201</v>
      </c>
      <c r="B1049">
        <v>2021</v>
      </c>
      <c r="C1049" s="1">
        <v>44427</v>
      </c>
      <c r="D1049" t="s">
        <v>95</v>
      </c>
      <c r="E1049" t="s">
        <v>132</v>
      </c>
      <c r="F1049">
        <v>62</v>
      </c>
      <c r="G1049" t="s">
        <v>44</v>
      </c>
      <c r="H1049" t="s">
        <v>70</v>
      </c>
      <c r="I1049">
        <v>0</v>
      </c>
      <c r="J1049">
        <v>0</v>
      </c>
      <c r="K1049" t="s">
        <v>46</v>
      </c>
      <c r="L1049" t="s">
        <v>47</v>
      </c>
      <c r="M1049" t="s">
        <v>47</v>
      </c>
      <c r="N1049" t="s">
        <v>62</v>
      </c>
      <c r="O1049" t="s">
        <v>49</v>
      </c>
      <c r="P1049">
        <v>31.6</v>
      </c>
      <c r="Q1049" t="s">
        <v>48</v>
      </c>
      <c r="R1049" t="s">
        <v>47</v>
      </c>
      <c r="S1049" t="s">
        <v>47</v>
      </c>
      <c r="T1049" t="s">
        <v>47</v>
      </c>
      <c r="U1049" t="s">
        <v>47</v>
      </c>
      <c r="V1049" t="s">
        <v>51</v>
      </c>
      <c r="W1049" t="s">
        <v>46</v>
      </c>
      <c r="X1049" t="s">
        <v>46</v>
      </c>
      <c r="Y1049" t="s">
        <v>46</v>
      </c>
      <c r="Z1049" t="s">
        <v>47</v>
      </c>
      <c r="AA1049" t="s">
        <v>46</v>
      </c>
      <c r="AB1049" t="s">
        <v>47</v>
      </c>
      <c r="AC1049" t="s">
        <v>47</v>
      </c>
      <c r="AD1049" t="s">
        <v>46</v>
      </c>
      <c r="AE1049" t="s">
        <v>46</v>
      </c>
      <c r="AF1049" t="s">
        <v>47</v>
      </c>
      <c r="AG1049" t="s">
        <v>52</v>
      </c>
      <c r="AH1049" t="s">
        <v>90</v>
      </c>
      <c r="AI1049" t="s">
        <v>80</v>
      </c>
      <c r="AJ1049">
        <v>6.4</v>
      </c>
      <c r="AK1049" t="s">
        <v>47</v>
      </c>
      <c r="AL1049" t="s">
        <v>81</v>
      </c>
      <c r="AM1049" t="s">
        <v>77</v>
      </c>
      <c r="AN1049">
        <v>12</v>
      </c>
      <c r="AO1049" t="s">
        <v>47</v>
      </c>
    </row>
    <row r="1050" spans="1:41">
      <c r="A1050" t="s">
        <v>1202</v>
      </c>
      <c r="B1050">
        <v>2022</v>
      </c>
      <c r="C1050" s="1">
        <v>44903</v>
      </c>
      <c r="D1050" t="s">
        <v>58</v>
      </c>
      <c r="E1050" t="s">
        <v>134</v>
      </c>
      <c r="F1050">
        <v>66</v>
      </c>
      <c r="G1050" t="s">
        <v>60</v>
      </c>
      <c r="H1050" t="s">
        <v>70</v>
      </c>
      <c r="I1050">
        <v>0</v>
      </c>
      <c r="J1050">
        <v>0</v>
      </c>
      <c r="K1050" t="s">
        <v>46</v>
      </c>
      <c r="L1050" t="s">
        <v>46</v>
      </c>
      <c r="M1050" t="s">
        <v>46</v>
      </c>
      <c r="N1050" t="s">
        <v>50</v>
      </c>
      <c r="O1050" t="s">
        <v>63</v>
      </c>
      <c r="P1050">
        <v>27.1</v>
      </c>
      <c r="Q1050" t="s">
        <v>50</v>
      </c>
      <c r="R1050" t="s">
        <v>47</v>
      </c>
      <c r="S1050" t="s">
        <v>47</v>
      </c>
      <c r="T1050" t="s">
        <v>47</v>
      </c>
      <c r="U1050" t="s">
        <v>47</v>
      </c>
      <c r="V1050" t="s">
        <v>86</v>
      </c>
      <c r="W1050" t="s">
        <v>47</v>
      </c>
      <c r="X1050" t="s">
        <v>47</v>
      </c>
      <c r="Y1050" t="s">
        <v>47</v>
      </c>
      <c r="Z1050" t="s">
        <v>47</v>
      </c>
      <c r="AA1050" t="s">
        <v>46</v>
      </c>
      <c r="AB1050" t="s">
        <v>47</v>
      </c>
      <c r="AC1050" t="s">
        <v>46</v>
      </c>
      <c r="AD1050" t="s">
        <v>47</v>
      </c>
      <c r="AE1050" t="s">
        <v>46</v>
      </c>
      <c r="AF1050" t="s">
        <v>47</v>
      </c>
      <c r="AG1050" t="s">
        <v>52</v>
      </c>
      <c r="AH1050" t="s">
        <v>53</v>
      </c>
      <c r="AI1050" t="s">
        <v>87</v>
      </c>
      <c r="AJ1050">
        <v>4.3</v>
      </c>
      <c r="AK1050" t="s">
        <v>47</v>
      </c>
      <c r="AL1050" t="s">
        <v>156</v>
      </c>
      <c r="AM1050" t="s">
        <v>77</v>
      </c>
      <c r="AN1050">
        <v>31</v>
      </c>
      <c r="AO1050" t="s">
        <v>46</v>
      </c>
    </row>
    <row r="1051" spans="1:41">
      <c r="A1051" t="s">
        <v>1203</v>
      </c>
      <c r="B1051">
        <v>2017</v>
      </c>
      <c r="C1051" s="1">
        <v>43066</v>
      </c>
      <c r="D1051" t="s">
        <v>84</v>
      </c>
      <c r="E1051" t="s">
        <v>85</v>
      </c>
      <c r="F1051">
        <v>55</v>
      </c>
      <c r="G1051" t="s">
        <v>60</v>
      </c>
      <c r="H1051" t="s">
        <v>70</v>
      </c>
      <c r="I1051">
        <v>0</v>
      </c>
      <c r="J1051">
        <v>0</v>
      </c>
      <c r="K1051" t="s">
        <v>47</v>
      </c>
      <c r="L1051" t="s">
        <v>47</v>
      </c>
      <c r="M1051" t="s">
        <v>47</v>
      </c>
      <c r="N1051" t="s">
        <v>62</v>
      </c>
      <c r="O1051" t="s">
        <v>48</v>
      </c>
      <c r="P1051">
        <v>28.9</v>
      </c>
      <c r="Q1051" t="s">
        <v>62</v>
      </c>
      <c r="R1051" t="s">
        <v>47</v>
      </c>
      <c r="S1051" t="s">
        <v>47</v>
      </c>
      <c r="T1051" t="s">
        <v>46</v>
      </c>
      <c r="U1051" t="s">
        <v>47</v>
      </c>
      <c r="V1051" t="s">
        <v>151</v>
      </c>
      <c r="W1051" t="s">
        <v>46</v>
      </c>
      <c r="X1051" t="s">
        <v>46</v>
      </c>
      <c r="Y1051" t="s">
        <v>47</v>
      </c>
      <c r="Z1051" t="s">
        <v>47</v>
      </c>
      <c r="AA1051" t="s">
        <v>47</v>
      </c>
      <c r="AB1051" t="s">
        <v>46</v>
      </c>
      <c r="AC1051" t="s">
        <v>47</v>
      </c>
      <c r="AD1051" t="s">
        <v>47</v>
      </c>
      <c r="AE1051" t="s">
        <v>47</v>
      </c>
      <c r="AF1051" t="s">
        <v>47</v>
      </c>
      <c r="AG1051" t="s">
        <v>52</v>
      </c>
      <c r="AH1051" t="s">
        <v>53</v>
      </c>
      <c r="AI1051" t="s">
        <v>65</v>
      </c>
      <c r="AJ1051">
        <v>0.8</v>
      </c>
      <c r="AK1051" t="s">
        <v>47</v>
      </c>
      <c r="AL1051" t="s">
        <v>72</v>
      </c>
      <c r="AM1051" t="s">
        <v>118</v>
      </c>
      <c r="AN1051">
        <v>41</v>
      </c>
      <c r="AO1051" t="s">
        <v>46</v>
      </c>
    </row>
    <row r="1052" spans="1:41">
      <c r="A1052" t="s">
        <v>1204</v>
      </c>
      <c r="B1052">
        <v>2015</v>
      </c>
      <c r="C1052" s="1">
        <v>42336</v>
      </c>
      <c r="D1052" t="s">
        <v>58</v>
      </c>
      <c r="E1052" t="s">
        <v>150</v>
      </c>
      <c r="F1052">
        <v>59</v>
      </c>
      <c r="G1052" t="s">
        <v>44</v>
      </c>
      <c r="H1052" t="s">
        <v>70</v>
      </c>
      <c r="I1052">
        <v>0</v>
      </c>
      <c r="J1052">
        <v>0</v>
      </c>
      <c r="K1052" t="s">
        <v>46</v>
      </c>
      <c r="L1052" t="s">
        <v>47</v>
      </c>
      <c r="M1052" t="s">
        <v>47</v>
      </c>
      <c r="N1052" t="s">
        <v>50</v>
      </c>
      <c r="O1052" t="s">
        <v>49</v>
      </c>
      <c r="P1052">
        <v>27.8</v>
      </c>
      <c r="Q1052" t="s">
        <v>62</v>
      </c>
      <c r="R1052" t="s">
        <v>47</v>
      </c>
      <c r="S1052" t="s">
        <v>47</v>
      </c>
      <c r="T1052" t="s">
        <v>47</v>
      </c>
      <c r="U1052" t="s">
        <v>47</v>
      </c>
      <c r="V1052" t="s">
        <v>117</v>
      </c>
      <c r="W1052" t="s">
        <v>46</v>
      </c>
      <c r="X1052" t="s">
        <v>47</v>
      </c>
      <c r="Y1052" t="s">
        <v>47</v>
      </c>
      <c r="Z1052" t="s">
        <v>47</v>
      </c>
      <c r="AA1052" t="s">
        <v>47</v>
      </c>
      <c r="AB1052" t="s">
        <v>46</v>
      </c>
      <c r="AC1052" t="s">
        <v>47</v>
      </c>
      <c r="AD1052" t="s">
        <v>47</v>
      </c>
      <c r="AE1052" t="s">
        <v>47</v>
      </c>
      <c r="AF1052" t="s">
        <v>47</v>
      </c>
      <c r="AG1052" t="s">
        <v>52</v>
      </c>
      <c r="AH1052" t="s">
        <v>53</v>
      </c>
      <c r="AI1052" t="s">
        <v>87</v>
      </c>
      <c r="AJ1052">
        <v>4.9000000000000004</v>
      </c>
      <c r="AK1052" t="s">
        <v>47</v>
      </c>
      <c r="AL1052" t="s">
        <v>72</v>
      </c>
      <c r="AM1052" t="s">
        <v>67</v>
      </c>
      <c r="AN1052">
        <v>26</v>
      </c>
      <c r="AO1052" t="s">
        <v>46</v>
      </c>
    </row>
    <row r="1053" spans="1:41">
      <c r="A1053" t="s">
        <v>1205</v>
      </c>
      <c r="B1053">
        <v>2015</v>
      </c>
      <c r="C1053" s="1">
        <v>42048</v>
      </c>
      <c r="D1053" t="s">
        <v>42</v>
      </c>
      <c r="E1053" t="s">
        <v>79</v>
      </c>
      <c r="F1053">
        <v>76</v>
      </c>
      <c r="G1053" t="s">
        <v>44</v>
      </c>
      <c r="H1053" t="s">
        <v>70</v>
      </c>
      <c r="I1053">
        <v>0</v>
      </c>
      <c r="J1053">
        <v>0</v>
      </c>
      <c r="K1053" t="s">
        <v>47</v>
      </c>
      <c r="L1053" t="s">
        <v>47</v>
      </c>
      <c r="M1053" t="s">
        <v>47</v>
      </c>
      <c r="N1053" t="s">
        <v>48</v>
      </c>
      <c r="O1053" t="s">
        <v>48</v>
      </c>
      <c r="P1053">
        <v>27.2</v>
      </c>
      <c r="Q1053" t="s">
        <v>62</v>
      </c>
      <c r="R1053" t="s">
        <v>47</v>
      </c>
      <c r="S1053" t="s">
        <v>47</v>
      </c>
      <c r="T1053" t="s">
        <v>47</v>
      </c>
      <c r="U1053" t="s">
        <v>47</v>
      </c>
      <c r="V1053" t="s">
        <v>51</v>
      </c>
      <c r="W1053" t="s">
        <v>47</v>
      </c>
      <c r="X1053" t="s">
        <v>47</v>
      </c>
      <c r="Y1053" t="s">
        <v>47</v>
      </c>
      <c r="Z1053" t="s">
        <v>46</v>
      </c>
      <c r="AA1053" t="s">
        <v>46</v>
      </c>
      <c r="AB1053" t="s">
        <v>47</v>
      </c>
      <c r="AC1053" t="s">
        <v>47</v>
      </c>
      <c r="AD1053" t="s">
        <v>47</v>
      </c>
      <c r="AE1053" t="s">
        <v>47</v>
      </c>
      <c r="AF1053" t="s">
        <v>47</v>
      </c>
      <c r="AG1053" t="s">
        <v>52</v>
      </c>
      <c r="AH1053" t="s">
        <v>71</v>
      </c>
      <c r="AI1053" t="s">
        <v>87</v>
      </c>
      <c r="AJ1053">
        <v>5</v>
      </c>
      <c r="AK1053" t="s">
        <v>47</v>
      </c>
      <c r="AL1053" t="s">
        <v>76</v>
      </c>
      <c r="AM1053" t="s">
        <v>103</v>
      </c>
      <c r="AN1053">
        <v>23</v>
      </c>
      <c r="AO1053" t="s">
        <v>47</v>
      </c>
    </row>
    <row r="1054" spans="1:41">
      <c r="A1054" t="s">
        <v>1206</v>
      </c>
      <c r="B1054">
        <v>2018</v>
      </c>
      <c r="C1054" s="1">
        <v>43299</v>
      </c>
      <c r="D1054" t="s">
        <v>84</v>
      </c>
      <c r="E1054" t="s">
        <v>571</v>
      </c>
      <c r="F1054">
        <v>69</v>
      </c>
      <c r="G1054" t="s">
        <v>60</v>
      </c>
      <c r="H1054" t="s">
        <v>70</v>
      </c>
      <c r="I1054">
        <v>0</v>
      </c>
      <c r="J1054">
        <v>0</v>
      </c>
      <c r="K1054" t="s">
        <v>46</v>
      </c>
      <c r="L1054" t="s">
        <v>47</v>
      </c>
      <c r="M1054" t="s">
        <v>47</v>
      </c>
      <c r="N1054" t="s">
        <v>50</v>
      </c>
      <c r="O1054" t="s">
        <v>49</v>
      </c>
      <c r="P1054">
        <v>24.6</v>
      </c>
      <c r="Q1054" t="s">
        <v>50</v>
      </c>
      <c r="R1054" t="s">
        <v>47</v>
      </c>
      <c r="S1054" t="s">
        <v>47</v>
      </c>
      <c r="T1054" t="s">
        <v>47</v>
      </c>
      <c r="U1054" t="s">
        <v>47</v>
      </c>
      <c r="V1054" t="s">
        <v>51</v>
      </c>
      <c r="W1054" t="s">
        <v>46</v>
      </c>
      <c r="X1054" t="s">
        <v>47</v>
      </c>
      <c r="Y1054" t="s">
        <v>47</v>
      </c>
      <c r="Z1054" t="s">
        <v>47</v>
      </c>
      <c r="AA1054" t="s">
        <v>47</v>
      </c>
      <c r="AB1054" t="s">
        <v>46</v>
      </c>
      <c r="AC1054" t="s">
        <v>47</v>
      </c>
      <c r="AD1054" t="s">
        <v>47</v>
      </c>
      <c r="AE1054" t="s">
        <v>47</v>
      </c>
      <c r="AF1054" t="s">
        <v>47</v>
      </c>
      <c r="AG1054" t="s">
        <v>52</v>
      </c>
      <c r="AH1054" t="s">
        <v>53</v>
      </c>
      <c r="AI1054" t="s">
        <v>87</v>
      </c>
      <c r="AJ1054">
        <v>4.7</v>
      </c>
      <c r="AK1054" t="s">
        <v>47</v>
      </c>
      <c r="AL1054" t="s">
        <v>100</v>
      </c>
      <c r="AM1054" t="s">
        <v>82</v>
      </c>
      <c r="AN1054">
        <v>37</v>
      </c>
      <c r="AO1054" t="s">
        <v>46</v>
      </c>
    </row>
    <row r="1055" spans="1:41">
      <c r="A1055" t="s">
        <v>1207</v>
      </c>
      <c r="B1055">
        <v>2017</v>
      </c>
      <c r="C1055" s="1">
        <v>42756</v>
      </c>
      <c r="D1055" t="s">
        <v>95</v>
      </c>
      <c r="E1055" t="s">
        <v>114</v>
      </c>
      <c r="F1055">
        <v>58</v>
      </c>
      <c r="G1055" t="s">
        <v>60</v>
      </c>
      <c r="H1055" t="s">
        <v>70</v>
      </c>
      <c r="I1055">
        <v>0</v>
      </c>
      <c r="J1055">
        <v>0</v>
      </c>
      <c r="K1055" t="s">
        <v>46</v>
      </c>
      <c r="L1055" t="s">
        <v>47</v>
      </c>
      <c r="M1055" t="s">
        <v>47</v>
      </c>
      <c r="N1055" t="s">
        <v>50</v>
      </c>
      <c r="O1055" t="s">
        <v>63</v>
      </c>
      <c r="P1055">
        <v>27.4</v>
      </c>
      <c r="Q1055" t="s">
        <v>50</v>
      </c>
      <c r="R1055" t="s">
        <v>47</v>
      </c>
      <c r="S1055" t="s">
        <v>47</v>
      </c>
      <c r="T1055" t="s">
        <v>47</v>
      </c>
      <c r="U1055" t="s">
        <v>47</v>
      </c>
      <c r="V1055" t="s">
        <v>86</v>
      </c>
      <c r="W1055" t="s">
        <v>46</v>
      </c>
      <c r="X1055" t="s">
        <v>46</v>
      </c>
      <c r="Y1055" t="s">
        <v>46</v>
      </c>
      <c r="Z1055" t="s">
        <v>47</v>
      </c>
      <c r="AA1055" t="s">
        <v>46</v>
      </c>
      <c r="AB1055" t="s">
        <v>47</v>
      </c>
      <c r="AC1055" t="s">
        <v>47</v>
      </c>
      <c r="AD1055" t="s">
        <v>47</v>
      </c>
      <c r="AE1055" t="s">
        <v>46</v>
      </c>
      <c r="AF1055" t="s">
        <v>46</v>
      </c>
      <c r="AG1055" t="s">
        <v>52</v>
      </c>
      <c r="AH1055" t="s">
        <v>90</v>
      </c>
      <c r="AI1055" t="s">
        <v>80</v>
      </c>
      <c r="AJ1055">
        <v>5</v>
      </c>
      <c r="AK1055" t="s">
        <v>47</v>
      </c>
      <c r="AL1055" t="s">
        <v>100</v>
      </c>
      <c r="AM1055" t="s">
        <v>77</v>
      </c>
      <c r="AN1055">
        <v>18</v>
      </c>
      <c r="AO1055" t="s">
        <v>47</v>
      </c>
    </row>
    <row r="1056" spans="1:41">
      <c r="A1056" t="s">
        <v>1208</v>
      </c>
      <c r="B1056">
        <v>2022</v>
      </c>
      <c r="C1056" s="1">
        <v>44901</v>
      </c>
      <c r="D1056" t="s">
        <v>42</v>
      </c>
      <c r="E1056" t="s">
        <v>69</v>
      </c>
      <c r="F1056">
        <v>63</v>
      </c>
      <c r="G1056" t="s">
        <v>44</v>
      </c>
      <c r="H1056" t="s">
        <v>45</v>
      </c>
      <c r="I1056">
        <v>9</v>
      </c>
      <c r="J1056">
        <v>30</v>
      </c>
      <c r="K1056" t="s">
        <v>47</v>
      </c>
      <c r="L1056" t="s">
        <v>47</v>
      </c>
      <c r="M1056" t="s">
        <v>46</v>
      </c>
      <c r="N1056" t="s">
        <v>62</v>
      </c>
      <c r="O1056" t="s">
        <v>49</v>
      </c>
      <c r="P1056">
        <v>25</v>
      </c>
      <c r="Q1056" t="s">
        <v>62</v>
      </c>
      <c r="R1056" t="s">
        <v>47</v>
      </c>
      <c r="S1056" t="s">
        <v>46</v>
      </c>
      <c r="T1056" t="s">
        <v>47</v>
      </c>
      <c r="U1056" t="s">
        <v>47</v>
      </c>
      <c r="V1056" t="s">
        <v>151</v>
      </c>
      <c r="W1056" t="s">
        <v>47</v>
      </c>
      <c r="X1056" t="s">
        <v>46</v>
      </c>
      <c r="Y1056" t="s">
        <v>47</v>
      </c>
      <c r="Z1056" t="s">
        <v>47</v>
      </c>
      <c r="AA1056" t="s">
        <v>46</v>
      </c>
      <c r="AB1056" t="s">
        <v>46</v>
      </c>
      <c r="AC1056" t="s">
        <v>47</v>
      </c>
      <c r="AD1056" t="s">
        <v>46</v>
      </c>
      <c r="AE1056" t="s">
        <v>47</v>
      </c>
      <c r="AF1056" t="s">
        <v>47</v>
      </c>
      <c r="AG1056" t="s">
        <v>52</v>
      </c>
      <c r="AH1056" t="s">
        <v>71</v>
      </c>
      <c r="AI1056" t="s">
        <v>87</v>
      </c>
      <c r="AJ1056">
        <v>3.7</v>
      </c>
      <c r="AK1056" t="s">
        <v>47</v>
      </c>
      <c r="AL1056" t="s">
        <v>76</v>
      </c>
      <c r="AM1056" t="s">
        <v>67</v>
      </c>
      <c r="AN1056">
        <v>31</v>
      </c>
      <c r="AO1056" t="s">
        <v>46</v>
      </c>
    </row>
    <row r="1057" spans="1:41">
      <c r="A1057" t="s">
        <v>1209</v>
      </c>
      <c r="B1057">
        <v>2025</v>
      </c>
      <c r="C1057" s="1">
        <v>45897</v>
      </c>
      <c r="D1057" t="s">
        <v>42</v>
      </c>
      <c r="E1057" t="s">
        <v>79</v>
      </c>
      <c r="F1057">
        <v>47</v>
      </c>
      <c r="G1057" t="s">
        <v>44</v>
      </c>
      <c r="H1057" t="s">
        <v>45</v>
      </c>
      <c r="I1057">
        <v>27</v>
      </c>
      <c r="J1057">
        <v>28</v>
      </c>
      <c r="K1057" t="s">
        <v>47</v>
      </c>
      <c r="L1057" t="s">
        <v>47</v>
      </c>
      <c r="M1057" t="s">
        <v>46</v>
      </c>
      <c r="N1057" t="s">
        <v>48</v>
      </c>
      <c r="O1057" t="s">
        <v>63</v>
      </c>
      <c r="P1057">
        <v>35.799999999999997</v>
      </c>
      <c r="Q1057" t="s">
        <v>62</v>
      </c>
      <c r="R1057" t="s">
        <v>46</v>
      </c>
      <c r="S1057" t="s">
        <v>47</v>
      </c>
      <c r="T1057" t="s">
        <v>47</v>
      </c>
      <c r="U1057" t="s">
        <v>47</v>
      </c>
      <c r="V1057" t="s">
        <v>64</v>
      </c>
      <c r="W1057" t="s">
        <v>46</v>
      </c>
      <c r="X1057" t="s">
        <v>46</v>
      </c>
      <c r="Y1057" t="s">
        <v>47</v>
      </c>
      <c r="Z1057" t="s">
        <v>47</v>
      </c>
      <c r="AA1057" t="s">
        <v>46</v>
      </c>
      <c r="AB1057" t="s">
        <v>46</v>
      </c>
      <c r="AC1057" t="s">
        <v>47</v>
      </c>
      <c r="AD1057" t="s">
        <v>47</v>
      </c>
      <c r="AE1057" t="s">
        <v>47</v>
      </c>
      <c r="AF1057" t="s">
        <v>47</v>
      </c>
      <c r="AG1057" t="s">
        <v>52</v>
      </c>
      <c r="AH1057" t="s">
        <v>53</v>
      </c>
      <c r="AI1057" t="s">
        <v>65</v>
      </c>
      <c r="AJ1057">
        <v>1.6</v>
      </c>
      <c r="AK1057" t="s">
        <v>47</v>
      </c>
      <c r="AL1057" t="s">
        <v>76</v>
      </c>
      <c r="AM1057" t="s">
        <v>67</v>
      </c>
      <c r="AN1057">
        <v>73</v>
      </c>
      <c r="AO1057" t="s">
        <v>47</v>
      </c>
    </row>
    <row r="1058" spans="1:41">
      <c r="A1058" t="s">
        <v>1210</v>
      </c>
      <c r="B1058">
        <v>2023</v>
      </c>
      <c r="C1058" s="1">
        <v>45256</v>
      </c>
      <c r="D1058" t="s">
        <v>58</v>
      </c>
      <c r="E1058" t="s">
        <v>138</v>
      </c>
      <c r="F1058">
        <v>54</v>
      </c>
      <c r="G1058" t="s">
        <v>44</v>
      </c>
      <c r="H1058" t="s">
        <v>70</v>
      </c>
      <c r="I1058">
        <v>0</v>
      </c>
      <c r="J1058">
        <v>0</v>
      </c>
      <c r="K1058" t="s">
        <v>46</v>
      </c>
      <c r="L1058" t="s">
        <v>46</v>
      </c>
      <c r="M1058" t="s">
        <v>47</v>
      </c>
      <c r="N1058" t="s">
        <v>48</v>
      </c>
      <c r="O1058" t="s">
        <v>63</v>
      </c>
      <c r="P1058">
        <v>22.4</v>
      </c>
      <c r="Q1058" t="s">
        <v>50</v>
      </c>
      <c r="R1058" t="s">
        <v>47</v>
      </c>
      <c r="S1058" t="s">
        <v>47</v>
      </c>
      <c r="T1058" t="s">
        <v>47</v>
      </c>
      <c r="U1058" t="s">
        <v>47</v>
      </c>
      <c r="V1058" t="s">
        <v>117</v>
      </c>
      <c r="W1058" t="s">
        <v>47</v>
      </c>
      <c r="X1058" t="s">
        <v>47</v>
      </c>
      <c r="Y1058" t="s">
        <v>46</v>
      </c>
      <c r="Z1058" t="s">
        <v>47</v>
      </c>
      <c r="AA1058" t="s">
        <v>46</v>
      </c>
      <c r="AB1058" t="s">
        <v>47</v>
      </c>
      <c r="AC1058" t="s">
        <v>46</v>
      </c>
      <c r="AD1058" t="s">
        <v>46</v>
      </c>
      <c r="AE1058" t="s">
        <v>47</v>
      </c>
      <c r="AF1058" t="s">
        <v>47</v>
      </c>
      <c r="AG1058" t="s">
        <v>52</v>
      </c>
      <c r="AH1058" t="s">
        <v>71</v>
      </c>
      <c r="AI1058" t="s">
        <v>54</v>
      </c>
      <c r="AJ1058">
        <v>7.1</v>
      </c>
      <c r="AK1058" t="s">
        <v>46</v>
      </c>
      <c r="AL1058" t="s">
        <v>66</v>
      </c>
      <c r="AM1058" t="s">
        <v>118</v>
      </c>
      <c r="AN1058">
        <v>8</v>
      </c>
      <c r="AO1058" t="s">
        <v>47</v>
      </c>
    </row>
    <row r="1059" spans="1:41">
      <c r="A1059" t="s">
        <v>1211</v>
      </c>
      <c r="B1059">
        <v>2018</v>
      </c>
      <c r="C1059" s="1">
        <v>43401</v>
      </c>
      <c r="D1059" t="s">
        <v>58</v>
      </c>
      <c r="E1059" t="s">
        <v>169</v>
      </c>
      <c r="F1059">
        <v>60</v>
      </c>
      <c r="G1059" t="s">
        <v>60</v>
      </c>
      <c r="H1059" t="s">
        <v>70</v>
      </c>
      <c r="I1059">
        <v>0</v>
      </c>
      <c r="J1059">
        <v>0</v>
      </c>
      <c r="K1059" t="s">
        <v>47</v>
      </c>
      <c r="L1059" t="s">
        <v>47</v>
      </c>
      <c r="M1059" t="s">
        <v>47</v>
      </c>
      <c r="N1059" t="s">
        <v>50</v>
      </c>
      <c r="O1059" t="s">
        <v>63</v>
      </c>
      <c r="P1059">
        <v>24.6</v>
      </c>
      <c r="Q1059" t="s">
        <v>62</v>
      </c>
      <c r="R1059" t="s">
        <v>47</v>
      </c>
      <c r="S1059" t="s">
        <v>47</v>
      </c>
      <c r="T1059" t="s">
        <v>47</v>
      </c>
      <c r="U1059" t="s">
        <v>47</v>
      </c>
      <c r="V1059" t="s">
        <v>51</v>
      </c>
      <c r="W1059" t="s">
        <v>46</v>
      </c>
      <c r="X1059" t="s">
        <v>46</v>
      </c>
      <c r="Y1059" t="s">
        <v>47</v>
      </c>
      <c r="Z1059" t="s">
        <v>46</v>
      </c>
      <c r="AA1059" t="s">
        <v>47</v>
      </c>
      <c r="AB1059" t="s">
        <v>47</v>
      </c>
      <c r="AC1059" t="s">
        <v>46</v>
      </c>
      <c r="AD1059" t="s">
        <v>47</v>
      </c>
      <c r="AE1059" t="s">
        <v>47</v>
      </c>
      <c r="AF1059" t="s">
        <v>47</v>
      </c>
      <c r="AG1059" t="s">
        <v>52</v>
      </c>
      <c r="AH1059" t="s">
        <v>53</v>
      </c>
      <c r="AI1059" t="s">
        <v>65</v>
      </c>
      <c r="AJ1059">
        <v>1.8</v>
      </c>
      <c r="AK1059" t="s">
        <v>47</v>
      </c>
      <c r="AL1059" t="s">
        <v>76</v>
      </c>
      <c r="AM1059" t="s">
        <v>73</v>
      </c>
      <c r="AN1059">
        <v>69</v>
      </c>
      <c r="AO1059" t="s">
        <v>46</v>
      </c>
    </row>
    <row r="1060" spans="1:41">
      <c r="A1060" t="s">
        <v>1212</v>
      </c>
      <c r="B1060">
        <v>2023</v>
      </c>
      <c r="C1060" s="1">
        <v>45171</v>
      </c>
      <c r="D1060" t="s">
        <v>58</v>
      </c>
      <c r="E1060" t="s">
        <v>59</v>
      </c>
      <c r="F1060">
        <v>61</v>
      </c>
      <c r="G1060" t="s">
        <v>60</v>
      </c>
      <c r="H1060" t="s">
        <v>61</v>
      </c>
      <c r="I1060">
        <v>16</v>
      </c>
      <c r="J1060">
        <v>8</v>
      </c>
      <c r="K1060" t="s">
        <v>47</v>
      </c>
      <c r="L1060" t="s">
        <v>47</v>
      </c>
      <c r="M1060" t="s">
        <v>47</v>
      </c>
      <c r="N1060" t="s">
        <v>50</v>
      </c>
      <c r="O1060" t="s">
        <v>49</v>
      </c>
      <c r="P1060">
        <v>29.5</v>
      </c>
      <c r="Q1060" t="s">
        <v>62</v>
      </c>
      <c r="R1060" t="s">
        <v>46</v>
      </c>
      <c r="S1060" t="s">
        <v>47</v>
      </c>
      <c r="T1060" t="s">
        <v>47</v>
      </c>
      <c r="U1060" t="s">
        <v>47</v>
      </c>
      <c r="V1060" t="s">
        <v>151</v>
      </c>
      <c r="W1060" t="s">
        <v>46</v>
      </c>
      <c r="X1060" t="s">
        <v>47</v>
      </c>
      <c r="Y1060" t="s">
        <v>46</v>
      </c>
      <c r="Z1060" t="s">
        <v>47</v>
      </c>
      <c r="AA1060" t="s">
        <v>46</v>
      </c>
      <c r="AB1060" t="s">
        <v>47</v>
      </c>
      <c r="AC1060" t="s">
        <v>47</v>
      </c>
      <c r="AD1060" t="s">
        <v>46</v>
      </c>
      <c r="AE1060" t="s">
        <v>47</v>
      </c>
      <c r="AF1060" t="s">
        <v>47</v>
      </c>
      <c r="AG1060" t="s">
        <v>52</v>
      </c>
      <c r="AH1060" t="s">
        <v>53</v>
      </c>
      <c r="AI1060" t="s">
        <v>54</v>
      </c>
      <c r="AJ1060">
        <v>5.4</v>
      </c>
      <c r="AK1060" t="s">
        <v>46</v>
      </c>
      <c r="AL1060" t="s">
        <v>76</v>
      </c>
      <c r="AM1060" t="s">
        <v>103</v>
      </c>
      <c r="AN1060">
        <v>10</v>
      </c>
      <c r="AO1060" t="s">
        <v>47</v>
      </c>
    </row>
    <row r="1061" spans="1:41">
      <c r="A1061" t="s">
        <v>1213</v>
      </c>
      <c r="B1061">
        <v>2019</v>
      </c>
      <c r="C1061" s="1">
        <v>43583</v>
      </c>
      <c r="D1061" t="s">
        <v>42</v>
      </c>
      <c r="E1061" t="s">
        <v>154</v>
      </c>
      <c r="F1061">
        <v>55</v>
      </c>
      <c r="G1061" t="s">
        <v>60</v>
      </c>
      <c r="H1061" t="s">
        <v>45</v>
      </c>
      <c r="I1061">
        <v>21</v>
      </c>
      <c r="J1061">
        <v>27</v>
      </c>
      <c r="K1061" t="s">
        <v>47</v>
      </c>
      <c r="L1061" t="s">
        <v>47</v>
      </c>
      <c r="M1061" t="s">
        <v>47</v>
      </c>
      <c r="N1061" t="s">
        <v>48</v>
      </c>
      <c r="O1061" t="s">
        <v>63</v>
      </c>
      <c r="P1061">
        <v>32.5</v>
      </c>
      <c r="Q1061" t="s">
        <v>62</v>
      </c>
      <c r="R1061" t="s">
        <v>47</v>
      </c>
      <c r="S1061" t="s">
        <v>47</v>
      </c>
      <c r="T1061" t="s">
        <v>47</v>
      </c>
      <c r="U1061" t="s">
        <v>47</v>
      </c>
      <c r="V1061" t="s">
        <v>51</v>
      </c>
      <c r="W1061" t="s">
        <v>46</v>
      </c>
      <c r="X1061" t="s">
        <v>46</v>
      </c>
      <c r="Y1061" t="s">
        <v>47</v>
      </c>
      <c r="Z1061" t="s">
        <v>46</v>
      </c>
      <c r="AA1061" t="s">
        <v>47</v>
      </c>
      <c r="AB1061" t="s">
        <v>46</v>
      </c>
      <c r="AC1061" t="s">
        <v>47</v>
      </c>
      <c r="AD1061" t="s">
        <v>46</v>
      </c>
      <c r="AE1061" t="s">
        <v>46</v>
      </c>
      <c r="AF1061" t="s">
        <v>46</v>
      </c>
      <c r="AG1061" t="s">
        <v>121</v>
      </c>
      <c r="AH1061" t="s">
        <v>122</v>
      </c>
      <c r="AI1061" t="s">
        <v>80</v>
      </c>
      <c r="AJ1061">
        <v>7.7</v>
      </c>
      <c r="AK1061" t="s">
        <v>46</v>
      </c>
      <c r="AL1061" t="s">
        <v>100</v>
      </c>
      <c r="AM1061" t="s">
        <v>118</v>
      </c>
      <c r="AN1061">
        <v>29</v>
      </c>
      <c r="AO1061" t="s">
        <v>47</v>
      </c>
    </row>
    <row r="1062" spans="1:41">
      <c r="A1062" t="s">
        <v>1214</v>
      </c>
      <c r="B1062">
        <v>2018</v>
      </c>
      <c r="C1062" s="1">
        <v>43321</v>
      </c>
      <c r="D1062" t="s">
        <v>58</v>
      </c>
      <c r="E1062" t="s">
        <v>150</v>
      </c>
      <c r="F1062">
        <v>54</v>
      </c>
      <c r="G1062" t="s">
        <v>44</v>
      </c>
      <c r="H1062" t="s">
        <v>70</v>
      </c>
      <c r="I1062">
        <v>0</v>
      </c>
      <c r="J1062">
        <v>0</v>
      </c>
      <c r="K1062" t="s">
        <v>46</v>
      </c>
      <c r="L1062" t="s">
        <v>47</v>
      </c>
      <c r="M1062" t="s">
        <v>47</v>
      </c>
      <c r="N1062" t="s">
        <v>50</v>
      </c>
      <c r="O1062" t="s">
        <v>63</v>
      </c>
      <c r="P1062">
        <v>20.100000000000001</v>
      </c>
      <c r="Q1062" t="s">
        <v>48</v>
      </c>
      <c r="R1062" t="s">
        <v>47</v>
      </c>
      <c r="S1062" t="s">
        <v>47</v>
      </c>
      <c r="T1062" t="s">
        <v>47</v>
      </c>
      <c r="U1062" t="s">
        <v>47</v>
      </c>
      <c r="V1062" t="s">
        <v>51</v>
      </c>
      <c r="W1062" t="s">
        <v>47</v>
      </c>
      <c r="X1062" t="s">
        <v>47</v>
      </c>
      <c r="Y1062" t="s">
        <v>47</v>
      </c>
      <c r="Z1062" t="s">
        <v>47</v>
      </c>
      <c r="AA1062" t="s">
        <v>46</v>
      </c>
      <c r="AB1062" t="s">
        <v>46</v>
      </c>
      <c r="AC1062" t="s">
        <v>47</v>
      </c>
      <c r="AD1062" t="s">
        <v>47</v>
      </c>
      <c r="AE1062" t="s">
        <v>47</v>
      </c>
      <c r="AF1062" t="s">
        <v>47</v>
      </c>
      <c r="AG1062" t="s">
        <v>52</v>
      </c>
      <c r="AH1062" t="s">
        <v>53</v>
      </c>
      <c r="AI1062" t="s">
        <v>65</v>
      </c>
      <c r="AJ1062">
        <v>2.5</v>
      </c>
      <c r="AK1062" t="s">
        <v>47</v>
      </c>
      <c r="AL1062" t="s">
        <v>76</v>
      </c>
      <c r="AM1062" t="s">
        <v>103</v>
      </c>
      <c r="AN1062">
        <v>51</v>
      </c>
      <c r="AO1062" t="s">
        <v>46</v>
      </c>
    </row>
    <row r="1063" spans="1:41">
      <c r="A1063" t="s">
        <v>1215</v>
      </c>
      <c r="B1063">
        <v>2016</v>
      </c>
      <c r="C1063" s="1">
        <v>42422</v>
      </c>
      <c r="D1063" t="s">
        <v>95</v>
      </c>
      <c r="E1063" t="s">
        <v>130</v>
      </c>
      <c r="F1063">
        <v>78</v>
      </c>
      <c r="G1063" t="s">
        <v>60</v>
      </c>
      <c r="H1063" t="s">
        <v>45</v>
      </c>
      <c r="I1063">
        <v>27</v>
      </c>
      <c r="J1063">
        <v>31</v>
      </c>
      <c r="K1063" t="s">
        <v>46</v>
      </c>
      <c r="L1063" t="s">
        <v>47</v>
      </c>
      <c r="M1063" t="s">
        <v>47</v>
      </c>
      <c r="N1063" t="s">
        <v>50</v>
      </c>
      <c r="O1063" t="s">
        <v>49</v>
      </c>
      <c r="P1063">
        <v>30.2</v>
      </c>
      <c r="Q1063" t="s">
        <v>48</v>
      </c>
      <c r="R1063" t="s">
        <v>47</v>
      </c>
      <c r="S1063" t="s">
        <v>47</v>
      </c>
      <c r="T1063" t="s">
        <v>47</v>
      </c>
      <c r="U1063" t="s">
        <v>47</v>
      </c>
      <c r="V1063" t="s">
        <v>51</v>
      </c>
      <c r="W1063" t="s">
        <v>46</v>
      </c>
      <c r="X1063" t="s">
        <v>46</v>
      </c>
      <c r="Y1063" t="s">
        <v>46</v>
      </c>
      <c r="Z1063" t="s">
        <v>47</v>
      </c>
      <c r="AA1063" t="s">
        <v>46</v>
      </c>
      <c r="AB1063" t="s">
        <v>46</v>
      </c>
      <c r="AC1063" t="s">
        <v>47</v>
      </c>
      <c r="AD1063" t="s">
        <v>46</v>
      </c>
      <c r="AE1063" t="s">
        <v>47</v>
      </c>
      <c r="AF1063" t="s">
        <v>47</v>
      </c>
      <c r="AG1063" t="s">
        <v>121</v>
      </c>
      <c r="AH1063" t="s">
        <v>122</v>
      </c>
      <c r="AI1063" t="s">
        <v>87</v>
      </c>
      <c r="AJ1063">
        <v>3.9</v>
      </c>
      <c r="AK1063" t="s">
        <v>47</v>
      </c>
      <c r="AL1063" t="s">
        <v>66</v>
      </c>
      <c r="AM1063" t="s">
        <v>77</v>
      </c>
      <c r="AN1063">
        <v>47</v>
      </c>
      <c r="AO1063" t="s">
        <v>47</v>
      </c>
    </row>
    <row r="1064" spans="1:41">
      <c r="A1064" t="s">
        <v>1216</v>
      </c>
      <c r="B1064">
        <v>2018</v>
      </c>
      <c r="C1064" s="1">
        <v>43362</v>
      </c>
      <c r="D1064" t="s">
        <v>95</v>
      </c>
      <c r="E1064" t="s">
        <v>114</v>
      </c>
      <c r="F1064">
        <v>57</v>
      </c>
      <c r="G1064" t="s">
        <v>60</v>
      </c>
      <c r="H1064" t="s">
        <v>45</v>
      </c>
      <c r="I1064">
        <v>22</v>
      </c>
      <c r="J1064">
        <v>21</v>
      </c>
      <c r="K1064" t="s">
        <v>46</v>
      </c>
      <c r="L1064" t="s">
        <v>47</v>
      </c>
      <c r="M1064" t="s">
        <v>47</v>
      </c>
      <c r="N1064" t="s">
        <v>48</v>
      </c>
      <c r="O1064" t="s">
        <v>49</v>
      </c>
      <c r="P1064">
        <v>24.3</v>
      </c>
      <c r="Q1064" t="s">
        <v>62</v>
      </c>
      <c r="R1064" t="s">
        <v>47</v>
      </c>
      <c r="S1064" t="s">
        <v>47</v>
      </c>
      <c r="T1064" t="s">
        <v>47</v>
      </c>
      <c r="U1064" t="s">
        <v>47</v>
      </c>
      <c r="V1064" t="s">
        <v>151</v>
      </c>
      <c r="W1064" t="s">
        <v>46</v>
      </c>
      <c r="X1064" t="s">
        <v>46</v>
      </c>
      <c r="Y1064" t="s">
        <v>46</v>
      </c>
      <c r="Z1064" t="s">
        <v>47</v>
      </c>
      <c r="AA1064" t="s">
        <v>46</v>
      </c>
      <c r="AB1064" t="s">
        <v>47</v>
      </c>
      <c r="AC1064" t="s">
        <v>47</v>
      </c>
      <c r="AD1064" t="s">
        <v>47</v>
      </c>
      <c r="AE1064" t="s">
        <v>47</v>
      </c>
      <c r="AF1064" t="s">
        <v>47</v>
      </c>
      <c r="AG1064" t="s">
        <v>52</v>
      </c>
      <c r="AH1064" t="s">
        <v>53</v>
      </c>
      <c r="AI1064" t="s">
        <v>54</v>
      </c>
      <c r="AJ1064">
        <v>10.7</v>
      </c>
      <c r="AK1064" t="s">
        <v>46</v>
      </c>
      <c r="AL1064" t="s">
        <v>100</v>
      </c>
      <c r="AM1064" t="s">
        <v>82</v>
      </c>
      <c r="AN1064">
        <v>15</v>
      </c>
      <c r="AO1064" t="s">
        <v>47</v>
      </c>
    </row>
    <row r="1065" spans="1:41">
      <c r="A1065" t="s">
        <v>1217</v>
      </c>
      <c r="B1065">
        <v>2024</v>
      </c>
      <c r="C1065" s="1">
        <v>45379</v>
      </c>
      <c r="D1065" t="s">
        <v>42</v>
      </c>
      <c r="E1065" t="s">
        <v>136</v>
      </c>
      <c r="F1065">
        <v>64</v>
      </c>
      <c r="G1065" t="s">
        <v>60</v>
      </c>
      <c r="H1065" t="s">
        <v>70</v>
      </c>
      <c r="I1065">
        <v>0</v>
      </c>
      <c r="J1065">
        <v>0</v>
      </c>
      <c r="K1065" t="s">
        <v>47</v>
      </c>
      <c r="L1065" t="s">
        <v>46</v>
      </c>
      <c r="M1065" t="s">
        <v>46</v>
      </c>
      <c r="N1065" t="s">
        <v>62</v>
      </c>
      <c r="O1065" t="s">
        <v>49</v>
      </c>
      <c r="P1065">
        <v>16</v>
      </c>
      <c r="Q1065" t="s">
        <v>48</v>
      </c>
      <c r="R1065" t="s">
        <v>47</v>
      </c>
      <c r="S1065" t="s">
        <v>47</v>
      </c>
      <c r="T1065" t="s">
        <v>47</v>
      </c>
      <c r="U1065" t="s">
        <v>47</v>
      </c>
      <c r="V1065" t="s">
        <v>51</v>
      </c>
      <c r="W1065" t="s">
        <v>46</v>
      </c>
      <c r="X1065" t="s">
        <v>47</v>
      </c>
      <c r="Y1065" t="s">
        <v>47</v>
      </c>
      <c r="Z1065" t="s">
        <v>47</v>
      </c>
      <c r="AA1065" t="s">
        <v>46</v>
      </c>
      <c r="AB1065" t="s">
        <v>47</v>
      </c>
      <c r="AC1065" t="s">
        <v>47</v>
      </c>
      <c r="AD1065" t="s">
        <v>47</v>
      </c>
      <c r="AE1065" t="s">
        <v>47</v>
      </c>
      <c r="AF1065" t="s">
        <v>46</v>
      </c>
      <c r="AG1065" t="s">
        <v>52</v>
      </c>
      <c r="AH1065" t="s">
        <v>71</v>
      </c>
      <c r="AI1065" t="s">
        <v>54</v>
      </c>
      <c r="AJ1065">
        <v>6.9</v>
      </c>
      <c r="AK1065" t="s">
        <v>46</v>
      </c>
      <c r="AL1065" t="s">
        <v>66</v>
      </c>
      <c r="AM1065" t="s">
        <v>82</v>
      </c>
      <c r="AN1065">
        <v>10</v>
      </c>
      <c r="AO1065" t="s">
        <v>47</v>
      </c>
    </row>
    <row r="1066" spans="1:41">
      <c r="A1066" t="s">
        <v>1218</v>
      </c>
      <c r="B1066">
        <v>2021</v>
      </c>
      <c r="C1066" s="1">
        <v>44203</v>
      </c>
      <c r="D1066" t="s">
        <v>42</v>
      </c>
      <c r="E1066" t="s">
        <v>154</v>
      </c>
      <c r="F1066">
        <v>60</v>
      </c>
      <c r="G1066" t="s">
        <v>44</v>
      </c>
      <c r="H1066" t="s">
        <v>70</v>
      </c>
      <c r="I1066">
        <v>0</v>
      </c>
      <c r="J1066">
        <v>0</v>
      </c>
      <c r="K1066" t="s">
        <v>47</v>
      </c>
      <c r="L1066" t="s">
        <v>46</v>
      </c>
      <c r="M1066" t="s">
        <v>47</v>
      </c>
      <c r="N1066" t="s">
        <v>48</v>
      </c>
      <c r="O1066" t="s">
        <v>48</v>
      </c>
      <c r="P1066">
        <v>29.1</v>
      </c>
      <c r="Q1066" t="s">
        <v>62</v>
      </c>
      <c r="R1066" t="s">
        <v>47</v>
      </c>
      <c r="S1066" t="s">
        <v>47</v>
      </c>
      <c r="T1066" t="s">
        <v>47</v>
      </c>
      <c r="U1066" t="s">
        <v>47</v>
      </c>
      <c r="V1066" t="s">
        <v>86</v>
      </c>
      <c r="W1066" t="s">
        <v>47</v>
      </c>
      <c r="X1066" t="s">
        <v>47</v>
      </c>
      <c r="Y1066" t="s">
        <v>47</v>
      </c>
      <c r="Z1066" t="s">
        <v>47</v>
      </c>
      <c r="AA1066" t="s">
        <v>46</v>
      </c>
      <c r="AB1066" t="s">
        <v>47</v>
      </c>
      <c r="AC1066" t="s">
        <v>46</v>
      </c>
      <c r="AD1066" t="s">
        <v>47</v>
      </c>
      <c r="AE1066" t="s">
        <v>47</v>
      </c>
      <c r="AF1066" t="s">
        <v>46</v>
      </c>
      <c r="AG1066" t="s">
        <v>52</v>
      </c>
      <c r="AH1066" t="s">
        <v>53</v>
      </c>
      <c r="AI1066" t="s">
        <v>87</v>
      </c>
      <c r="AJ1066">
        <v>4.9000000000000004</v>
      </c>
      <c r="AK1066" t="s">
        <v>47</v>
      </c>
      <c r="AL1066" t="s">
        <v>81</v>
      </c>
      <c r="AM1066" t="s">
        <v>77</v>
      </c>
      <c r="AN1066">
        <v>48</v>
      </c>
      <c r="AO1066" t="s">
        <v>47</v>
      </c>
    </row>
    <row r="1067" spans="1:41">
      <c r="A1067" t="s">
        <v>1219</v>
      </c>
      <c r="B1067">
        <v>2018</v>
      </c>
      <c r="C1067" s="1">
        <v>43184</v>
      </c>
      <c r="D1067" t="s">
        <v>42</v>
      </c>
      <c r="E1067" t="s">
        <v>79</v>
      </c>
      <c r="F1067">
        <v>49</v>
      </c>
      <c r="G1067" t="s">
        <v>44</v>
      </c>
      <c r="H1067" t="s">
        <v>61</v>
      </c>
      <c r="I1067">
        <v>12</v>
      </c>
      <c r="J1067">
        <v>6</v>
      </c>
      <c r="K1067" t="s">
        <v>47</v>
      </c>
      <c r="L1067" t="s">
        <v>47</v>
      </c>
      <c r="M1067" t="s">
        <v>47</v>
      </c>
      <c r="N1067" t="s">
        <v>50</v>
      </c>
      <c r="O1067" t="s">
        <v>63</v>
      </c>
      <c r="P1067">
        <v>28.5</v>
      </c>
      <c r="Q1067" t="s">
        <v>48</v>
      </c>
      <c r="R1067" t="s">
        <v>46</v>
      </c>
      <c r="S1067" t="s">
        <v>47</v>
      </c>
      <c r="T1067" t="s">
        <v>47</v>
      </c>
      <c r="U1067" t="s">
        <v>47</v>
      </c>
      <c r="V1067" t="s">
        <v>171</v>
      </c>
      <c r="W1067" t="s">
        <v>46</v>
      </c>
      <c r="X1067" t="s">
        <v>46</v>
      </c>
      <c r="Y1067" t="s">
        <v>47</v>
      </c>
      <c r="Z1067" t="s">
        <v>47</v>
      </c>
      <c r="AA1067" t="s">
        <v>46</v>
      </c>
      <c r="AB1067" t="s">
        <v>46</v>
      </c>
      <c r="AC1067" t="s">
        <v>47</v>
      </c>
      <c r="AD1067" t="s">
        <v>47</v>
      </c>
      <c r="AE1067" t="s">
        <v>47</v>
      </c>
      <c r="AF1067" t="s">
        <v>47</v>
      </c>
      <c r="AG1067" t="s">
        <v>52</v>
      </c>
      <c r="AH1067" t="s">
        <v>71</v>
      </c>
      <c r="AI1067" t="s">
        <v>65</v>
      </c>
      <c r="AJ1067">
        <v>2</v>
      </c>
      <c r="AK1067" t="s">
        <v>47</v>
      </c>
      <c r="AL1067" t="s">
        <v>66</v>
      </c>
      <c r="AM1067" t="s">
        <v>103</v>
      </c>
      <c r="AN1067">
        <v>78</v>
      </c>
      <c r="AO1067" t="s">
        <v>47</v>
      </c>
    </row>
    <row r="1068" spans="1:41">
      <c r="A1068" t="s">
        <v>1220</v>
      </c>
      <c r="B1068">
        <v>2022</v>
      </c>
      <c r="C1068" s="1">
        <v>44602</v>
      </c>
      <c r="D1068" t="s">
        <v>110</v>
      </c>
      <c r="E1068" t="s">
        <v>294</v>
      </c>
      <c r="F1068">
        <v>69</v>
      </c>
      <c r="G1068" t="s">
        <v>60</v>
      </c>
      <c r="H1068" t="s">
        <v>70</v>
      </c>
      <c r="I1068">
        <v>0</v>
      </c>
      <c r="J1068">
        <v>0</v>
      </c>
      <c r="K1068" t="s">
        <v>46</v>
      </c>
      <c r="L1068" t="s">
        <v>47</v>
      </c>
      <c r="M1068" t="s">
        <v>47</v>
      </c>
      <c r="N1068" t="s">
        <v>48</v>
      </c>
      <c r="O1068" t="s">
        <v>48</v>
      </c>
      <c r="P1068">
        <v>22.1</v>
      </c>
      <c r="Q1068" t="s">
        <v>48</v>
      </c>
      <c r="R1068" t="s">
        <v>47</v>
      </c>
      <c r="S1068" t="s">
        <v>47</v>
      </c>
      <c r="T1068" t="s">
        <v>47</v>
      </c>
      <c r="U1068" t="s">
        <v>47</v>
      </c>
      <c r="V1068" t="s">
        <v>51</v>
      </c>
      <c r="W1068" t="s">
        <v>47</v>
      </c>
      <c r="X1068" t="s">
        <v>46</v>
      </c>
      <c r="Y1068" t="s">
        <v>46</v>
      </c>
      <c r="Z1068" t="s">
        <v>46</v>
      </c>
      <c r="AA1068" t="s">
        <v>46</v>
      </c>
      <c r="AB1068" t="s">
        <v>47</v>
      </c>
      <c r="AC1068" t="s">
        <v>46</v>
      </c>
      <c r="AD1068" t="s">
        <v>47</v>
      </c>
      <c r="AE1068" t="s">
        <v>47</v>
      </c>
      <c r="AF1068" t="s">
        <v>47</v>
      </c>
      <c r="AG1068" t="s">
        <v>52</v>
      </c>
      <c r="AH1068" t="s">
        <v>53</v>
      </c>
      <c r="AI1068" t="s">
        <v>65</v>
      </c>
      <c r="AJ1068">
        <v>2</v>
      </c>
      <c r="AK1068" t="s">
        <v>47</v>
      </c>
      <c r="AL1068" t="s">
        <v>72</v>
      </c>
      <c r="AM1068" t="s">
        <v>73</v>
      </c>
      <c r="AN1068">
        <v>55</v>
      </c>
      <c r="AO1068" t="s">
        <v>46</v>
      </c>
    </row>
    <row r="1069" spans="1:41">
      <c r="A1069" t="s">
        <v>1221</v>
      </c>
      <c r="B1069">
        <v>2025</v>
      </c>
      <c r="C1069" s="1">
        <v>45938</v>
      </c>
      <c r="D1069" t="s">
        <v>95</v>
      </c>
      <c r="E1069" t="s">
        <v>255</v>
      </c>
      <c r="F1069">
        <v>63</v>
      </c>
      <c r="G1069" t="s">
        <v>44</v>
      </c>
      <c r="H1069" t="s">
        <v>70</v>
      </c>
      <c r="I1069">
        <v>0</v>
      </c>
      <c r="J1069">
        <v>0</v>
      </c>
      <c r="K1069" t="s">
        <v>46</v>
      </c>
      <c r="L1069" t="s">
        <v>47</v>
      </c>
      <c r="M1069" t="s">
        <v>47</v>
      </c>
      <c r="N1069" t="s">
        <v>62</v>
      </c>
      <c r="O1069" t="s">
        <v>48</v>
      </c>
      <c r="P1069">
        <v>24.4</v>
      </c>
      <c r="Q1069" t="s">
        <v>50</v>
      </c>
      <c r="R1069" t="s">
        <v>47</v>
      </c>
      <c r="S1069" t="s">
        <v>47</v>
      </c>
      <c r="T1069" t="s">
        <v>47</v>
      </c>
      <c r="U1069" t="s">
        <v>47</v>
      </c>
      <c r="V1069" t="s">
        <v>151</v>
      </c>
      <c r="W1069" t="s">
        <v>47</v>
      </c>
      <c r="X1069" t="s">
        <v>47</v>
      </c>
      <c r="Y1069" t="s">
        <v>47</v>
      </c>
      <c r="Z1069" t="s">
        <v>46</v>
      </c>
      <c r="AA1069" t="s">
        <v>46</v>
      </c>
      <c r="AB1069" t="s">
        <v>47</v>
      </c>
      <c r="AC1069" t="s">
        <v>47</v>
      </c>
      <c r="AD1069" t="s">
        <v>47</v>
      </c>
      <c r="AE1069" t="s">
        <v>47</v>
      </c>
      <c r="AF1069" t="s">
        <v>47</v>
      </c>
      <c r="AG1069" t="s">
        <v>121</v>
      </c>
      <c r="AH1069" t="s">
        <v>122</v>
      </c>
      <c r="AI1069" t="s">
        <v>65</v>
      </c>
      <c r="AJ1069">
        <v>2.2000000000000002</v>
      </c>
      <c r="AK1069" t="s">
        <v>47</v>
      </c>
      <c r="AL1069" t="s">
        <v>76</v>
      </c>
      <c r="AM1069" t="s">
        <v>73</v>
      </c>
      <c r="AN1069">
        <v>29</v>
      </c>
      <c r="AO1069" t="s">
        <v>46</v>
      </c>
    </row>
    <row r="1070" spans="1:41">
      <c r="A1070" t="s">
        <v>1222</v>
      </c>
      <c r="B1070">
        <v>2016</v>
      </c>
      <c r="C1070" s="1">
        <v>42573</v>
      </c>
      <c r="D1070" t="s">
        <v>42</v>
      </c>
      <c r="E1070" t="s">
        <v>75</v>
      </c>
      <c r="F1070">
        <v>56</v>
      </c>
      <c r="G1070" t="s">
        <v>44</v>
      </c>
      <c r="H1070" t="s">
        <v>45</v>
      </c>
      <c r="I1070">
        <v>34</v>
      </c>
      <c r="J1070">
        <v>16</v>
      </c>
      <c r="K1070" t="s">
        <v>47</v>
      </c>
      <c r="L1070" t="s">
        <v>46</v>
      </c>
      <c r="M1070" t="s">
        <v>47</v>
      </c>
      <c r="N1070" t="s">
        <v>50</v>
      </c>
      <c r="O1070" t="s">
        <v>49</v>
      </c>
      <c r="P1070">
        <v>26</v>
      </c>
      <c r="Q1070" t="s">
        <v>62</v>
      </c>
      <c r="R1070" t="s">
        <v>47</v>
      </c>
      <c r="S1070" t="s">
        <v>47</v>
      </c>
      <c r="T1070" t="s">
        <v>47</v>
      </c>
      <c r="U1070" t="s">
        <v>47</v>
      </c>
      <c r="V1070" t="s">
        <v>51</v>
      </c>
      <c r="W1070" t="s">
        <v>47</v>
      </c>
      <c r="X1070" t="s">
        <v>46</v>
      </c>
      <c r="Y1070" t="s">
        <v>46</v>
      </c>
      <c r="Z1070" t="s">
        <v>46</v>
      </c>
      <c r="AA1070" t="s">
        <v>47</v>
      </c>
      <c r="AB1070" t="s">
        <v>47</v>
      </c>
      <c r="AC1070" t="s">
        <v>46</v>
      </c>
      <c r="AD1070" t="s">
        <v>47</v>
      </c>
      <c r="AE1070" t="s">
        <v>47</v>
      </c>
      <c r="AF1070" t="s">
        <v>47</v>
      </c>
      <c r="AG1070" t="s">
        <v>52</v>
      </c>
      <c r="AH1070" t="s">
        <v>71</v>
      </c>
      <c r="AI1070" t="s">
        <v>87</v>
      </c>
      <c r="AJ1070">
        <v>4.2</v>
      </c>
      <c r="AK1070" t="s">
        <v>47</v>
      </c>
      <c r="AL1070" t="s">
        <v>76</v>
      </c>
      <c r="AM1070" t="s">
        <v>77</v>
      </c>
      <c r="AN1070">
        <v>32</v>
      </c>
      <c r="AO1070" t="s">
        <v>46</v>
      </c>
    </row>
    <row r="1071" spans="1:41">
      <c r="A1071" t="s">
        <v>1223</v>
      </c>
      <c r="B1071">
        <v>2020</v>
      </c>
      <c r="C1071" s="1">
        <v>43995</v>
      </c>
      <c r="D1071" t="s">
        <v>95</v>
      </c>
      <c r="E1071" t="s">
        <v>105</v>
      </c>
      <c r="F1071">
        <v>69</v>
      </c>
      <c r="G1071" t="s">
        <v>60</v>
      </c>
      <c r="H1071" t="s">
        <v>45</v>
      </c>
      <c r="I1071">
        <v>30</v>
      </c>
      <c r="J1071">
        <v>22</v>
      </c>
      <c r="K1071" t="s">
        <v>47</v>
      </c>
      <c r="L1071" t="s">
        <v>47</v>
      </c>
      <c r="M1071" t="s">
        <v>47</v>
      </c>
      <c r="N1071" t="s">
        <v>50</v>
      </c>
      <c r="O1071" t="s">
        <v>49</v>
      </c>
      <c r="P1071">
        <v>27</v>
      </c>
      <c r="Q1071" t="s">
        <v>48</v>
      </c>
      <c r="R1071" t="s">
        <v>46</v>
      </c>
      <c r="S1071" t="s">
        <v>47</v>
      </c>
      <c r="T1071" t="s">
        <v>47</v>
      </c>
      <c r="U1071" t="s">
        <v>47</v>
      </c>
      <c r="V1071" t="s">
        <v>51</v>
      </c>
      <c r="W1071" t="s">
        <v>46</v>
      </c>
      <c r="X1071" t="s">
        <v>47</v>
      </c>
      <c r="Y1071" t="s">
        <v>46</v>
      </c>
      <c r="Z1071" t="s">
        <v>46</v>
      </c>
      <c r="AA1071" t="s">
        <v>46</v>
      </c>
      <c r="AB1071" t="s">
        <v>47</v>
      </c>
      <c r="AC1071" t="s">
        <v>46</v>
      </c>
      <c r="AD1071" t="s">
        <v>47</v>
      </c>
      <c r="AE1071" t="s">
        <v>47</v>
      </c>
      <c r="AF1071" t="s">
        <v>47</v>
      </c>
      <c r="AG1071" t="s">
        <v>52</v>
      </c>
      <c r="AH1071" t="s">
        <v>71</v>
      </c>
      <c r="AI1071" t="s">
        <v>54</v>
      </c>
      <c r="AJ1071">
        <v>6.3</v>
      </c>
      <c r="AK1071" t="s">
        <v>46</v>
      </c>
      <c r="AL1071" t="s">
        <v>81</v>
      </c>
      <c r="AM1071" t="s">
        <v>82</v>
      </c>
      <c r="AN1071">
        <v>18</v>
      </c>
      <c r="AO1071" t="s">
        <v>47</v>
      </c>
    </row>
    <row r="1072" spans="1:41">
      <c r="A1072" t="s">
        <v>1224</v>
      </c>
      <c r="B1072">
        <v>2016</v>
      </c>
      <c r="C1072" s="1">
        <v>42728</v>
      </c>
      <c r="D1072" t="s">
        <v>110</v>
      </c>
      <c r="E1072" t="s">
        <v>227</v>
      </c>
      <c r="F1072">
        <v>52</v>
      </c>
      <c r="G1072" t="s">
        <v>44</v>
      </c>
      <c r="H1072" t="s">
        <v>70</v>
      </c>
      <c r="I1072">
        <v>0</v>
      </c>
      <c r="J1072">
        <v>0</v>
      </c>
      <c r="K1072" t="s">
        <v>47</v>
      </c>
      <c r="L1072" t="s">
        <v>47</v>
      </c>
      <c r="M1072" t="s">
        <v>47</v>
      </c>
      <c r="N1072" t="s">
        <v>48</v>
      </c>
      <c r="O1072" t="s">
        <v>63</v>
      </c>
      <c r="P1072">
        <v>25</v>
      </c>
      <c r="Q1072" t="s">
        <v>48</v>
      </c>
      <c r="R1072" t="s">
        <v>47</v>
      </c>
      <c r="S1072" t="s">
        <v>47</v>
      </c>
      <c r="T1072" t="s">
        <v>47</v>
      </c>
      <c r="U1072" t="s">
        <v>47</v>
      </c>
      <c r="V1072" t="s">
        <v>51</v>
      </c>
      <c r="W1072" t="s">
        <v>47</v>
      </c>
      <c r="X1072" t="s">
        <v>46</v>
      </c>
      <c r="Y1072" t="s">
        <v>47</v>
      </c>
      <c r="Z1072" t="s">
        <v>47</v>
      </c>
      <c r="AA1072" t="s">
        <v>46</v>
      </c>
      <c r="AB1072" t="s">
        <v>47</v>
      </c>
      <c r="AC1072" t="s">
        <v>47</v>
      </c>
      <c r="AD1072" t="s">
        <v>47</v>
      </c>
      <c r="AE1072" t="s">
        <v>47</v>
      </c>
      <c r="AF1072" t="s">
        <v>46</v>
      </c>
      <c r="AG1072" t="s">
        <v>121</v>
      </c>
      <c r="AH1072" t="s">
        <v>122</v>
      </c>
      <c r="AI1072" t="s">
        <v>54</v>
      </c>
      <c r="AJ1072">
        <v>3.5</v>
      </c>
      <c r="AK1072" t="s">
        <v>46</v>
      </c>
      <c r="AL1072" t="s">
        <v>66</v>
      </c>
      <c r="AM1072" t="s">
        <v>56</v>
      </c>
      <c r="AN1072">
        <v>13</v>
      </c>
      <c r="AO1072" t="s">
        <v>47</v>
      </c>
    </row>
    <row r="1073" spans="1:41">
      <c r="A1073" t="s">
        <v>1225</v>
      </c>
      <c r="B1073">
        <v>2025</v>
      </c>
      <c r="C1073" s="1">
        <v>45924</v>
      </c>
      <c r="D1073" t="s">
        <v>42</v>
      </c>
      <c r="E1073" t="s">
        <v>136</v>
      </c>
      <c r="F1073">
        <v>55</v>
      </c>
      <c r="G1073" t="s">
        <v>44</v>
      </c>
      <c r="H1073" t="s">
        <v>70</v>
      </c>
      <c r="I1073">
        <v>0</v>
      </c>
      <c r="J1073">
        <v>0</v>
      </c>
      <c r="K1073" t="s">
        <v>46</v>
      </c>
      <c r="L1073" t="s">
        <v>47</v>
      </c>
      <c r="M1073" t="s">
        <v>46</v>
      </c>
      <c r="N1073" t="s">
        <v>62</v>
      </c>
      <c r="O1073" t="s">
        <v>48</v>
      </c>
      <c r="P1073">
        <v>16</v>
      </c>
      <c r="Q1073" t="s">
        <v>62</v>
      </c>
      <c r="R1073" t="s">
        <v>47</v>
      </c>
      <c r="S1073" t="s">
        <v>47</v>
      </c>
      <c r="T1073" t="s">
        <v>47</v>
      </c>
      <c r="U1073" t="s">
        <v>47</v>
      </c>
      <c r="V1073" t="s">
        <v>51</v>
      </c>
      <c r="W1073" t="s">
        <v>46</v>
      </c>
      <c r="X1073" t="s">
        <v>46</v>
      </c>
      <c r="Y1073" t="s">
        <v>47</v>
      </c>
      <c r="Z1073" t="s">
        <v>47</v>
      </c>
      <c r="AA1073" t="s">
        <v>46</v>
      </c>
      <c r="AB1073" t="s">
        <v>47</v>
      </c>
      <c r="AC1073" t="s">
        <v>47</v>
      </c>
      <c r="AD1073" t="s">
        <v>47</v>
      </c>
      <c r="AE1073" t="s">
        <v>47</v>
      </c>
      <c r="AF1073" t="s">
        <v>47</v>
      </c>
      <c r="AG1073" t="s">
        <v>52</v>
      </c>
      <c r="AH1073" t="s">
        <v>53</v>
      </c>
      <c r="AI1073" t="s">
        <v>65</v>
      </c>
      <c r="AJ1073">
        <v>3.3</v>
      </c>
      <c r="AK1073" t="s">
        <v>47</v>
      </c>
      <c r="AL1073" t="s">
        <v>72</v>
      </c>
      <c r="AM1073" t="s">
        <v>73</v>
      </c>
      <c r="AN1073">
        <v>62</v>
      </c>
      <c r="AO1073" t="s">
        <v>47</v>
      </c>
    </row>
    <row r="1074" spans="1:41">
      <c r="A1074" t="s">
        <v>1226</v>
      </c>
      <c r="B1074">
        <v>2015</v>
      </c>
      <c r="C1074" s="1">
        <v>42008</v>
      </c>
      <c r="D1074" t="s">
        <v>95</v>
      </c>
      <c r="E1074" t="s">
        <v>145</v>
      </c>
      <c r="F1074">
        <v>54</v>
      </c>
      <c r="G1074" t="s">
        <v>60</v>
      </c>
      <c r="H1074" t="s">
        <v>45</v>
      </c>
      <c r="I1074">
        <v>18</v>
      </c>
      <c r="J1074">
        <v>16</v>
      </c>
      <c r="K1074" t="s">
        <v>47</v>
      </c>
      <c r="L1074" t="s">
        <v>47</v>
      </c>
      <c r="M1074" t="s">
        <v>47</v>
      </c>
      <c r="N1074" t="s">
        <v>62</v>
      </c>
      <c r="O1074" t="s">
        <v>48</v>
      </c>
      <c r="P1074">
        <v>27.9</v>
      </c>
      <c r="Q1074" t="s">
        <v>50</v>
      </c>
      <c r="R1074" t="s">
        <v>47</v>
      </c>
      <c r="S1074" t="s">
        <v>47</v>
      </c>
      <c r="T1074" t="s">
        <v>47</v>
      </c>
      <c r="U1074" t="s">
        <v>47</v>
      </c>
      <c r="V1074" t="s">
        <v>64</v>
      </c>
      <c r="W1074" t="s">
        <v>46</v>
      </c>
      <c r="X1074" t="s">
        <v>46</v>
      </c>
      <c r="Y1074" t="s">
        <v>46</v>
      </c>
      <c r="Z1074" t="s">
        <v>46</v>
      </c>
      <c r="AA1074" t="s">
        <v>46</v>
      </c>
      <c r="AB1074" t="s">
        <v>47</v>
      </c>
      <c r="AC1074" t="s">
        <v>47</v>
      </c>
      <c r="AD1074" t="s">
        <v>47</v>
      </c>
      <c r="AE1074" t="s">
        <v>47</v>
      </c>
      <c r="AF1074" t="s">
        <v>47</v>
      </c>
      <c r="AG1074" t="s">
        <v>52</v>
      </c>
      <c r="AH1074" t="s">
        <v>71</v>
      </c>
      <c r="AI1074" t="s">
        <v>54</v>
      </c>
      <c r="AJ1074">
        <v>8.3000000000000007</v>
      </c>
      <c r="AK1074" t="s">
        <v>46</v>
      </c>
      <c r="AL1074" t="s">
        <v>76</v>
      </c>
      <c r="AM1074" t="s">
        <v>103</v>
      </c>
      <c r="AN1074">
        <v>10</v>
      </c>
      <c r="AO1074" t="s">
        <v>47</v>
      </c>
    </row>
    <row r="1075" spans="1:41">
      <c r="A1075" t="s">
        <v>1227</v>
      </c>
      <c r="B1075">
        <v>2024</v>
      </c>
      <c r="C1075" s="1">
        <v>45409</v>
      </c>
      <c r="D1075" t="s">
        <v>42</v>
      </c>
      <c r="E1075" t="s">
        <v>69</v>
      </c>
      <c r="F1075">
        <v>70</v>
      </c>
      <c r="G1075" t="s">
        <v>44</v>
      </c>
      <c r="H1075" t="s">
        <v>70</v>
      </c>
      <c r="I1075">
        <v>0</v>
      </c>
      <c r="J1075">
        <v>0</v>
      </c>
      <c r="K1075" t="s">
        <v>47</v>
      </c>
      <c r="L1075" t="s">
        <v>47</v>
      </c>
      <c r="M1075" t="s">
        <v>47</v>
      </c>
      <c r="N1075" t="s">
        <v>62</v>
      </c>
      <c r="O1075" t="s">
        <v>63</v>
      </c>
      <c r="P1075">
        <v>20.2</v>
      </c>
      <c r="Q1075" t="s">
        <v>50</v>
      </c>
      <c r="R1075" t="s">
        <v>47</v>
      </c>
      <c r="S1075" t="s">
        <v>47</v>
      </c>
      <c r="T1075" t="s">
        <v>47</v>
      </c>
      <c r="U1075" t="s">
        <v>47</v>
      </c>
      <c r="V1075" t="s">
        <v>51</v>
      </c>
      <c r="W1075" t="s">
        <v>47</v>
      </c>
      <c r="X1075" t="s">
        <v>46</v>
      </c>
      <c r="Y1075" t="s">
        <v>46</v>
      </c>
      <c r="Z1075" t="s">
        <v>46</v>
      </c>
      <c r="AA1075" t="s">
        <v>46</v>
      </c>
      <c r="AB1075" t="s">
        <v>47</v>
      </c>
      <c r="AC1075" t="s">
        <v>47</v>
      </c>
      <c r="AD1075" t="s">
        <v>46</v>
      </c>
      <c r="AE1075" t="s">
        <v>47</v>
      </c>
      <c r="AF1075" t="s">
        <v>47</v>
      </c>
      <c r="AG1075" t="s">
        <v>52</v>
      </c>
      <c r="AH1075" t="s">
        <v>53</v>
      </c>
      <c r="AI1075" t="s">
        <v>80</v>
      </c>
      <c r="AJ1075">
        <v>4.5999999999999996</v>
      </c>
      <c r="AK1075" t="s">
        <v>47</v>
      </c>
      <c r="AL1075" t="s">
        <v>76</v>
      </c>
      <c r="AM1075" t="s">
        <v>77</v>
      </c>
      <c r="AN1075">
        <v>35</v>
      </c>
      <c r="AO1075" t="s">
        <v>47</v>
      </c>
    </row>
    <row r="1076" spans="1:41">
      <c r="A1076" t="s">
        <v>1228</v>
      </c>
      <c r="B1076">
        <v>2019</v>
      </c>
      <c r="C1076" s="1">
        <v>43636</v>
      </c>
      <c r="D1076" t="s">
        <v>95</v>
      </c>
      <c r="E1076" t="s">
        <v>255</v>
      </c>
      <c r="F1076">
        <v>38</v>
      </c>
      <c r="G1076" t="s">
        <v>44</v>
      </c>
      <c r="H1076" t="s">
        <v>70</v>
      </c>
      <c r="I1076">
        <v>0</v>
      </c>
      <c r="J1076">
        <v>0</v>
      </c>
      <c r="K1076" t="s">
        <v>46</v>
      </c>
      <c r="L1076" t="s">
        <v>46</v>
      </c>
      <c r="M1076" t="s">
        <v>47</v>
      </c>
      <c r="N1076" t="s">
        <v>48</v>
      </c>
      <c r="O1076" t="s">
        <v>48</v>
      </c>
      <c r="P1076">
        <v>22.4</v>
      </c>
      <c r="Q1076" t="s">
        <v>50</v>
      </c>
      <c r="R1076" t="s">
        <v>47</v>
      </c>
      <c r="S1076" t="s">
        <v>47</v>
      </c>
      <c r="T1076" t="s">
        <v>47</v>
      </c>
      <c r="U1076" t="s">
        <v>47</v>
      </c>
      <c r="V1076" t="s">
        <v>64</v>
      </c>
      <c r="W1076" t="s">
        <v>47</v>
      </c>
      <c r="X1076" t="s">
        <v>47</v>
      </c>
      <c r="Y1076" t="s">
        <v>47</v>
      </c>
      <c r="Z1076" t="s">
        <v>47</v>
      </c>
      <c r="AA1076" t="s">
        <v>46</v>
      </c>
      <c r="AB1076" t="s">
        <v>47</v>
      </c>
      <c r="AC1076" t="s">
        <v>47</v>
      </c>
      <c r="AD1076" t="s">
        <v>47</v>
      </c>
      <c r="AE1076" t="s">
        <v>47</v>
      </c>
      <c r="AF1076" t="s">
        <v>47</v>
      </c>
      <c r="AG1076" t="s">
        <v>52</v>
      </c>
      <c r="AH1076" t="s">
        <v>71</v>
      </c>
      <c r="AI1076" t="s">
        <v>80</v>
      </c>
      <c r="AJ1076">
        <v>5.7</v>
      </c>
      <c r="AK1076" t="s">
        <v>47</v>
      </c>
      <c r="AL1076" t="s">
        <v>156</v>
      </c>
      <c r="AM1076" t="s">
        <v>67</v>
      </c>
      <c r="AN1076">
        <v>35</v>
      </c>
      <c r="AO1076" t="s">
        <v>46</v>
      </c>
    </row>
    <row r="1077" spans="1:41">
      <c r="A1077" t="s">
        <v>1229</v>
      </c>
      <c r="B1077">
        <v>2021</v>
      </c>
      <c r="C1077" s="1">
        <v>44482</v>
      </c>
      <c r="D1077" t="s">
        <v>42</v>
      </c>
      <c r="E1077" t="s">
        <v>136</v>
      </c>
      <c r="F1077">
        <v>74</v>
      </c>
      <c r="G1077" t="s">
        <v>44</v>
      </c>
      <c r="H1077" t="s">
        <v>45</v>
      </c>
      <c r="I1077">
        <v>16</v>
      </c>
      <c r="J1077">
        <v>36</v>
      </c>
      <c r="K1077" t="s">
        <v>46</v>
      </c>
      <c r="L1077" t="s">
        <v>46</v>
      </c>
      <c r="M1077" t="s">
        <v>47</v>
      </c>
      <c r="N1077" t="s">
        <v>62</v>
      </c>
      <c r="O1077" t="s">
        <v>63</v>
      </c>
      <c r="P1077">
        <v>25.4</v>
      </c>
      <c r="Q1077" t="s">
        <v>62</v>
      </c>
      <c r="R1077" t="s">
        <v>47</v>
      </c>
      <c r="S1077" t="s">
        <v>47</v>
      </c>
      <c r="T1077" t="s">
        <v>47</v>
      </c>
      <c r="U1077" t="s">
        <v>47</v>
      </c>
      <c r="V1077" t="s">
        <v>64</v>
      </c>
      <c r="W1077" t="s">
        <v>46</v>
      </c>
      <c r="X1077" t="s">
        <v>47</v>
      </c>
      <c r="Y1077" t="s">
        <v>47</v>
      </c>
      <c r="Z1077" t="s">
        <v>46</v>
      </c>
      <c r="AA1077" t="s">
        <v>46</v>
      </c>
      <c r="AB1077" t="s">
        <v>47</v>
      </c>
      <c r="AC1077" t="s">
        <v>46</v>
      </c>
      <c r="AD1077" t="s">
        <v>47</v>
      </c>
      <c r="AE1077" t="s">
        <v>47</v>
      </c>
      <c r="AF1077" t="s">
        <v>47</v>
      </c>
      <c r="AG1077" t="s">
        <v>52</v>
      </c>
      <c r="AH1077" t="s">
        <v>53</v>
      </c>
      <c r="AI1077" t="s">
        <v>54</v>
      </c>
      <c r="AJ1077">
        <v>8.5</v>
      </c>
      <c r="AK1077" t="s">
        <v>46</v>
      </c>
      <c r="AL1077" t="s">
        <v>72</v>
      </c>
      <c r="AM1077" t="s">
        <v>82</v>
      </c>
      <c r="AN1077">
        <v>10</v>
      </c>
      <c r="AO1077" t="s">
        <v>47</v>
      </c>
    </row>
    <row r="1078" spans="1:41">
      <c r="A1078" t="s">
        <v>1230</v>
      </c>
      <c r="B1078">
        <v>2022</v>
      </c>
      <c r="C1078" s="1">
        <v>44582</v>
      </c>
      <c r="D1078" t="s">
        <v>84</v>
      </c>
      <c r="E1078" t="s">
        <v>184</v>
      </c>
      <c r="F1078">
        <v>48</v>
      </c>
      <c r="G1078" t="s">
        <v>60</v>
      </c>
      <c r="H1078" t="s">
        <v>61</v>
      </c>
      <c r="I1078">
        <v>24</v>
      </c>
      <c r="J1078">
        <v>9</v>
      </c>
      <c r="K1078" t="s">
        <v>46</v>
      </c>
      <c r="L1078" t="s">
        <v>46</v>
      </c>
      <c r="M1078" t="s">
        <v>47</v>
      </c>
      <c r="N1078" t="s">
        <v>62</v>
      </c>
      <c r="O1078" t="s">
        <v>49</v>
      </c>
      <c r="P1078">
        <v>21.2</v>
      </c>
      <c r="Q1078" t="s">
        <v>50</v>
      </c>
      <c r="R1078" t="s">
        <v>46</v>
      </c>
      <c r="S1078" t="s">
        <v>47</v>
      </c>
      <c r="T1078" t="s">
        <v>47</v>
      </c>
      <c r="U1078" t="s">
        <v>47</v>
      </c>
      <c r="V1078" t="s">
        <v>151</v>
      </c>
      <c r="W1078" t="s">
        <v>46</v>
      </c>
      <c r="X1078" t="s">
        <v>47</v>
      </c>
      <c r="Y1078" t="s">
        <v>47</v>
      </c>
      <c r="Z1078" t="s">
        <v>46</v>
      </c>
      <c r="AA1078" t="s">
        <v>46</v>
      </c>
      <c r="AB1078" t="s">
        <v>47</v>
      </c>
      <c r="AC1078" t="s">
        <v>47</v>
      </c>
      <c r="AD1078" t="s">
        <v>46</v>
      </c>
      <c r="AE1078" t="s">
        <v>47</v>
      </c>
      <c r="AF1078" t="s">
        <v>47</v>
      </c>
      <c r="AG1078" t="s">
        <v>52</v>
      </c>
      <c r="AH1078" t="s">
        <v>53</v>
      </c>
      <c r="AI1078" t="s">
        <v>80</v>
      </c>
      <c r="AJ1078">
        <v>5.7</v>
      </c>
      <c r="AK1078" t="s">
        <v>47</v>
      </c>
      <c r="AL1078" t="s">
        <v>76</v>
      </c>
      <c r="AM1078" t="s">
        <v>77</v>
      </c>
      <c r="AN1078">
        <v>23</v>
      </c>
      <c r="AO1078" t="s">
        <v>46</v>
      </c>
    </row>
    <row r="1079" spans="1:41">
      <c r="A1079" t="s">
        <v>1231</v>
      </c>
      <c r="B1079">
        <v>2020</v>
      </c>
      <c r="C1079" s="1">
        <v>44059</v>
      </c>
      <c r="D1079" t="s">
        <v>110</v>
      </c>
      <c r="E1079" t="s">
        <v>236</v>
      </c>
      <c r="F1079">
        <v>80</v>
      </c>
      <c r="G1079" t="s">
        <v>44</v>
      </c>
      <c r="H1079" t="s">
        <v>70</v>
      </c>
      <c r="I1079">
        <v>0</v>
      </c>
      <c r="J1079">
        <v>0</v>
      </c>
      <c r="K1079" t="s">
        <v>46</v>
      </c>
      <c r="L1079" t="s">
        <v>47</v>
      </c>
      <c r="M1079" t="s">
        <v>47</v>
      </c>
      <c r="N1079" t="s">
        <v>50</v>
      </c>
      <c r="O1079" t="s">
        <v>48</v>
      </c>
      <c r="P1079">
        <v>21.7</v>
      </c>
      <c r="Q1079" t="s">
        <v>50</v>
      </c>
      <c r="R1079" t="s">
        <v>47</v>
      </c>
      <c r="S1079" t="s">
        <v>47</v>
      </c>
      <c r="T1079" t="s">
        <v>46</v>
      </c>
      <c r="U1079" t="s">
        <v>47</v>
      </c>
      <c r="V1079" t="s">
        <v>51</v>
      </c>
      <c r="W1079" t="s">
        <v>46</v>
      </c>
      <c r="X1079" t="s">
        <v>47</v>
      </c>
      <c r="Y1079" t="s">
        <v>47</v>
      </c>
      <c r="Z1079" t="s">
        <v>47</v>
      </c>
      <c r="AA1079" t="s">
        <v>46</v>
      </c>
      <c r="AB1079" t="s">
        <v>47</v>
      </c>
      <c r="AC1079" t="s">
        <v>46</v>
      </c>
      <c r="AD1079" t="s">
        <v>46</v>
      </c>
      <c r="AE1079" t="s">
        <v>47</v>
      </c>
      <c r="AF1079" t="s">
        <v>47</v>
      </c>
      <c r="AG1079" t="s">
        <v>52</v>
      </c>
      <c r="AH1079" t="s">
        <v>71</v>
      </c>
      <c r="AI1079" t="s">
        <v>65</v>
      </c>
      <c r="AJ1079">
        <v>2.2999999999999998</v>
      </c>
      <c r="AK1079" t="s">
        <v>47</v>
      </c>
      <c r="AL1079" t="s">
        <v>72</v>
      </c>
      <c r="AM1079" t="s">
        <v>73</v>
      </c>
      <c r="AN1079">
        <v>82</v>
      </c>
      <c r="AO1079" t="s">
        <v>46</v>
      </c>
    </row>
    <row r="1080" spans="1:41">
      <c r="A1080" t="s">
        <v>1232</v>
      </c>
      <c r="B1080">
        <v>2020</v>
      </c>
      <c r="C1080" s="1">
        <v>44000</v>
      </c>
      <c r="D1080" t="s">
        <v>58</v>
      </c>
      <c r="E1080" t="s">
        <v>229</v>
      </c>
      <c r="F1080">
        <v>43</v>
      </c>
      <c r="G1080" t="s">
        <v>60</v>
      </c>
      <c r="H1080" t="s">
        <v>70</v>
      </c>
      <c r="I1080">
        <v>0</v>
      </c>
      <c r="J1080">
        <v>0</v>
      </c>
      <c r="K1080" t="s">
        <v>46</v>
      </c>
      <c r="L1080" t="s">
        <v>47</v>
      </c>
      <c r="M1080" t="s">
        <v>47</v>
      </c>
      <c r="N1080" t="s">
        <v>48</v>
      </c>
      <c r="O1080" t="s">
        <v>48</v>
      </c>
      <c r="P1080">
        <v>25.6</v>
      </c>
      <c r="Q1080" t="s">
        <v>50</v>
      </c>
      <c r="R1080" t="s">
        <v>46</v>
      </c>
      <c r="S1080" t="s">
        <v>47</v>
      </c>
      <c r="T1080" t="s">
        <v>46</v>
      </c>
      <c r="U1080" t="s">
        <v>47</v>
      </c>
      <c r="V1080" t="s">
        <v>86</v>
      </c>
      <c r="W1080" t="s">
        <v>47</v>
      </c>
      <c r="X1080" t="s">
        <v>47</v>
      </c>
      <c r="Y1080" t="s">
        <v>47</v>
      </c>
      <c r="Z1080" t="s">
        <v>47</v>
      </c>
      <c r="AA1080" t="s">
        <v>46</v>
      </c>
      <c r="AB1080" t="s">
        <v>46</v>
      </c>
      <c r="AC1080" t="s">
        <v>46</v>
      </c>
      <c r="AD1080" t="s">
        <v>46</v>
      </c>
      <c r="AE1080" t="s">
        <v>47</v>
      </c>
      <c r="AF1080" t="s">
        <v>46</v>
      </c>
      <c r="AG1080" t="s">
        <v>52</v>
      </c>
      <c r="AH1080" t="s">
        <v>90</v>
      </c>
      <c r="AI1080" t="s">
        <v>65</v>
      </c>
      <c r="AJ1080">
        <v>2.1</v>
      </c>
      <c r="AK1080" t="s">
        <v>47</v>
      </c>
      <c r="AL1080" t="s">
        <v>81</v>
      </c>
      <c r="AM1080" t="s">
        <v>118</v>
      </c>
      <c r="AN1080">
        <v>63</v>
      </c>
      <c r="AO1080" t="s">
        <v>46</v>
      </c>
    </row>
    <row r="1081" spans="1:41">
      <c r="A1081" t="s">
        <v>1233</v>
      </c>
      <c r="B1081">
        <v>2017</v>
      </c>
      <c r="C1081" s="1">
        <v>42922</v>
      </c>
      <c r="D1081" t="s">
        <v>58</v>
      </c>
      <c r="E1081" t="s">
        <v>163</v>
      </c>
      <c r="F1081">
        <v>57</v>
      </c>
      <c r="G1081" t="s">
        <v>60</v>
      </c>
      <c r="H1081" t="s">
        <v>45</v>
      </c>
      <c r="I1081">
        <v>31</v>
      </c>
      <c r="J1081">
        <v>20</v>
      </c>
      <c r="K1081" t="s">
        <v>46</v>
      </c>
      <c r="L1081" t="s">
        <v>47</v>
      </c>
      <c r="M1081" t="s">
        <v>47</v>
      </c>
      <c r="N1081" t="s">
        <v>48</v>
      </c>
      <c r="O1081" t="s">
        <v>48</v>
      </c>
      <c r="P1081">
        <v>27.6</v>
      </c>
      <c r="Q1081" t="s">
        <v>50</v>
      </c>
      <c r="R1081" t="s">
        <v>47</v>
      </c>
      <c r="S1081" t="s">
        <v>47</v>
      </c>
      <c r="T1081" t="s">
        <v>47</v>
      </c>
      <c r="U1081" t="s">
        <v>47</v>
      </c>
      <c r="V1081" t="s">
        <v>151</v>
      </c>
      <c r="W1081" t="s">
        <v>46</v>
      </c>
      <c r="X1081" t="s">
        <v>46</v>
      </c>
      <c r="Y1081" t="s">
        <v>46</v>
      </c>
      <c r="Z1081" t="s">
        <v>47</v>
      </c>
      <c r="AA1081" t="s">
        <v>46</v>
      </c>
      <c r="AB1081" t="s">
        <v>47</v>
      </c>
      <c r="AC1081" t="s">
        <v>47</v>
      </c>
      <c r="AD1081" t="s">
        <v>47</v>
      </c>
      <c r="AE1081" t="s">
        <v>47</v>
      </c>
      <c r="AF1081" t="s">
        <v>47</v>
      </c>
      <c r="AG1081" t="s">
        <v>52</v>
      </c>
      <c r="AH1081" t="s">
        <v>53</v>
      </c>
      <c r="AI1081" t="s">
        <v>80</v>
      </c>
      <c r="AJ1081">
        <v>5.6</v>
      </c>
      <c r="AK1081" t="s">
        <v>47</v>
      </c>
      <c r="AL1081" t="s">
        <v>156</v>
      </c>
      <c r="AM1081" t="s">
        <v>56</v>
      </c>
      <c r="AN1081">
        <v>8</v>
      </c>
      <c r="AO1081" t="s">
        <v>47</v>
      </c>
    </row>
    <row r="1082" spans="1:41">
      <c r="A1082" t="s">
        <v>1234</v>
      </c>
      <c r="B1082">
        <v>2020</v>
      </c>
      <c r="C1082" s="1">
        <v>44148</v>
      </c>
      <c r="D1082" t="s">
        <v>42</v>
      </c>
      <c r="E1082" t="s">
        <v>69</v>
      </c>
      <c r="F1082">
        <v>64</v>
      </c>
      <c r="G1082" t="s">
        <v>44</v>
      </c>
      <c r="H1082" t="s">
        <v>70</v>
      </c>
      <c r="I1082">
        <v>0</v>
      </c>
      <c r="J1082">
        <v>0</v>
      </c>
      <c r="K1082" t="s">
        <v>47</v>
      </c>
      <c r="L1082" t="s">
        <v>47</v>
      </c>
      <c r="M1082" t="s">
        <v>46</v>
      </c>
      <c r="N1082" t="s">
        <v>62</v>
      </c>
      <c r="O1082" t="s">
        <v>49</v>
      </c>
      <c r="P1082">
        <v>27.4</v>
      </c>
      <c r="Q1082" t="s">
        <v>50</v>
      </c>
      <c r="R1082" t="s">
        <v>47</v>
      </c>
      <c r="S1082" t="s">
        <v>47</v>
      </c>
      <c r="T1082" t="s">
        <v>47</v>
      </c>
      <c r="U1082" t="s">
        <v>47</v>
      </c>
      <c r="V1082" t="s">
        <v>51</v>
      </c>
      <c r="W1082" t="s">
        <v>46</v>
      </c>
      <c r="X1082" t="s">
        <v>47</v>
      </c>
      <c r="Y1082" t="s">
        <v>46</v>
      </c>
      <c r="Z1082" t="s">
        <v>46</v>
      </c>
      <c r="AA1082" t="s">
        <v>46</v>
      </c>
      <c r="AB1082" t="s">
        <v>47</v>
      </c>
      <c r="AC1082" t="s">
        <v>46</v>
      </c>
      <c r="AD1082" t="s">
        <v>47</v>
      </c>
      <c r="AE1082" t="s">
        <v>47</v>
      </c>
      <c r="AF1082" t="s">
        <v>47</v>
      </c>
      <c r="AG1082" t="s">
        <v>52</v>
      </c>
      <c r="AH1082" t="s">
        <v>53</v>
      </c>
      <c r="AI1082" t="s">
        <v>54</v>
      </c>
      <c r="AJ1082">
        <v>8.6</v>
      </c>
      <c r="AK1082" t="s">
        <v>46</v>
      </c>
      <c r="AL1082" t="s">
        <v>66</v>
      </c>
      <c r="AM1082" t="s">
        <v>265</v>
      </c>
      <c r="AN1082">
        <v>7</v>
      </c>
      <c r="AO1082" t="s">
        <v>47</v>
      </c>
    </row>
    <row r="1083" spans="1:41">
      <c r="A1083" t="s">
        <v>1235</v>
      </c>
      <c r="B1083">
        <v>2018</v>
      </c>
      <c r="C1083" s="1">
        <v>43383</v>
      </c>
      <c r="D1083" t="s">
        <v>42</v>
      </c>
      <c r="E1083" t="s">
        <v>160</v>
      </c>
      <c r="F1083">
        <v>56</v>
      </c>
      <c r="G1083" t="s">
        <v>60</v>
      </c>
      <c r="H1083" t="s">
        <v>45</v>
      </c>
      <c r="I1083">
        <v>35</v>
      </c>
      <c r="J1083">
        <v>26</v>
      </c>
      <c r="K1083" t="s">
        <v>46</v>
      </c>
      <c r="L1083" t="s">
        <v>46</v>
      </c>
      <c r="M1083" t="s">
        <v>47</v>
      </c>
      <c r="N1083" t="s">
        <v>48</v>
      </c>
      <c r="O1083" t="s">
        <v>48</v>
      </c>
      <c r="P1083">
        <v>22.8</v>
      </c>
      <c r="Q1083" t="s">
        <v>50</v>
      </c>
      <c r="R1083" t="s">
        <v>46</v>
      </c>
      <c r="S1083" t="s">
        <v>47</v>
      </c>
      <c r="T1083" t="s">
        <v>47</v>
      </c>
      <c r="U1083" t="s">
        <v>47</v>
      </c>
      <c r="V1083" t="s">
        <v>51</v>
      </c>
      <c r="W1083" t="s">
        <v>46</v>
      </c>
      <c r="X1083" t="s">
        <v>47</v>
      </c>
      <c r="Y1083" t="s">
        <v>46</v>
      </c>
      <c r="Z1083" t="s">
        <v>47</v>
      </c>
      <c r="AA1083" t="s">
        <v>46</v>
      </c>
      <c r="AB1083" t="s">
        <v>46</v>
      </c>
      <c r="AC1083" t="s">
        <v>46</v>
      </c>
      <c r="AD1083" t="s">
        <v>47</v>
      </c>
      <c r="AE1083" t="s">
        <v>46</v>
      </c>
      <c r="AF1083" t="s">
        <v>47</v>
      </c>
      <c r="AG1083" t="s">
        <v>52</v>
      </c>
      <c r="AH1083" t="s">
        <v>53</v>
      </c>
      <c r="AI1083" t="s">
        <v>87</v>
      </c>
      <c r="AJ1083">
        <v>2.2000000000000002</v>
      </c>
      <c r="AK1083" t="s">
        <v>47</v>
      </c>
      <c r="AL1083" t="s">
        <v>76</v>
      </c>
      <c r="AM1083" t="s">
        <v>67</v>
      </c>
      <c r="AN1083">
        <v>35</v>
      </c>
      <c r="AO1083" t="s">
        <v>46</v>
      </c>
    </row>
    <row r="1084" spans="1:41">
      <c r="A1084" t="s">
        <v>1236</v>
      </c>
      <c r="B1084">
        <v>2020</v>
      </c>
      <c r="C1084" s="1">
        <v>44168</v>
      </c>
      <c r="D1084" t="s">
        <v>110</v>
      </c>
      <c r="E1084" t="s">
        <v>227</v>
      </c>
      <c r="F1084">
        <v>61</v>
      </c>
      <c r="G1084" t="s">
        <v>44</v>
      </c>
      <c r="H1084" t="s">
        <v>70</v>
      </c>
      <c r="I1084">
        <v>0</v>
      </c>
      <c r="J1084">
        <v>0</v>
      </c>
      <c r="K1084" t="s">
        <v>47</v>
      </c>
      <c r="L1084" t="s">
        <v>47</v>
      </c>
      <c r="M1084" t="s">
        <v>47</v>
      </c>
      <c r="N1084" t="s">
        <v>62</v>
      </c>
      <c r="O1084" t="s">
        <v>49</v>
      </c>
      <c r="P1084">
        <v>25.5</v>
      </c>
      <c r="Q1084" t="s">
        <v>48</v>
      </c>
      <c r="R1084" t="s">
        <v>47</v>
      </c>
      <c r="S1084" t="s">
        <v>47</v>
      </c>
      <c r="T1084" t="s">
        <v>47</v>
      </c>
      <c r="U1084" t="s">
        <v>47</v>
      </c>
      <c r="V1084" t="s">
        <v>171</v>
      </c>
      <c r="W1084" t="s">
        <v>46</v>
      </c>
      <c r="X1084" t="s">
        <v>47</v>
      </c>
      <c r="Y1084" t="s">
        <v>46</v>
      </c>
      <c r="Z1084" t="s">
        <v>47</v>
      </c>
      <c r="AA1084" t="s">
        <v>47</v>
      </c>
      <c r="AB1084" t="s">
        <v>47</v>
      </c>
      <c r="AC1084" t="s">
        <v>47</v>
      </c>
      <c r="AD1084" t="s">
        <v>47</v>
      </c>
      <c r="AE1084" t="s">
        <v>46</v>
      </c>
      <c r="AF1084" t="s">
        <v>47</v>
      </c>
      <c r="AG1084" t="s">
        <v>52</v>
      </c>
      <c r="AH1084" t="s">
        <v>53</v>
      </c>
      <c r="AI1084" t="s">
        <v>87</v>
      </c>
      <c r="AJ1084">
        <v>3.9</v>
      </c>
      <c r="AK1084" t="s">
        <v>47</v>
      </c>
      <c r="AL1084" t="s">
        <v>66</v>
      </c>
      <c r="AM1084" t="s">
        <v>67</v>
      </c>
      <c r="AN1084">
        <v>30</v>
      </c>
      <c r="AO1084" t="s">
        <v>46</v>
      </c>
    </row>
    <row r="1085" spans="1:41">
      <c r="A1085" t="s">
        <v>1237</v>
      </c>
      <c r="B1085">
        <v>2022</v>
      </c>
      <c r="C1085" s="1">
        <v>44686</v>
      </c>
      <c r="D1085" t="s">
        <v>58</v>
      </c>
      <c r="E1085" t="s">
        <v>229</v>
      </c>
      <c r="F1085">
        <v>64</v>
      </c>
      <c r="G1085" t="s">
        <v>44</v>
      </c>
      <c r="H1085" t="s">
        <v>70</v>
      </c>
      <c r="I1085">
        <v>0</v>
      </c>
      <c r="J1085">
        <v>0</v>
      </c>
      <c r="K1085" t="s">
        <v>46</v>
      </c>
      <c r="L1085" t="s">
        <v>47</v>
      </c>
      <c r="M1085" t="s">
        <v>47</v>
      </c>
      <c r="N1085" t="s">
        <v>50</v>
      </c>
      <c r="O1085" t="s">
        <v>49</v>
      </c>
      <c r="P1085">
        <v>25.7</v>
      </c>
      <c r="Q1085" t="s">
        <v>50</v>
      </c>
      <c r="R1085" t="s">
        <v>47</v>
      </c>
      <c r="S1085" t="s">
        <v>46</v>
      </c>
      <c r="T1085" t="s">
        <v>47</v>
      </c>
      <c r="U1085" t="s">
        <v>47</v>
      </c>
      <c r="V1085" t="s">
        <v>51</v>
      </c>
      <c r="W1085" t="s">
        <v>46</v>
      </c>
      <c r="X1085" t="s">
        <v>47</v>
      </c>
      <c r="Y1085" t="s">
        <v>47</v>
      </c>
      <c r="Z1085" t="s">
        <v>47</v>
      </c>
      <c r="AA1085" t="s">
        <v>47</v>
      </c>
      <c r="AB1085" t="s">
        <v>47</v>
      </c>
      <c r="AC1085" t="s">
        <v>47</v>
      </c>
      <c r="AD1085" t="s">
        <v>46</v>
      </c>
      <c r="AE1085" t="s">
        <v>47</v>
      </c>
      <c r="AF1085" t="s">
        <v>46</v>
      </c>
      <c r="AG1085" t="s">
        <v>52</v>
      </c>
      <c r="AH1085" t="s">
        <v>53</v>
      </c>
      <c r="AI1085" t="s">
        <v>87</v>
      </c>
      <c r="AJ1085">
        <v>3.6</v>
      </c>
      <c r="AK1085" t="s">
        <v>47</v>
      </c>
      <c r="AL1085" t="s">
        <v>76</v>
      </c>
      <c r="AM1085" t="s">
        <v>103</v>
      </c>
      <c r="AN1085">
        <v>6</v>
      </c>
      <c r="AO1085" t="s">
        <v>47</v>
      </c>
    </row>
    <row r="1086" spans="1:41">
      <c r="A1086" t="s">
        <v>1238</v>
      </c>
      <c r="B1086">
        <v>2020</v>
      </c>
      <c r="C1086" s="1">
        <v>44191</v>
      </c>
      <c r="D1086" t="s">
        <v>95</v>
      </c>
      <c r="E1086" t="s">
        <v>105</v>
      </c>
      <c r="F1086">
        <v>57</v>
      </c>
      <c r="G1086" t="s">
        <v>60</v>
      </c>
      <c r="H1086" t="s">
        <v>45</v>
      </c>
      <c r="I1086">
        <v>15</v>
      </c>
      <c r="J1086">
        <v>29</v>
      </c>
      <c r="K1086" t="s">
        <v>47</v>
      </c>
      <c r="L1086" t="s">
        <v>47</v>
      </c>
      <c r="M1086" t="s">
        <v>47</v>
      </c>
      <c r="N1086" t="s">
        <v>48</v>
      </c>
      <c r="O1086" t="s">
        <v>48</v>
      </c>
      <c r="P1086">
        <v>24.5</v>
      </c>
      <c r="Q1086" t="s">
        <v>50</v>
      </c>
      <c r="R1086" t="s">
        <v>47</v>
      </c>
      <c r="S1086" t="s">
        <v>47</v>
      </c>
      <c r="T1086" t="s">
        <v>47</v>
      </c>
      <c r="U1086" t="s">
        <v>47</v>
      </c>
      <c r="V1086" t="s">
        <v>51</v>
      </c>
      <c r="W1086" t="s">
        <v>46</v>
      </c>
      <c r="X1086" t="s">
        <v>47</v>
      </c>
      <c r="Y1086" t="s">
        <v>47</v>
      </c>
      <c r="Z1086" t="s">
        <v>46</v>
      </c>
      <c r="AA1086" t="s">
        <v>46</v>
      </c>
      <c r="AB1086" t="s">
        <v>46</v>
      </c>
      <c r="AC1086" t="s">
        <v>46</v>
      </c>
      <c r="AD1086" t="s">
        <v>46</v>
      </c>
      <c r="AE1086" t="s">
        <v>47</v>
      </c>
      <c r="AF1086" t="s">
        <v>47</v>
      </c>
      <c r="AG1086" t="s">
        <v>52</v>
      </c>
      <c r="AH1086" t="s">
        <v>71</v>
      </c>
      <c r="AI1086" t="s">
        <v>54</v>
      </c>
      <c r="AJ1086">
        <v>5.6</v>
      </c>
      <c r="AK1086" t="s">
        <v>46</v>
      </c>
      <c r="AL1086" t="s">
        <v>76</v>
      </c>
      <c r="AM1086" t="s">
        <v>82</v>
      </c>
      <c r="AN1086">
        <v>3</v>
      </c>
      <c r="AO1086" t="s">
        <v>47</v>
      </c>
    </row>
    <row r="1087" spans="1:41">
      <c r="A1087" t="s">
        <v>1239</v>
      </c>
      <c r="B1087">
        <v>2025</v>
      </c>
      <c r="C1087" s="1">
        <v>46004</v>
      </c>
      <c r="D1087" t="s">
        <v>95</v>
      </c>
      <c r="E1087" t="s">
        <v>107</v>
      </c>
      <c r="F1087">
        <v>52</v>
      </c>
      <c r="G1087" t="s">
        <v>44</v>
      </c>
      <c r="H1087" t="s">
        <v>70</v>
      </c>
      <c r="I1087">
        <v>0</v>
      </c>
      <c r="J1087">
        <v>0</v>
      </c>
      <c r="K1087" t="s">
        <v>46</v>
      </c>
      <c r="L1087" t="s">
        <v>47</v>
      </c>
      <c r="M1087" t="s">
        <v>46</v>
      </c>
      <c r="N1087" t="s">
        <v>62</v>
      </c>
      <c r="O1087" t="s">
        <v>48</v>
      </c>
      <c r="P1087">
        <v>24.5</v>
      </c>
      <c r="Q1087" t="s">
        <v>50</v>
      </c>
      <c r="R1087" t="s">
        <v>47</v>
      </c>
      <c r="S1087" t="s">
        <v>47</v>
      </c>
      <c r="T1087" t="s">
        <v>46</v>
      </c>
      <c r="U1087" t="s">
        <v>47</v>
      </c>
      <c r="V1087" t="s">
        <v>51</v>
      </c>
      <c r="W1087" t="s">
        <v>46</v>
      </c>
      <c r="X1087" t="s">
        <v>46</v>
      </c>
      <c r="Y1087" t="s">
        <v>47</v>
      </c>
      <c r="Z1087" t="s">
        <v>47</v>
      </c>
      <c r="AA1087" t="s">
        <v>46</v>
      </c>
      <c r="AB1087" t="s">
        <v>47</v>
      </c>
      <c r="AC1087" t="s">
        <v>47</v>
      </c>
      <c r="AD1087" t="s">
        <v>47</v>
      </c>
      <c r="AE1087" t="s">
        <v>46</v>
      </c>
      <c r="AF1087" t="s">
        <v>47</v>
      </c>
      <c r="AG1087" t="s">
        <v>52</v>
      </c>
      <c r="AH1087" t="s">
        <v>53</v>
      </c>
      <c r="AI1087" t="s">
        <v>80</v>
      </c>
      <c r="AJ1087">
        <v>5.0999999999999996</v>
      </c>
      <c r="AK1087" t="s">
        <v>46</v>
      </c>
      <c r="AL1087" t="s">
        <v>81</v>
      </c>
      <c r="AM1087" t="s">
        <v>103</v>
      </c>
      <c r="AN1087">
        <v>8</v>
      </c>
      <c r="AO1087" t="s">
        <v>47</v>
      </c>
    </row>
    <row r="1088" spans="1:41">
      <c r="A1088" t="s">
        <v>1240</v>
      </c>
      <c r="B1088">
        <v>2017</v>
      </c>
      <c r="C1088" s="1">
        <v>42890</v>
      </c>
      <c r="D1088" t="s">
        <v>98</v>
      </c>
      <c r="E1088" t="s">
        <v>263</v>
      </c>
      <c r="F1088">
        <v>39</v>
      </c>
      <c r="G1088" t="s">
        <v>60</v>
      </c>
      <c r="H1088" t="s">
        <v>70</v>
      </c>
      <c r="I1088">
        <v>0</v>
      </c>
      <c r="J1088">
        <v>0</v>
      </c>
      <c r="K1088" t="s">
        <v>47</v>
      </c>
      <c r="L1088" t="s">
        <v>47</v>
      </c>
      <c r="M1088" t="s">
        <v>47</v>
      </c>
      <c r="N1088" t="s">
        <v>48</v>
      </c>
      <c r="O1088" t="s">
        <v>49</v>
      </c>
      <c r="P1088">
        <v>24.2</v>
      </c>
      <c r="Q1088" t="s">
        <v>50</v>
      </c>
      <c r="R1088" t="s">
        <v>47</v>
      </c>
      <c r="S1088" t="s">
        <v>47</v>
      </c>
      <c r="T1088" t="s">
        <v>47</v>
      </c>
      <c r="U1088" t="s">
        <v>47</v>
      </c>
      <c r="V1088" t="s">
        <v>151</v>
      </c>
      <c r="W1088" t="s">
        <v>46</v>
      </c>
      <c r="X1088" t="s">
        <v>47</v>
      </c>
      <c r="Y1088" t="s">
        <v>47</v>
      </c>
      <c r="Z1088" t="s">
        <v>46</v>
      </c>
      <c r="AA1088" t="s">
        <v>46</v>
      </c>
      <c r="AB1088" t="s">
        <v>47</v>
      </c>
      <c r="AC1088" t="s">
        <v>47</v>
      </c>
      <c r="AD1088" t="s">
        <v>46</v>
      </c>
      <c r="AE1088" t="s">
        <v>47</v>
      </c>
      <c r="AF1088" t="s">
        <v>47</v>
      </c>
      <c r="AG1088" t="s">
        <v>52</v>
      </c>
      <c r="AH1088" t="s">
        <v>53</v>
      </c>
      <c r="AI1088" t="s">
        <v>54</v>
      </c>
      <c r="AJ1088">
        <v>5.9</v>
      </c>
      <c r="AK1088" t="s">
        <v>46</v>
      </c>
      <c r="AL1088" t="s">
        <v>66</v>
      </c>
      <c r="AM1088" t="s">
        <v>118</v>
      </c>
      <c r="AN1088">
        <v>10</v>
      </c>
      <c r="AO1088" t="s">
        <v>47</v>
      </c>
    </row>
    <row r="1089" spans="1:41">
      <c r="A1089" t="s">
        <v>1241</v>
      </c>
      <c r="B1089">
        <v>2018</v>
      </c>
      <c r="C1089" s="1">
        <v>43110</v>
      </c>
      <c r="D1089" t="s">
        <v>110</v>
      </c>
      <c r="E1089" t="s">
        <v>225</v>
      </c>
      <c r="F1089">
        <v>50</v>
      </c>
      <c r="G1089" t="s">
        <v>44</v>
      </c>
      <c r="H1089" t="s">
        <v>70</v>
      </c>
      <c r="I1089">
        <v>0</v>
      </c>
      <c r="J1089">
        <v>0</v>
      </c>
      <c r="K1089" t="s">
        <v>47</v>
      </c>
      <c r="L1089" t="s">
        <v>46</v>
      </c>
      <c r="M1089" t="s">
        <v>47</v>
      </c>
      <c r="N1089" t="s">
        <v>62</v>
      </c>
      <c r="O1089" t="s">
        <v>48</v>
      </c>
      <c r="P1089">
        <v>23.9</v>
      </c>
      <c r="Q1089" t="s">
        <v>62</v>
      </c>
      <c r="R1089" t="s">
        <v>47</v>
      </c>
      <c r="S1089" t="s">
        <v>47</v>
      </c>
      <c r="T1089" t="s">
        <v>47</v>
      </c>
      <c r="U1089" t="s">
        <v>46</v>
      </c>
      <c r="V1089" t="s">
        <v>86</v>
      </c>
      <c r="W1089" t="s">
        <v>47</v>
      </c>
      <c r="X1089" t="s">
        <v>47</v>
      </c>
      <c r="Y1089" t="s">
        <v>46</v>
      </c>
      <c r="Z1089" t="s">
        <v>47</v>
      </c>
      <c r="AA1089" t="s">
        <v>47</v>
      </c>
      <c r="AB1089" t="s">
        <v>47</v>
      </c>
      <c r="AC1089" t="s">
        <v>46</v>
      </c>
      <c r="AD1089" t="s">
        <v>47</v>
      </c>
      <c r="AE1089" t="s">
        <v>47</v>
      </c>
      <c r="AF1089" t="s">
        <v>47</v>
      </c>
      <c r="AG1089" t="s">
        <v>52</v>
      </c>
      <c r="AH1089" t="s">
        <v>90</v>
      </c>
      <c r="AI1089" t="s">
        <v>65</v>
      </c>
      <c r="AJ1089">
        <v>2.1</v>
      </c>
      <c r="AK1089" t="s">
        <v>47</v>
      </c>
      <c r="AL1089" t="s">
        <v>76</v>
      </c>
      <c r="AM1089" t="s">
        <v>73</v>
      </c>
      <c r="AN1089">
        <v>80</v>
      </c>
      <c r="AO1089" t="s">
        <v>47</v>
      </c>
    </row>
    <row r="1090" spans="1:41">
      <c r="A1090" t="s">
        <v>1242</v>
      </c>
      <c r="B1090">
        <v>2024</v>
      </c>
      <c r="C1090" s="1">
        <v>45468</v>
      </c>
      <c r="D1090" t="s">
        <v>110</v>
      </c>
      <c r="E1090" t="s">
        <v>410</v>
      </c>
      <c r="F1090">
        <v>56</v>
      </c>
      <c r="G1090" t="s">
        <v>60</v>
      </c>
      <c r="H1090" t="s">
        <v>70</v>
      </c>
      <c r="I1090">
        <v>0</v>
      </c>
      <c r="J1090">
        <v>0</v>
      </c>
      <c r="K1090" t="s">
        <v>46</v>
      </c>
      <c r="L1090" t="s">
        <v>47</v>
      </c>
      <c r="M1090" t="s">
        <v>47</v>
      </c>
      <c r="N1090" t="s">
        <v>62</v>
      </c>
      <c r="O1090" t="s">
        <v>48</v>
      </c>
      <c r="P1090">
        <v>25.7</v>
      </c>
      <c r="Q1090" t="s">
        <v>62</v>
      </c>
      <c r="R1090" t="s">
        <v>47</v>
      </c>
      <c r="S1090" t="s">
        <v>47</v>
      </c>
      <c r="T1090" t="s">
        <v>47</v>
      </c>
      <c r="U1090" t="s">
        <v>47</v>
      </c>
      <c r="V1090" t="s">
        <v>86</v>
      </c>
      <c r="W1090" t="s">
        <v>47</v>
      </c>
      <c r="X1090" t="s">
        <v>46</v>
      </c>
      <c r="Y1090" t="s">
        <v>46</v>
      </c>
      <c r="Z1090" t="s">
        <v>47</v>
      </c>
      <c r="AA1090" t="s">
        <v>47</v>
      </c>
      <c r="AB1090" t="s">
        <v>46</v>
      </c>
      <c r="AC1090" t="s">
        <v>47</v>
      </c>
      <c r="AD1090" t="s">
        <v>47</v>
      </c>
      <c r="AE1090" t="s">
        <v>47</v>
      </c>
      <c r="AF1090" t="s">
        <v>47</v>
      </c>
      <c r="AG1090" t="s">
        <v>52</v>
      </c>
      <c r="AH1090" t="s">
        <v>71</v>
      </c>
      <c r="AI1090" t="s">
        <v>80</v>
      </c>
      <c r="AJ1090">
        <v>5.5</v>
      </c>
      <c r="AK1090" t="s">
        <v>46</v>
      </c>
      <c r="AL1090" t="s">
        <v>66</v>
      </c>
      <c r="AM1090" t="s">
        <v>56</v>
      </c>
      <c r="AN1090">
        <v>19</v>
      </c>
      <c r="AO1090" t="s">
        <v>47</v>
      </c>
    </row>
    <row r="1091" spans="1:41">
      <c r="A1091" t="s">
        <v>1243</v>
      </c>
      <c r="B1091">
        <v>2024</v>
      </c>
      <c r="C1091" s="1">
        <v>45327</v>
      </c>
      <c r="D1091" t="s">
        <v>58</v>
      </c>
      <c r="E1091" t="s">
        <v>169</v>
      </c>
      <c r="F1091">
        <v>65</v>
      </c>
      <c r="G1091" t="s">
        <v>60</v>
      </c>
      <c r="H1091" t="s">
        <v>70</v>
      </c>
      <c r="I1091">
        <v>0</v>
      </c>
      <c r="J1091">
        <v>0</v>
      </c>
      <c r="K1091" t="s">
        <v>47</v>
      </c>
      <c r="L1091" t="s">
        <v>46</v>
      </c>
      <c r="M1091" t="s">
        <v>47</v>
      </c>
      <c r="N1091" t="s">
        <v>50</v>
      </c>
      <c r="O1091" t="s">
        <v>48</v>
      </c>
      <c r="P1091">
        <v>23.3</v>
      </c>
      <c r="Q1091" t="s">
        <v>48</v>
      </c>
      <c r="R1091" t="s">
        <v>47</v>
      </c>
      <c r="S1091" t="s">
        <v>47</v>
      </c>
      <c r="T1091" t="s">
        <v>47</v>
      </c>
      <c r="U1091" t="s">
        <v>47</v>
      </c>
      <c r="V1091" t="s">
        <v>86</v>
      </c>
      <c r="W1091" t="s">
        <v>47</v>
      </c>
      <c r="X1091" t="s">
        <v>47</v>
      </c>
      <c r="Y1091" t="s">
        <v>47</v>
      </c>
      <c r="Z1091" t="s">
        <v>47</v>
      </c>
      <c r="AA1091" t="s">
        <v>47</v>
      </c>
      <c r="AB1091" t="s">
        <v>47</v>
      </c>
      <c r="AC1091" t="s">
        <v>47</v>
      </c>
      <c r="AD1091" t="s">
        <v>47</v>
      </c>
      <c r="AE1091" t="s">
        <v>47</v>
      </c>
      <c r="AF1091" t="s">
        <v>47</v>
      </c>
      <c r="AG1091" t="s">
        <v>52</v>
      </c>
      <c r="AH1091" t="s">
        <v>53</v>
      </c>
      <c r="AI1091" t="s">
        <v>80</v>
      </c>
      <c r="AJ1091">
        <v>3.8</v>
      </c>
      <c r="AK1091" t="s">
        <v>46</v>
      </c>
      <c r="AL1091" t="s">
        <v>76</v>
      </c>
      <c r="AM1091" t="s">
        <v>82</v>
      </c>
      <c r="AN1091">
        <v>23</v>
      </c>
      <c r="AO1091" t="s">
        <v>47</v>
      </c>
    </row>
    <row r="1092" spans="1:41">
      <c r="A1092" t="s">
        <v>1244</v>
      </c>
      <c r="B1092">
        <v>2025</v>
      </c>
      <c r="C1092" s="1">
        <v>45730</v>
      </c>
      <c r="D1092" t="s">
        <v>42</v>
      </c>
      <c r="E1092" t="s">
        <v>210</v>
      </c>
      <c r="F1092">
        <v>48</v>
      </c>
      <c r="G1092" t="s">
        <v>60</v>
      </c>
      <c r="H1092" t="s">
        <v>70</v>
      </c>
      <c r="I1092">
        <v>0</v>
      </c>
      <c r="J1092">
        <v>0</v>
      </c>
      <c r="K1092" t="s">
        <v>46</v>
      </c>
      <c r="L1092" t="s">
        <v>47</v>
      </c>
      <c r="M1092" t="s">
        <v>47</v>
      </c>
      <c r="N1092" t="s">
        <v>48</v>
      </c>
      <c r="O1092" t="s">
        <v>48</v>
      </c>
      <c r="P1092">
        <v>21.5</v>
      </c>
      <c r="Q1092" t="s">
        <v>48</v>
      </c>
      <c r="R1092" t="s">
        <v>47</v>
      </c>
      <c r="S1092" t="s">
        <v>47</v>
      </c>
      <c r="T1092" t="s">
        <v>47</v>
      </c>
      <c r="U1092" t="s">
        <v>46</v>
      </c>
      <c r="V1092" t="s">
        <v>86</v>
      </c>
      <c r="W1092" t="s">
        <v>47</v>
      </c>
      <c r="X1092" t="s">
        <v>46</v>
      </c>
      <c r="Y1092" t="s">
        <v>46</v>
      </c>
      <c r="Z1092" t="s">
        <v>47</v>
      </c>
      <c r="AA1092" t="s">
        <v>46</v>
      </c>
      <c r="AB1092" t="s">
        <v>46</v>
      </c>
      <c r="AC1092" t="s">
        <v>47</v>
      </c>
      <c r="AD1092" t="s">
        <v>47</v>
      </c>
      <c r="AE1092" t="s">
        <v>46</v>
      </c>
      <c r="AF1092" t="s">
        <v>47</v>
      </c>
      <c r="AG1092" t="s">
        <v>52</v>
      </c>
      <c r="AH1092" t="s">
        <v>53</v>
      </c>
      <c r="AI1092" t="s">
        <v>80</v>
      </c>
      <c r="AJ1092">
        <v>7</v>
      </c>
      <c r="AK1092" t="s">
        <v>47</v>
      </c>
      <c r="AL1092" t="s">
        <v>100</v>
      </c>
      <c r="AM1092" t="s">
        <v>56</v>
      </c>
      <c r="AN1092">
        <v>17</v>
      </c>
      <c r="AO1092" t="s">
        <v>47</v>
      </c>
    </row>
    <row r="1093" spans="1:41">
      <c r="A1093" t="s">
        <v>1245</v>
      </c>
      <c r="B1093">
        <v>2025</v>
      </c>
      <c r="C1093" s="1">
        <v>45918</v>
      </c>
      <c r="D1093" t="s">
        <v>42</v>
      </c>
      <c r="E1093" t="s">
        <v>75</v>
      </c>
      <c r="F1093">
        <v>59</v>
      </c>
      <c r="G1093" t="s">
        <v>60</v>
      </c>
      <c r="H1093" t="s">
        <v>45</v>
      </c>
      <c r="I1093">
        <v>14</v>
      </c>
      <c r="J1093">
        <v>24</v>
      </c>
      <c r="K1093" t="s">
        <v>47</v>
      </c>
      <c r="L1093" t="s">
        <v>47</v>
      </c>
      <c r="M1093" t="s">
        <v>47</v>
      </c>
      <c r="N1093" t="s">
        <v>48</v>
      </c>
      <c r="O1093" t="s">
        <v>49</v>
      </c>
      <c r="P1093">
        <v>25</v>
      </c>
      <c r="Q1093" t="s">
        <v>48</v>
      </c>
      <c r="R1093" t="s">
        <v>47</v>
      </c>
      <c r="S1093" t="s">
        <v>47</v>
      </c>
      <c r="T1093" t="s">
        <v>47</v>
      </c>
      <c r="U1093" t="s">
        <v>47</v>
      </c>
      <c r="V1093" t="s">
        <v>112</v>
      </c>
      <c r="W1093" t="s">
        <v>46</v>
      </c>
      <c r="X1093" t="s">
        <v>46</v>
      </c>
      <c r="Y1093" t="s">
        <v>47</v>
      </c>
      <c r="Z1093" t="s">
        <v>46</v>
      </c>
      <c r="AA1093" t="s">
        <v>47</v>
      </c>
      <c r="AB1093" t="s">
        <v>46</v>
      </c>
      <c r="AC1093" t="s">
        <v>47</v>
      </c>
      <c r="AD1093" t="s">
        <v>47</v>
      </c>
      <c r="AE1093" t="s">
        <v>47</v>
      </c>
      <c r="AF1093" t="s">
        <v>47</v>
      </c>
      <c r="AG1093" t="s">
        <v>52</v>
      </c>
      <c r="AH1093" t="s">
        <v>90</v>
      </c>
      <c r="AI1093" t="s">
        <v>65</v>
      </c>
      <c r="AJ1093">
        <v>1.6</v>
      </c>
      <c r="AK1093" t="s">
        <v>47</v>
      </c>
      <c r="AL1093" t="s">
        <v>156</v>
      </c>
      <c r="AM1093" t="s">
        <v>103</v>
      </c>
      <c r="AN1093">
        <v>36</v>
      </c>
      <c r="AO1093" t="s">
        <v>46</v>
      </c>
    </row>
    <row r="1094" spans="1:41">
      <c r="A1094" t="s">
        <v>1246</v>
      </c>
      <c r="B1094">
        <v>2016</v>
      </c>
      <c r="C1094" s="1">
        <v>42555</v>
      </c>
      <c r="D1094" t="s">
        <v>95</v>
      </c>
      <c r="E1094" t="s">
        <v>114</v>
      </c>
      <c r="F1094">
        <v>63</v>
      </c>
      <c r="G1094" t="s">
        <v>60</v>
      </c>
      <c r="H1094" t="s">
        <v>70</v>
      </c>
      <c r="I1094">
        <v>0</v>
      </c>
      <c r="J1094">
        <v>0</v>
      </c>
      <c r="K1094" t="s">
        <v>47</v>
      </c>
      <c r="L1094" t="s">
        <v>47</v>
      </c>
      <c r="M1094" t="s">
        <v>47</v>
      </c>
      <c r="N1094" t="s">
        <v>48</v>
      </c>
      <c r="O1094" t="s">
        <v>48</v>
      </c>
      <c r="P1094">
        <v>19.5</v>
      </c>
      <c r="Q1094" t="s">
        <v>62</v>
      </c>
      <c r="R1094" t="s">
        <v>47</v>
      </c>
      <c r="S1094" t="s">
        <v>47</v>
      </c>
      <c r="T1094" t="s">
        <v>47</v>
      </c>
      <c r="U1094" t="s">
        <v>47</v>
      </c>
      <c r="V1094" t="s">
        <v>86</v>
      </c>
      <c r="W1094" t="s">
        <v>46</v>
      </c>
      <c r="X1094" t="s">
        <v>47</v>
      </c>
      <c r="Y1094" t="s">
        <v>47</v>
      </c>
      <c r="Z1094" t="s">
        <v>47</v>
      </c>
      <c r="AA1094" t="s">
        <v>47</v>
      </c>
      <c r="AB1094" t="s">
        <v>47</v>
      </c>
      <c r="AC1094" t="s">
        <v>46</v>
      </c>
      <c r="AD1094" t="s">
        <v>47</v>
      </c>
      <c r="AE1094" t="s">
        <v>47</v>
      </c>
      <c r="AF1094" t="s">
        <v>47</v>
      </c>
      <c r="AG1094" t="s">
        <v>52</v>
      </c>
      <c r="AH1094" t="s">
        <v>53</v>
      </c>
      <c r="AI1094" t="s">
        <v>65</v>
      </c>
      <c r="AJ1094">
        <v>1.8</v>
      </c>
      <c r="AK1094" t="s">
        <v>47</v>
      </c>
      <c r="AL1094" t="s">
        <v>72</v>
      </c>
      <c r="AM1094" t="s">
        <v>73</v>
      </c>
      <c r="AN1094">
        <v>78</v>
      </c>
      <c r="AO1094" t="s">
        <v>46</v>
      </c>
    </row>
    <row r="1095" spans="1:41">
      <c r="A1095" t="s">
        <v>1247</v>
      </c>
      <c r="B1095">
        <v>2017</v>
      </c>
      <c r="C1095" s="1">
        <v>42778</v>
      </c>
      <c r="D1095" t="s">
        <v>110</v>
      </c>
      <c r="E1095" t="s">
        <v>116</v>
      </c>
      <c r="F1095">
        <v>56</v>
      </c>
      <c r="G1095" t="s">
        <v>60</v>
      </c>
      <c r="H1095" t="s">
        <v>70</v>
      </c>
      <c r="I1095">
        <v>0</v>
      </c>
      <c r="J1095">
        <v>0</v>
      </c>
      <c r="K1095" t="s">
        <v>47</v>
      </c>
      <c r="L1095" t="s">
        <v>47</v>
      </c>
      <c r="M1095" t="s">
        <v>46</v>
      </c>
      <c r="N1095" t="s">
        <v>48</v>
      </c>
      <c r="O1095" t="s">
        <v>48</v>
      </c>
      <c r="P1095">
        <v>26.5</v>
      </c>
      <c r="Q1095" t="s">
        <v>62</v>
      </c>
      <c r="R1095" t="s">
        <v>47</v>
      </c>
      <c r="S1095" t="s">
        <v>47</v>
      </c>
      <c r="T1095" t="s">
        <v>47</v>
      </c>
      <c r="U1095" t="s">
        <v>47</v>
      </c>
      <c r="V1095" t="s">
        <v>51</v>
      </c>
      <c r="W1095" t="s">
        <v>46</v>
      </c>
      <c r="X1095" t="s">
        <v>47</v>
      </c>
      <c r="Y1095" t="s">
        <v>47</v>
      </c>
      <c r="Z1095" t="s">
        <v>47</v>
      </c>
      <c r="AA1095" t="s">
        <v>46</v>
      </c>
      <c r="AB1095" t="s">
        <v>47</v>
      </c>
      <c r="AC1095" t="s">
        <v>47</v>
      </c>
      <c r="AD1095" t="s">
        <v>47</v>
      </c>
      <c r="AE1095" t="s">
        <v>47</v>
      </c>
      <c r="AF1095" t="s">
        <v>47</v>
      </c>
      <c r="AG1095" t="s">
        <v>52</v>
      </c>
      <c r="AH1095" t="s">
        <v>90</v>
      </c>
      <c r="AI1095" t="s">
        <v>65</v>
      </c>
      <c r="AJ1095">
        <v>1.8</v>
      </c>
      <c r="AK1095" t="s">
        <v>47</v>
      </c>
      <c r="AL1095" t="s">
        <v>81</v>
      </c>
      <c r="AM1095" t="s">
        <v>73</v>
      </c>
      <c r="AN1095">
        <v>41</v>
      </c>
      <c r="AO1095" t="s">
        <v>46</v>
      </c>
    </row>
    <row r="1096" spans="1:41">
      <c r="A1096" t="s">
        <v>1248</v>
      </c>
      <c r="B1096">
        <v>2016</v>
      </c>
      <c r="C1096" s="1">
        <v>42420</v>
      </c>
      <c r="D1096" t="s">
        <v>42</v>
      </c>
      <c r="E1096" t="s">
        <v>154</v>
      </c>
      <c r="F1096">
        <v>48</v>
      </c>
      <c r="G1096" t="s">
        <v>44</v>
      </c>
      <c r="H1096" t="s">
        <v>70</v>
      </c>
      <c r="I1096">
        <v>0</v>
      </c>
      <c r="J1096">
        <v>0</v>
      </c>
      <c r="K1096" t="s">
        <v>46</v>
      </c>
      <c r="L1096" t="s">
        <v>47</v>
      </c>
      <c r="M1096" t="s">
        <v>47</v>
      </c>
      <c r="N1096" t="s">
        <v>62</v>
      </c>
      <c r="O1096" t="s">
        <v>49</v>
      </c>
      <c r="P1096">
        <v>33.1</v>
      </c>
      <c r="Q1096" t="s">
        <v>50</v>
      </c>
      <c r="R1096" t="s">
        <v>46</v>
      </c>
      <c r="S1096" t="s">
        <v>47</v>
      </c>
      <c r="T1096" t="s">
        <v>47</v>
      </c>
      <c r="U1096" t="s">
        <v>47</v>
      </c>
      <c r="V1096" t="s">
        <v>86</v>
      </c>
      <c r="W1096" t="s">
        <v>47</v>
      </c>
      <c r="X1096" t="s">
        <v>46</v>
      </c>
      <c r="Y1096" t="s">
        <v>47</v>
      </c>
      <c r="Z1096" t="s">
        <v>47</v>
      </c>
      <c r="AA1096" t="s">
        <v>47</v>
      </c>
      <c r="AB1096" t="s">
        <v>47</v>
      </c>
      <c r="AC1096" t="s">
        <v>47</v>
      </c>
      <c r="AD1096" t="s">
        <v>47</v>
      </c>
      <c r="AE1096" t="s">
        <v>47</v>
      </c>
      <c r="AF1096" t="s">
        <v>47</v>
      </c>
      <c r="AG1096" t="s">
        <v>52</v>
      </c>
      <c r="AH1096" t="s">
        <v>90</v>
      </c>
      <c r="AI1096" t="s">
        <v>87</v>
      </c>
      <c r="AJ1096">
        <v>2.9</v>
      </c>
      <c r="AK1096" t="s">
        <v>47</v>
      </c>
      <c r="AL1096" t="s">
        <v>76</v>
      </c>
      <c r="AM1096" t="s">
        <v>82</v>
      </c>
      <c r="AN1096">
        <v>57</v>
      </c>
      <c r="AO1096" t="s">
        <v>47</v>
      </c>
    </row>
    <row r="1097" spans="1:41">
      <c r="A1097" t="s">
        <v>1249</v>
      </c>
      <c r="B1097">
        <v>2024</v>
      </c>
      <c r="C1097" s="1">
        <v>45471</v>
      </c>
      <c r="D1097" t="s">
        <v>42</v>
      </c>
      <c r="E1097" t="s">
        <v>79</v>
      </c>
      <c r="F1097">
        <v>74</v>
      </c>
      <c r="G1097" t="s">
        <v>44</v>
      </c>
      <c r="H1097" t="s">
        <v>70</v>
      </c>
      <c r="I1097">
        <v>0</v>
      </c>
      <c r="J1097">
        <v>0</v>
      </c>
      <c r="K1097" t="s">
        <v>46</v>
      </c>
      <c r="L1097" t="s">
        <v>47</v>
      </c>
      <c r="M1097" t="s">
        <v>47</v>
      </c>
      <c r="N1097" t="s">
        <v>62</v>
      </c>
      <c r="O1097" t="s">
        <v>49</v>
      </c>
      <c r="P1097">
        <v>22.6</v>
      </c>
      <c r="Q1097" t="s">
        <v>62</v>
      </c>
      <c r="R1097" t="s">
        <v>47</v>
      </c>
      <c r="S1097" t="s">
        <v>47</v>
      </c>
      <c r="T1097" t="s">
        <v>47</v>
      </c>
      <c r="U1097" t="s">
        <v>47</v>
      </c>
      <c r="V1097" t="s">
        <v>117</v>
      </c>
      <c r="W1097" t="s">
        <v>46</v>
      </c>
      <c r="X1097" t="s">
        <v>47</v>
      </c>
      <c r="Y1097" t="s">
        <v>47</v>
      </c>
      <c r="Z1097" t="s">
        <v>47</v>
      </c>
      <c r="AA1097" t="s">
        <v>46</v>
      </c>
      <c r="AB1097" t="s">
        <v>47</v>
      </c>
      <c r="AC1097" t="s">
        <v>47</v>
      </c>
      <c r="AD1097" t="s">
        <v>47</v>
      </c>
      <c r="AE1097" t="s">
        <v>46</v>
      </c>
      <c r="AF1097" t="s">
        <v>46</v>
      </c>
      <c r="AG1097" t="s">
        <v>52</v>
      </c>
      <c r="AH1097" t="s">
        <v>90</v>
      </c>
      <c r="AI1097" t="s">
        <v>80</v>
      </c>
      <c r="AJ1097">
        <v>6.7</v>
      </c>
      <c r="AK1097" t="s">
        <v>47</v>
      </c>
      <c r="AL1097" t="s">
        <v>100</v>
      </c>
      <c r="AM1097" t="s">
        <v>56</v>
      </c>
      <c r="AN1097">
        <v>25</v>
      </c>
      <c r="AO1097" t="s">
        <v>47</v>
      </c>
    </row>
    <row r="1098" spans="1:41">
      <c r="A1098" t="s">
        <v>1250</v>
      </c>
      <c r="B1098">
        <v>2025</v>
      </c>
      <c r="C1098" s="1">
        <v>45667</v>
      </c>
      <c r="D1098" t="s">
        <v>42</v>
      </c>
      <c r="E1098" t="s">
        <v>79</v>
      </c>
      <c r="F1098">
        <v>60</v>
      </c>
      <c r="G1098" t="s">
        <v>44</v>
      </c>
      <c r="H1098" t="s">
        <v>70</v>
      </c>
      <c r="I1098">
        <v>0</v>
      </c>
      <c r="J1098">
        <v>0</v>
      </c>
      <c r="K1098" t="s">
        <v>47</v>
      </c>
      <c r="L1098" t="s">
        <v>47</v>
      </c>
      <c r="M1098" t="s">
        <v>47</v>
      </c>
      <c r="N1098" t="s">
        <v>48</v>
      </c>
      <c r="O1098" t="s">
        <v>63</v>
      </c>
      <c r="P1098">
        <v>22.4</v>
      </c>
      <c r="Q1098" t="s">
        <v>48</v>
      </c>
      <c r="R1098" t="s">
        <v>47</v>
      </c>
      <c r="S1098" t="s">
        <v>47</v>
      </c>
      <c r="T1098" t="s">
        <v>47</v>
      </c>
      <c r="U1098" t="s">
        <v>46</v>
      </c>
      <c r="V1098" t="s">
        <v>92</v>
      </c>
      <c r="W1098" t="s">
        <v>46</v>
      </c>
      <c r="X1098" t="s">
        <v>47</v>
      </c>
      <c r="Y1098" t="s">
        <v>47</v>
      </c>
      <c r="Z1098" t="s">
        <v>47</v>
      </c>
      <c r="AA1098" t="s">
        <v>47</v>
      </c>
      <c r="AB1098" t="s">
        <v>47</v>
      </c>
      <c r="AC1098" t="s">
        <v>47</v>
      </c>
      <c r="AD1098" t="s">
        <v>47</v>
      </c>
      <c r="AE1098" t="s">
        <v>46</v>
      </c>
      <c r="AF1098" t="s">
        <v>47</v>
      </c>
      <c r="AG1098" t="s">
        <v>52</v>
      </c>
      <c r="AH1098" t="s">
        <v>90</v>
      </c>
      <c r="AI1098" t="s">
        <v>54</v>
      </c>
      <c r="AJ1098">
        <v>9.9</v>
      </c>
      <c r="AK1098" t="s">
        <v>46</v>
      </c>
      <c r="AL1098" t="s">
        <v>66</v>
      </c>
      <c r="AM1098" t="s">
        <v>77</v>
      </c>
      <c r="AN1098">
        <v>17</v>
      </c>
      <c r="AO1098" t="s">
        <v>47</v>
      </c>
    </row>
    <row r="1099" spans="1:41">
      <c r="A1099" t="s">
        <v>1251</v>
      </c>
      <c r="B1099">
        <v>2015</v>
      </c>
      <c r="C1099" s="1">
        <v>42210</v>
      </c>
      <c r="D1099" t="s">
        <v>95</v>
      </c>
      <c r="E1099" t="s">
        <v>120</v>
      </c>
      <c r="F1099">
        <v>53</v>
      </c>
      <c r="G1099" t="s">
        <v>44</v>
      </c>
      <c r="H1099" t="s">
        <v>70</v>
      </c>
      <c r="I1099">
        <v>0</v>
      </c>
      <c r="J1099">
        <v>0</v>
      </c>
      <c r="K1099" t="s">
        <v>47</v>
      </c>
      <c r="L1099" t="s">
        <v>47</v>
      </c>
      <c r="M1099" t="s">
        <v>47</v>
      </c>
      <c r="N1099" t="s">
        <v>50</v>
      </c>
      <c r="O1099" t="s">
        <v>48</v>
      </c>
      <c r="P1099">
        <v>29.5</v>
      </c>
      <c r="Q1099" t="s">
        <v>62</v>
      </c>
      <c r="R1099" t="s">
        <v>47</v>
      </c>
      <c r="S1099" t="s">
        <v>47</v>
      </c>
      <c r="T1099" t="s">
        <v>47</v>
      </c>
      <c r="U1099" t="s">
        <v>47</v>
      </c>
      <c r="V1099" t="s">
        <v>51</v>
      </c>
      <c r="W1099" t="s">
        <v>46</v>
      </c>
      <c r="X1099" t="s">
        <v>47</v>
      </c>
      <c r="Y1099" t="s">
        <v>47</v>
      </c>
      <c r="Z1099" t="s">
        <v>47</v>
      </c>
      <c r="AA1099" t="s">
        <v>46</v>
      </c>
      <c r="AB1099" t="s">
        <v>47</v>
      </c>
      <c r="AC1099" t="s">
        <v>47</v>
      </c>
      <c r="AD1099" t="s">
        <v>47</v>
      </c>
      <c r="AE1099" t="s">
        <v>46</v>
      </c>
      <c r="AF1099" t="s">
        <v>47</v>
      </c>
      <c r="AG1099" t="s">
        <v>52</v>
      </c>
      <c r="AH1099" t="s">
        <v>53</v>
      </c>
      <c r="AI1099" t="s">
        <v>65</v>
      </c>
      <c r="AJ1099">
        <v>1.4</v>
      </c>
      <c r="AK1099" t="s">
        <v>47</v>
      </c>
      <c r="AL1099" t="s">
        <v>72</v>
      </c>
      <c r="AM1099" t="s">
        <v>73</v>
      </c>
      <c r="AN1099">
        <v>34</v>
      </c>
      <c r="AO1099" t="s">
        <v>46</v>
      </c>
    </row>
    <row r="1100" spans="1:41">
      <c r="A1100" t="s">
        <v>1252</v>
      </c>
      <c r="B1100">
        <v>2024</v>
      </c>
      <c r="C1100" s="1">
        <v>45644</v>
      </c>
      <c r="D1100" t="s">
        <v>95</v>
      </c>
      <c r="E1100" t="s">
        <v>132</v>
      </c>
      <c r="F1100">
        <v>68</v>
      </c>
      <c r="G1100" t="s">
        <v>60</v>
      </c>
      <c r="H1100" t="s">
        <v>45</v>
      </c>
      <c r="I1100">
        <v>6</v>
      </c>
      <c r="J1100">
        <v>28</v>
      </c>
      <c r="K1100" t="s">
        <v>46</v>
      </c>
      <c r="L1100" t="s">
        <v>47</v>
      </c>
      <c r="M1100" t="s">
        <v>47</v>
      </c>
      <c r="N1100" t="s">
        <v>50</v>
      </c>
      <c r="O1100" t="s">
        <v>49</v>
      </c>
      <c r="P1100">
        <v>21.3</v>
      </c>
      <c r="Q1100" t="s">
        <v>62</v>
      </c>
      <c r="R1100" t="s">
        <v>46</v>
      </c>
      <c r="S1100" t="s">
        <v>47</v>
      </c>
      <c r="T1100" t="s">
        <v>47</v>
      </c>
      <c r="U1100" t="s">
        <v>46</v>
      </c>
      <c r="V1100" t="s">
        <v>51</v>
      </c>
      <c r="W1100" t="s">
        <v>46</v>
      </c>
      <c r="X1100" t="s">
        <v>46</v>
      </c>
      <c r="Y1100" t="s">
        <v>47</v>
      </c>
      <c r="Z1100" t="s">
        <v>46</v>
      </c>
      <c r="AA1100" t="s">
        <v>46</v>
      </c>
      <c r="AB1100" t="s">
        <v>46</v>
      </c>
      <c r="AC1100" t="s">
        <v>47</v>
      </c>
      <c r="AD1100" t="s">
        <v>47</v>
      </c>
      <c r="AE1100" t="s">
        <v>47</v>
      </c>
      <c r="AF1100" t="s">
        <v>47</v>
      </c>
      <c r="AG1100" t="s">
        <v>52</v>
      </c>
      <c r="AH1100" t="s">
        <v>90</v>
      </c>
      <c r="AI1100" t="s">
        <v>80</v>
      </c>
      <c r="AJ1100">
        <v>5.0999999999999996</v>
      </c>
      <c r="AK1100" t="s">
        <v>47</v>
      </c>
      <c r="AL1100" t="s">
        <v>156</v>
      </c>
      <c r="AM1100" t="s">
        <v>56</v>
      </c>
      <c r="AN1100">
        <v>20</v>
      </c>
      <c r="AO1100" t="s">
        <v>47</v>
      </c>
    </row>
    <row r="1101" spans="1:41">
      <c r="A1101" t="s">
        <v>1253</v>
      </c>
      <c r="B1101">
        <v>2022</v>
      </c>
      <c r="C1101" s="1">
        <v>44851</v>
      </c>
      <c r="D1101" t="s">
        <v>95</v>
      </c>
      <c r="E1101" t="s">
        <v>105</v>
      </c>
      <c r="F1101">
        <v>47</v>
      </c>
      <c r="G1101" t="s">
        <v>60</v>
      </c>
      <c r="H1101" t="s">
        <v>45</v>
      </c>
      <c r="I1101">
        <v>31</v>
      </c>
      <c r="J1101">
        <v>26</v>
      </c>
      <c r="K1101" t="s">
        <v>46</v>
      </c>
      <c r="L1101" t="s">
        <v>46</v>
      </c>
      <c r="M1101" t="s">
        <v>47</v>
      </c>
      <c r="N1101" t="s">
        <v>48</v>
      </c>
      <c r="O1101" t="s">
        <v>48</v>
      </c>
      <c r="P1101">
        <v>27.7</v>
      </c>
      <c r="Q1101" t="s">
        <v>48</v>
      </c>
      <c r="R1101" t="s">
        <v>47</v>
      </c>
      <c r="S1101" t="s">
        <v>47</v>
      </c>
      <c r="T1101" t="s">
        <v>47</v>
      </c>
      <c r="U1101" t="s">
        <v>47</v>
      </c>
      <c r="V1101" t="s">
        <v>64</v>
      </c>
      <c r="W1101" t="s">
        <v>46</v>
      </c>
      <c r="X1101" t="s">
        <v>46</v>
      </c>
      <c r="Y1101" t="s">
        <v>47</v>
      </c>
      <c r="Z1101" t="s">
        <v>46</v>
      </c>
      <c r="AA1101" t="s">
        <v>46</v>
      </c>
      <c r="AB1101" t="s">
        <v>46</v>
      </c>
      <c r="AC1101" t="s">
        <v>46</v>
      </c>
      <c r="AD1101" t="s">
        <v>47</v>
      </c>
      <c r="AE1101" t="s">
        <v>47</v>
      </c>
      <c r="AF1101" t="s">
        <v>47</v>
      </c>
      <c r="AG1101" t="s">
        <v>52</v>
      </c>
      <c r="AH1101" t="s">
        <v>71</v>
      </c>
      <c r="AI1101" t="s">
        <v>87</v>
      </c>
      <c r="AJ1101">
        <v>4.9000000000000004</v>
      </c>
      <c r="AK1101" t="s">
        <v>47</v>
      </c>
      <c r="AL1101" t="s">
        <v>66</v>
      </c>
      <c r="AM1101" t="s">
        <v>73</v>
      </c>
      <c r="AN1101">
        <v>32</v>
      </c>
      <c r="AO1101" t="s">
        <v>46</v>
      </c>
    </row>
    <row r="1102" spans="1:41">
      <c r="A1102" t="s">
        <v>1254</v>
      </c>
      <c r="B1102">
        <v>2023</v>
      </c>
      <c r="C1102" s="1">
        <v>45243</v>
      </c>
      <c r="D1102" t="s">
        <v>42</v>
      </c>
      <c r="E1102" t="s">
        <v>166</v>
      </c>
      <c r="F1102">
        <v>65</v>
      </c>
      <c r="G1102" t="s">
        <v>60</v>
      </c>
      <c r="H1102" t="s">
        <v>61</v>
      </c>
      <c r="I1102">
        <v>24</v>
      </c>
      <c r="J1102">
        <v>14</v>
      </c>
      <c r="K1102" t="s">
        <v>47</v>
      </c>
      <c r="L1102" t="s">
        <v>47</v>
      </c>
      <c r="M1102" t="s">
        <v>47</v>
      </c>
      <c r="N1102" t="s">
        <v>50</v>
      </c>
      <c r="O1102" t="s">
        <v>48</v>
      </c>
      <c r="P1102">
        <v>30.5</v>
      </c>
      <c r="Q1102" t="s">
        <v>48</v>
      </c>
      <c r="R1102" t="s">
        <v>47</v>
      </c>
      <c r="S1102" t="s">
        <v>47</v>
      </c>
      <c r="T1102" t="s">
        <v>47</v>
      </c>
      <c r="U1102" t="s">
        <v>47</v>
      </c>
      <c r="V1102" t="s">
        <v>151</v>
      </c>
      <c r="W1102" t="s">
        <v>47</v>
      </c>
      <c r="X1102" t="s">
        <v>46</v>
      </c>
      <c r="Y1102" t="s">
        <v>46</v>
      </c>
      <c r="Z1102" t="s">
        <v>47</v>
      </c>
      <c r="AA1102" t="s">
        <v>46</v>
      </c>
      <c r="AB1102" t="s">
        <v>47</v>
      </c>
      <c r="AC1102" t="s">
        <v>46</v>
      </c>
      <c r="AD1102" t="s">
        <v>47</v>
      </c>
      <c r="AE1102" t="s">
        <v>47</v>
      </c>
      <c r="AF1102" t="s">
        <v>47</v>
      </c>
      <c r="AG1102" t="s">
        <v>52</v>
      </c>
      <c r="AH1102" t="s">
        <v>53</v>
      </c>
      <c r="AI1102" t="s">
        <v>65</v>
      </c>
      <c r="AJ1102">
        <v>2.2999999999999998</v>
      </c>
      <c r="AK1102" t="s">
        <v>47</v>
      </c>
      <c r="AL1102" t="s">
        <v>76</v>
      </c>
      <c r="AM1102" t="s">
        <v>103</v>
      </c>
      <c r="AN1102">
        <v>71</v>
      </c>
      <c r="AO1102" t="s">
        <v>46</v>
      </c>
    </row>
    <row r="1103" spans="1:41">
      <c r="A1103" t="s">
        <v>1255</v>
      </c>
      <c r="B1103">
        <v>2019</v>
      </c>
      <c r="C1103" s="1">
        <v>43533</v>
      </c>
      <c r="D1103" t="s">
        <v>42</v>
      </c>
      <c r="E1103" t="s">
        <v>247</v>
      </c>
      <c r="F1103">
        <v>68</v>
      </c>
      <c r="G1103" t="s">
        <v>60</v>
      </c>
      <c r="H1103" t="s">
        <v>61</v>
      </c>
      <c r="I1103">
        <v>3</v>
      </c>
      <c r="J1103">
        <v>29</v>
      </c>
      <c r="K1103" t="s">
        <v>46</v>
      </c>
      <c r="L1103" t="s">
        <v>47</v>
      </c>
      <c r="M1103" t="s">
        <v>47</v>
      </c>
      <c r="N1103" t="s">
        <v>62</v>
      </c>
      <c r="O1103" t="s">
        <v>49</v>
      </c>
      <c r="P1103">
        <v>26.2</v>
      </c>
      <c r="Q1103" t="s">
        <v>48</v>
      </c>
      <c r="R1103" t="s">
        <v>47</v>
      </c>
      <c r="S1103" t="s">
        <v>47</v>
      </c>
      <c r="T1103" t="s">
        <v>47</v>
      </c>
      <c r="U1103" t="s">
        <v>47</v>
      </c>
      <c r="V1103" t="s">
        <v>64</v>
      </c>
      <c r="W1103" t="s">
        <v>47</v>
      </c>
      <c r="X1103" t="s">
        <v>47</v>
      </c>
      <c r="Y1103" t="s">
        <v>47</v>
      </c>
      <c r="Z1103" t="s">
        <v>47</v>
      </c>
      <c r="AA1103" t="s">
        <v>46</v>
      </c>
      <c r="AB1103" t="s">
        <v>46</v>
      </c>
      <c r="AC1103" t="s">
        <v>47</v>
      </c>
      <c r="AD1103" t="s">
        <v>47</v>
      </c>
      <c r="AE1103" t="s">
        <v>47</v>
      </c>
      <c r="AF1103" t="s">
        <v>46</v>
      </c>
      <c r="AG1103" t="s">
        <v>52</v>
      </c>
      <c r="AH1103" t="s">
        <v>71</v>
      </c>
      <c r="AI1103" t="s">
        <v>65</v>
      </c>
      <c r="AJ1103">
        <v>1.1000000000000001</v>
      </c>
      <c r="AK1103" t="s">
        <v>47</v>
      </c>
      <c r="AL1103" t="s">
        <v>156</v>
      </c>
      <c r="AM1103" t="s">
        <v>73</v>
      </c>
      <c r="AN1103">
        <v>44</v>
      </c>
      <c r="AO1103" t="s">
        <v>46</v>
      </c>
    </row>
    <row r="1104" spans="1:41">
      <c r="A1104" t="s">
        <v>1256</v>
      </c>
      <c r="B1104">
        <v>2021</v>
      </c>
      <c r="C1104" s="1">
        <v>44332</v>
      </c>
      <c r="D1104" t="s">
        <v>110</v>
      </c>
      <c r="E1104" t="s">
        <v>294</v>
      </c>
      <c r="F1104">
        <v>51</v>
      </c>
      <c r="G1104" t="s">
        <v>44</v>
      </c>
      <c r="H1104" t="s">
        <v>61</v>
      </c>
      <c r="I1104">
        <v>21</v>
      </c>
      <c r="J1104">
        <v>13</v>
      </c>
      <c r="K1104" t="s">
        <v>46</v>
      </c>
      <c r="L1104" t="s">
        <v>47</v>
      </c>
      <c r="M1104" t="s">
        <v>47</v>
      </c>
      <c r="N1104" t="s">
        <v>48</v>
      </c>
      <c r="O1104" t="s">
        <v>48</v>
      </c>
      <c r="P1104">
        <v>30.7</v>
      </c>
      <c r="Q1104" t="s">
        <v>48</v>
      </c>
      <c r="R1104" t="s">
        <v>47</v>
      </c>
      <c r="S1104" t="s">
        <v>47</v>
      </c>
      <c r="T1104" t="s">
        <v>47</v>
      </c>
      <c r="U1104" t="s">
        <v>47</v>
      </c>
      <c r="V1104" t="s">
        <v>51</v>
      </c>
      <c r="W1104" t="s">
        <v>46</v>
      </c>
      <c r="X1104" t="s">
        <v>47</v>
      </c>
      <c r="Y1104" t="s">
        <v>46</v>
      </c>
      <c r="Z1104" t="s">
        <v>47</v>
      </c>
      <c r="AA1104" t="s">
        <v>46</v>
      </c>
      <c r="AB1104" t="s">
        <v>47</v>
      </c>
      <c r="AC1104" t="s">
        <v>47</v>
      </c>
      <c r="AD1104" t="s">
        <v>47</v>
      </c>
      <c r="AE1104" t="s">
        <v>47</v>
      </c>
      <c r="AF1104" t="s">
        <v>47</v>
      </c>
      <c r="AG1104" t="s">
        <v>121</v>
      </c>
      <c r="AH1104" t="s">
        <v>122</v>
      </c>
      <c r="AI1104" t="s">
        <v>54</v>
      </c>
      <c r="AJ1104">
        <v>4.7</v>
      </c>
      <c r="AK1104" t="s">
        <v>46</v>
      </c>
      <c r="AL1104" t="s">
        <v>66</v>
      </c>
      <c r="AM1104" t="s">
        <v>118</v>
      </c>
      <c r="AN1104">
        <v>7</v>
      </c>
      <c r="AO1104" t="s">
        <v>47</v>
      </c>
    </row>
    <row r="1105" spans="1:41">
      <c r="A1105" t="s">
        <v>1257</v>
      </c>
      <c r="B1105">
        <v>2020</v>
      </c>
      <c r="C1105" s="1">
        <v>43867</v>
      </c>
      <c r="D1105" t="s">
        <v>84</v>
      </c>
      <c r="E1105" t="s">
        <v>102</v>
      </c>
      <c r="F1105">
        <v>62</v>
      </c>
      <c r="G1105" t="s">
        <v>60</v>
      </c>
      <c r="H1105" t="s">
        <v>61</v>
      </c>
      <c r="I1105">
        <v>13</v>
      </c>
      <c r="J1105">
        <v>19</v>
      </c>
      <c r="K1105" t="s">
        <v>47</v>
      </c>
      <c r="L1105" t="s">
        <v>47</v>
      </c>
      <c r="M1105" t="s">
        <v>46</v>
      </c>
      <c r="N1105" t="s">
        <v>62</v>
      </c>
      <c r="O1105" t="s">
        <v>48</v>
      </c>
      <c r="P1105">
        <v>26</v>
      </c>
      <c r="Q1105" t="s">
        <v>48</v>
      </c>
      <c r="R1105" t="s">
        <v>46</v>
      </c>
      <c r="S1105" t="s">
        <v>46</v>
      </c>
      <c r="T1105" t="s">
        <v>47</v>
      </c>
      <c r="U1105" t="s">
        <v>47</v>
      </c>
      <c r="V1105" t="s">
        <v>51</v>
      </c>
      <c r="W1105" t="s">
        <v>47</v>
      </c>
      <c r="X1105" t="s">
        <v>46</v>
      </c>
      <c r="Y1105" t="s">
        <v>47</v>
      </c>
      <c r="Z1105" t="s">
        <v>47</v>
      </c>
      <c r="AA1105" t="s">
        <v>47</v>
      </c>
      <c r="AB1105" t="s">
        <v>47</v>
      </c>
      <c r="AC1105" t="s">
        <v>47</v>
      </c>
      <c r="AD1105" t="s">
        <v>47</v>
      </c>
      <c r="AE1105" t="s">
        <v>46</v>
      </c>
      <c r="AF1105" t="s">
        <v>47</v>
      </c>
      <c r="AG1105" t="s">
        <v>52</v>
      </c>
      <c r="AH1105" t="s">
        <v>71</v>
      </c>
      <c r="AI1105" t="s">
        <v>54</v>
      </c>
      <c r="AJ1105">
        <v>7.4</v>
      </c>
      <c r="AK1105" t="s">
        <v>46</v>
      </c>
      <c r="AL1105" t="s">
        <v>100</v>
      </c>
      <c r="AM1105" t="s">
        <v>118</v>
      </c>
      <c r="AN1105">
        <v>1</v>
      </c>
      <c r="AO1105" t="s">
        <v>47</v>
      </c>
    </row>
    <row r="1106" spans="1:41">
      <c r="A1106" t="s">
        <v>1258</v>
      </c>
      <c r="B1106">
        <v>2022</v>
      </c>
      <c r="C1106" s="1">
        <v>44695</v>
      </c>
      <c r="D1106" t="s">
        <v>58</v>
      </c>
      <c r="E1106" t="s">
        <v>134</v>
      </c>
      <c r="F1106">
        <v>68</v>
      </c>
      <c r="G1106" t="s">
        <v>60</v>
      </c>
      <c r="H1106" t="s">
        <v>70</v>
      </c>
      <c r="I1106">
        <v>0</v>
      </c>
      <c r="J1106">
        <v>0</v>
      </c>
      <c r="K1106" t="s">
        <v>47</v>
      </c>
      <c r="L1106" t="s">
        <v>47</v>
      </c>
      <c r="M1106" t="s">
        <v>47</v>
      </c>
      <c r="N1106" t="s">
        <v>50</v>
      </c>
      <c r="O1106" t="s">
        <v>49</v>
      </c>
      <c r="P1106">
        <v>22.9</v>
      </c>
      <c r="Q1106" t="s">
        <v>50</v>
      </c>
      <c r="R1106" t="s">
        <v>47</v>
      </c>
      <c r="S1106" t="s">
        <v>47</v>
      </c>
      <c r="T1106" t="s">
        <v>47</v>
      </c>
      <c r="U1106" t="s">
        <v>47</v>
      </c>
      <c r="V1106" t="s">
        <v>64</v>
      </c>
      <c r="W1106" t="s">
        <v>47</v>
      </c>
      <c r="X1106" t="s">
        <v>47</v>
      </c>
      <c r="Y1106" t="s">
        <v>47</v>
      </c>
      <c r="Z1106" t="s">
        <v>47</v>
      </c>
      <c r="AA1106" t="s">
        <v>47</v>
      </c>
      <c r="AB1106" t="s">
        <v>47</v>
      </c>
      <c r="AC1106" t="s">
        <v>46</v>
      </c>
      <c r="AD1106" t="s">
        <v>46</v>
      </c>
      <c r="AE1106" t="s">
        <v>47</v>
      </c>
      <c r="AF1106" t="s">
        <v>47</v>
      </c>
      <c r="AG1106" t="s">
        <v>52</v>
      </c>
      <c r="AH1106" t="s">
        <v>53</v>
      </c>
      <c r="AI1106" t="s">
        <v>87</v>
      </c>
      <c r="AJ1106">
        <v>4.5</v>
      </c>
      <c r="AK1106" t="s">
        <v>47</v>
      </c>
      <c r="AL1106" t="s">
        <v>66</v>
      </c>
      <c r="AM1106" t="s">
        <v>118</v>
      </c>
      <c r="AN1106">
        <v>12</v>
      </c>
      <c r="AO1106" t="s">
        <v>46</v>
      </c>
    </row>
    <row r="1107" spans="1:41">
      <c r="A1107" t="s">
        <v>1259</v>
      </c>
      <c r="B1107">
        <v>2023</v>
      </c>
      <c r="C1107" s="1">
        <v>45164</v>
      </c>
      <c r="D1107" t="s">
        <v>58</v>
      </c>
      <c r="E1107" t="s">
        <v>169</v>
      </c>
      <c r="F1107">
        <v>52</v>
      </c>
      <c r="G1107" t="s">
        <v>60</v>
      </c>
      <c r="H1107" t="s">
        <v>70</v>
      </c>
      <c r="I1107">
        <v>0</v>
      </c>
      <c r="J1107">
        <v>0</v>
      </c>
      <c r="K1107" t="s">
        <v>47</v>
      </c>
      <c r="L1107" t="s">
        <v>47</v>
      </c>
      <c r="M1107" t="s">
        <v>47</v>
      </c>
      <c r="N1107" t="s">
        <v>48</v>
      </c>
      <c r="O1107" t="s">
        <v>49</v>
      </c>
      <c r="P1107">
        <v>30.9</v>
      </c>
      <c r="Q1107" t="s">
        <v>62</v>
      </c>
      <c r="R1107" t="s">
        <v>47</v>
      </c>
      <c r="S1107" t="s">
        <v>47</v>
      </c>
      <c r="T1107" t="s">
        <v>47</v>
      </c>
      <c r="U1107" t="s">
        <v>47</v>
      </c>
      <c r="V1107" t="s">
        <v>117</v>
      </c>
      <c r="W1107" t="s">
        <v>47</v>
      </c>
      <c r="X1107" t="s">
        <v>46</v>
      </c>
      <c r="Y1107" t="s">
        <v>47</v>
      </c>
      <c r="Z1107" t="s">
        <v>47</v>
      </c>
      <c r="AA1107" t="s">
        <v>46</v>
      </c>
      <c r="AB1107" t="s">
        <v>47</v>
      </c>
      <c r="AC1107" t="s">
        <v>47</v>
      </c>
      <c r="AD1107" t="s">
        <v>47</v>
      </c>
      <c r="AE1107" t="s">
        <v>47</v>
      </c>
      <c r="AF1107" t="s">
        <v>47</v>
      </c>
      <c r="AG1107" t="s">
        <v>52</v>
      </c>
      <c r="AH1107" t="s">
        <v>71</v>
      </c>
      <c r="AI1107" t="s">
        <v>54</v>
      </c>
      <c r="AJ1107">
        <v>6.7</v>
      </c>
      <c r="AK1107" t="s">
        <v>46</v>
      </c>
      <c r="AL1107" t="s">
        <v>76</v>
      </c>
      <c r="AM1107" t="s">
        <v>82</v>
      </c>
      <c r="AN1107">
        <v>9</v>
      </c>
      <c r="AO1107" t="s">
        <v>47</v>
      </c>
    </row>
    <row r="1108" spans="1:41">
      <c r="A1108" t="s">
        <v>1260</v>
      </c>
      <c r="B1108">
        <v>2017</v>
      </c>
      <c r="C1108" s="1">
        <v>42895</v>
      </c>
      <c r="D1108" t="s">
        <v>58</v>
      </c>
      <c r="E1108" t="s">
        <v>59</v>
      </c>
      <c r="F1108">
        <v>55</v>
      </c>
      <c r="G1108" t="s">
        <v>44</v>
      </c>
      <c r="H1108" t="s">
        <v>45</v>
      </c>
      <c r="I1108">
        <v>33</v>
      </c>
      <c r="J1108">
        <v>13</v>
      </c>
      <c r="K1108" t="s">
        <v>46</v>
      </c>
      <c r="L1108" t="s">
        <v>47</v>
      </c>
      <c r="M1108" t="s">
        <v>47</v>
      </c>
      <c r="N1108" t="s">
        <v>62</v>
      </c>
      <c r="O1108" t="s">
        <v>48</v>
      </c>
      <c r="P1108">
        <v>28.1</v>
      </c>
      <c r="Q1108" t="s">
        <v>50</v>
      </c>
      <c r="R1108" t="s">
        <v>47</v>
      </c>
      <c r="S1108" t="s">
        <v>47</v>
      </c>
      <c r="T1108" t="s">
        <v>47</v>
      </c>
      <c r="U1108" t="s">
        <v>47</v>
      </c>
      <c r="V1108" t="s">
        <v>51</v>
      </c>
      <c r="W1108" t="s">
        <v>46</v>
      </c>
      <c r="X1108" t="s">
        <v>46</v>
      </c>
      <c r="Y1108" t="s">
        <v>46</v>
      </c>
      <c r="Z1108" t="s">
        <v>47</v>
      </c>
      <c r="AA1108" t="s">
        <v>47</v>
      </c>
      <c r="AB1108" t="s">
        <v>47</v>
      </c>
      <c r="AC1108" t="s">
        <v>46</v>
      </c>
      <c r="AD1108" t="s">
        <v>47</v>
      </c>
      <c r="AE1108" t="s">
        <v>47</v>
      </c>
      <c r="AF1108" t="s">
        <v>47</v>
      </c>
      <c r="AG1108" t="s">
        <v>52</v>
      </c>
      <c r="AH1108" t="s">
        <v>71</v>
      </c>
      <c r="AI1108" t="s">
        <v>87</v>
      </c>
      <c r="AJ1108">
        <v>4.8</v>
      </c>
      <c r="AK1108" t="s">
        <v>47</v>
      </c>
      <c r="AL1108" t="s">
        <v>100</v>
      </c>
      <c r="AM1108" t="s">
        <v>67</v>
      </c>
      <c r="AN1108">
        <v>28</v>
      </c>
      <c r="AO1108" t="s">
        <v>46</v>
      </c>
    </row>
    <row r="1109" spans="1:41">
      <c r="A1109" t="s">
        <v>1261</v>
      </c>
      <c r="B1109">
        <v>2025</v>
      </c>
      <c r="C1109" s="1">
        <v>46012</v>
      </c>
      <c r="D1109" t="s">
        <v>42</v>
      </c>
      <c r="E1109" t="s">
        <v>210</v>
      </c>
      <c r="F1109">
        <v>63</v>
      </c>
      <c r="G1109" t="s">
        <v>60</v>
      </c>
      <c r="H1109" t="s">
        <v>61</v>
      </c>
      <c r="I1109">
        <v>9</v>
      </c>
      <c r="J1109">
        <v>21</v>
      </c>
      <c r="K1109" t="s">
        <v>46</v>
      </c>
      <c r="L1109" t="s">
        <v>47</v>
      </c>
      <c r="M1109" t="s">
        <v>46</v>
      </c>
      <c r="N1109" t="s">
        <v>50</v>
      </c>
      <c r="O1109" t="s">
        <v>49</v>
      </c>
      <c r="P1109">
        <v>23.8</v>
      </c>
      <c r="Q1109" t="s">
        <v>48</v>
      </c>
      <c r="R1109" t="s">
        <v>46</v>
      </c>
      <c r="S1109" t="s">
        <v>47</v>
      </c>
      <c r="T1109" t="s">
        <v>47</v>
      </c>
      <c r="U1109" t="s">
        <v>46</v>
      </c>
      <c r="V1109" t="s">
        <v>51</v>
      </c>
      <c r="W1109" t="s">
        <v>47</v>
      </c>
      <c r="X1109" t="s">
        <v>47</v>
      </c>
      <c r="Y1109" t="s">
        <v>47</v>
      </c>
      <c r="Z1109" t="s">
        <v>46</v>
      </c>
      <c r="AA1109" t="s">
        <v>46</v>
      </c>
      <c r="AB1109" t="s">
        <v>46</v>
      </c>
      <c r="AC1109" t="s">
        <v>47</v>
      </c>
      <c r="AD1109" t="s">
        <v>47</v>
      </c>
      <c r="AE1109" t="s">
        <v>46</v>
      </c>
      <c r="AF1109" t="s">
        <v>47</v>
      </c>
      <c r="AG1109" t="s">
        <v>52</v>
      </c>
      <c r="AH1109" t="s">
        <v>53</v>
      </c>
      <c r="AI1109" t="s">
        <v>80</v>
      </c>
      <c r="AJ1109">
        <v>4</v>
      </c>
      <c r="AK1109" t="s">
        <v>47</v>
      </c>
      <c r="AL1109" t="s">
        <v>100</v>
      </c>
      <c r="AM1109" t="s">
        <v>77</v>
      </c>
      <c r="AN1109">
        <v>19</v>
      </c>
      <c r="AO1109" t="s">
        <v>47</v>
      </c>
    </row>
    <row r="1110" spans="1:41">
      <c r="A1110" t="s">
        <v>1262</v>
      </c>
      <c r="B1110">
        <v>2023</v>
      </c>
      <c r="C1110" s="1">
        <v>45219</v>
      </c>
      <c r="D1110" t="s">
        <v>58</v>
      </c>
      <c r="E1110" t="s">
        <v>59</v>
      </c>
      <c r="F1110">
        <v>58</v>
      </c>
      <c r="G1110" t="s">
        <v>60</v>
      </c>
      <c r="H1110" t="s">
        <v>70</v>
      </c>
      <c r="I1110">
        <v>0</v>
      </c>
      <c r="J1110">
        <v>0</v>
      </c>
      <c r="K1110" t="s">
        <v>47</v>
      </c>
      <c r="L1110" t="s">
        <v>47</v>
      </c>
      <c r="M1110" t="s">
        <v>46</v>
      </c>
      <c r="N1110" t="s">
        <v>62</v>
      </c>
      <c r="O1110" t="s">
        <v>49</v>
      </c>
      <c r="P1110">
        <v>30.4</v>
      </c>
      <c r="Q1110" t="s">
        <v>48</v>
      </c>
      <c r="R1110" t="s">
        <v>47</v>
      </c>
      <c r="S1110" t="s">
        <v>47</v>
      </c>
      <c r="T1110" t="s">
        <v>47</v>
      </c>
      <c r="U1110" t="s">
        <v>47</v>
      </c>
      <c r="V1110" t="s">
        <v>51</v>
      </c>
      <c r="W1110" t="s">
        <v>47</v>
      </c>
      <c r="X1110" t="s">
        <v>46</v>
      </c>
      <c r="Y1110" t="s">
        <v>47</v>
      </c>
      <c r="Z1110" t="s">
        <v>46</v>
      </c>
      <c r="AA1110" t="s">
        <v>46</v>
      </c>
      <c r="AB1110" t="s">
        <v>47</v>
      </c>
      <c r="AC1110" t="s">
        <v>47</v>
      </c>
      <c r="AD1110" t="s">
        <v>46</v>
      </c>
      <c r="AE1110" t="s">
        <v>47</v>
      </c>
      <c r="AF1110" t="s">
        <v>47</v>
      </c>
      <c r="AG1110" t="s">
        <v>52</v>
      </c>
      <c r="AH1110" t="s">
        <v>53</v>
      </c>
      <c r="AI1110" t="s">
        <v>54</v>
      </c>
      <c r="AJ1110">
        <v>9.6</v>
      </c>
      <c r="AK1110" t="s">
        <v>46</v>
      </c>
      <c r="AL1110" t="s">
        <v>76</v>
      </c>
      <c r="AM1110" t="s">
        <v>77</v>
      </c>
      <c r="AN1110">
        <v>11</v>
      </c>
      <c r="AO1110" t="s">
        <v>47</v>
      </c>
    </row>
    <row r="1111" spans="1:41">
      <c r="A1111" t="s">
        <v>1263</v>
      </c>
      <c r="B1111">
        <v>2015</v>
      </c>
      <c r="C1111" s="1">
        <v>42220</v>
      </c>
      <c r="D1111" t="s">
        <v>58</v>
      </c>
      <c r="E1111" t="s">
        <v>142</v>
      </c>
      <c r="F1111">
        <v>61</v>
      </c>
      <c r="G1111" t="s">
        <v>60</v>
      </c>
      <c r="H1111" t="s">
        <v>70</v>
      </c>
      <c r="I1111">
        <v>0</v>
      </c>
      <c r="J1111">
        <v>0</v>
      </c>
      <c r="K1111" t="s">
        <v>46</v>
      </c>
      <c r="L1111" t="s">
        <v>47</v>
      </c>
      <c r="M1111" t="s">
        <v>47</v>
      </c>
      <c r="N1111" t="s">
        <v>50</v>
      </c>
      <c r="O1111" t="s">
        <v>48</v>
      </c>
      <c r="P1111">
        <v>31.6</v>
      </c>
      <c r="Q1111" t="s">
        <v>50</v>
      </c>
      <c r="R1111" t="s">
        <v>47</v>
      </c>
      <c r="S1111" t="s">
        <v>47</v>
      </c>
      <c r="T1111" t="s">
        <v>47</v>
      </c>
      <c r="U1111" t="s">
        <v>47</v>
      </c>
      <c r="V1111" t="s">
        <v>86</v>
      </c>
      <c r="W1111" t="s">
        <v>47</v>
      </c>
      <c r="X1111" t="s">
        <v>47</v>
      </c>
      <c r="Y1111" t="s">
        <v>47</v>
      </c>
      <c r="Z1111" t="s">
        <v>47</v>
      </c>
      <c r="AA1111" t="s">
        <v>47</v>
      </c>
      <c r="AB1111" t="s">
        <v>47</v>
      </c>
      <c r="AC1111" t="s">
        <v>47</v>
      </c>
      <c r="AD1111" t="s">
        <v>46</v>
      </c>
      <c r="AE1111" t="s">
        <v>47</v>
      </c>
      <c r="AF1111" t="s">
        <v>47</v>
      </c>
      <c r="AG1111" t="s">
        <v>52</v>
      </c>
      <c r="AH1111" t="s">
        <v>53</v>
      </c>
      <c r="AI1111" t="s">
        <v>80</v>
      </c>
      <c r="AJ1111">
        <v>5.9</v>
      </c>
      <c r="AK1111" t="s">
        <v>47</v>
      </c>
      <c r="AL1111" t="s">
        <v>66</v>
      </c>
      <c r="AM1111" t="s">
        <v>56</v>
      </c>
      <c r="AN1111">
        <v>19</v>
      </c>
      <c r="AO1111" t="s">
        <v>47</v>
      </c>
    </row>
    <row r="1112" spans="1:41">
      <c r="A1112" t="s">
        <v>1264</v>
      </c>
      <c r="B1112">
        <v>2024</v>
      </c>
      <c r="C1112" s="1">
        <v>45413</v>
      </c>
      <c r="D1112" t="s">
        <v>95</v>
      </c>
      <c r="E1112" t="s">
        <v>145</v>
      </c>
      <c r="F1112">
        <v>64</v>
      </c>
      <c r="G1112" t="s">
        <v>60</v>
      </c>
      <c r="H1112" t="s">
        <v>45</v>
      </c>
      <c r="I1112">
        <v>25</v>
      </c>
      <c r="J1112">
        <v>23</v>
      </c>
      <c r="K1112" t="s">
        <v>47</v>
      </c>
      <c r="L1112" t="s">
        <v>47</v>
      </c>
      <c r="M1112" t="s">
        <v>47</v>
      </c>
      <c r="N1112" t="s">
        <v>48</v>
      </c>
      <c r="O1112" t="s">
        <v>63</v>
      </c>
      <c r="P1112">
        <v>30</v>
      </c>
      <c r="Q1112" t="s">
        <v>62</v>
      </c>
      <c r="R1112" t="s">
        <v>47</v>
      </c>
      <c r="S1112" t="s">
        <v>47</v>
      </c>
      <c r="T1112" t="s">
        <v>47</v>
      </c>
      <c r="U1112" t="s">
        <v>47</v>
      </c>
      <c r="V1112" t="s">
        <v>51</v>
      </c>
      <c r="W1112" t="s">
        <v>46</v>
      </c>
      <c r="X1112" t="s">
        <v>46</v>
      </c>
      <c r="Y1112" t="s">
        <v>46</v>
      </c>
      <c r="Z1112" t="s">
        <v>46</v>
      </c>
      <c r="AA1112" t="s">
        <v>47</v>
      </c>
      <c r="AB1112" t="s">
        <v>46</v>
      </c>
      <c r="AC1112" t="s">
        <v>46</v>
      </c>
      <c r="AD1112" t="s">
        <v>47</v>
      </c>
      <c r="AE1112" t="s">
        <v>47</v>
      </c>
      <c r="AF1112" t="s">
        <v>47</v>
      </c>
      <c r="AG1112" t="s">
        <v>52</v>
      </c>
      <c r="AH1112" t="s">
        <v>71</v>
      </c>
      <c r="AI1112" t="s">
        <v>65</v>
      </c>
      <c r="AJ1112">
        <v>2.9</v>
      </c>
      <c r="AK1112" t="s">
        <v>47</v>
      </c>
      <c r="AL1112" t="s">
        <v>72</v>
      </c>
      <c r="AM1112" t="s">
        <v>73</v>
      </c>
      <c r="AN1112">
        <v>63</v>
      </c>
      <c r="AO1112" t="s">
        <v>46</v>
      </c>
    </row>
    <row r="1113" spans="1:41">
      <c r="A1113" t="s">
        <v>1265</v>
      </c>
      <c r="B1113">
        <v>2015</v>
      </c>
      <c r="C1113" s="1">
        <v>42182</v>
      </c>
      <c r="D1113" t="s">
        <v>42</v>
      </c>
      <c r="E1113" t="s">
        <v>154</v>
      </c>
      <c r="F1113">
        <v>55</v>
      </c>
      <c r="G1113" t="s">
        <v>60</v>
      </c>
      <c r="H1113" t="s">
        <v>70</v>
      </c>
      <c r="I1113">
        <v>0</v>
      </c>
      <c r="J1113">
        <v>0</v>
      </c>
      <c r="K1113" t="s">
        <v>46</v>
      </c>
      <c r="L1113" t="s">
        <v>47</v>
      </c>
      <c r="M1113" t="s">
        <v>46</v>
      </c>
      <c r="N1113" t="s">
        <v>62</v>
      </c>
      <c r="O1113" t="s">
        <v>63</v>
      </c>
      <c r="P1113">
        <v>26.4</v>
      </c>
      <c r="Q1113" t="s">
        <v>48</v>
      </c>
      <c r="R1113" t="s">
        <v>47</v>
      </c>
      <c r="S1113" t="s">
        <v>47</v>
      </c>
      <c r="T1113" t="s">
        <v>47</v>
      </c>
      <c r="U1113" t="s">
        <v>47</v>
      </c>
      <c r="V1113" t="s">
        <v>117</v>
      </c>
      <c r="W1113" t="s">
        <v>47</v>
      </c>
      <c r="X1113" t="s">
        <v>47</v>
      </c>
      <c r="Y1113" t="s">
        <v>47</v>
      </c>
      <c r="Z1113" t="s">
        <v>47</v>
      </c>
      <c r="AA1113" t="s">
        <v>46</v>
      </c>
      <c r="AB1113" t="s">
        <v>47</v>
      </c>
      <c r="AC1113" t="s">
        <v>47</v>
      </c>
      <c r="AD1113" t="s">
        <v>46</v>
      </c>
      <c r="AE1113" t="s">
        <v>47</v>
      </c>
      <c r="AF1113" t="s">
        <v>47</v>
      </c>
      <c r="AG1113" t="s">
        <v>52</v>
      </c>
      <c r="AH1113" t="s">
        <v>53</v>
      </c>
      <c r="AI1113" t="s">
        <v>87</v>
      </c>
      <c r="AJ1113">
        <v>2.4</v>
      </c>
      <c r="AK1113" t="s">
        <v>47</v>
      </c>
      <c r="AL1113" t="s">
        <v>66</v>
      </c>
      <c r="AM1113" t="s">
        <v>118</v>
      </c>
      <c r="AN1113">
        <v>36</v>
      </c>
      <c r="AO1113" t="s">
        <v>46</v>
      </c>
    </row>
    <row r="1114" spans="1:41">
      <c r="A1114" t="s">
        <v>1266</v>
      </c>
      <c r="B1114">
        <v>2025</v>
      </c>
      <c r="C1114" s="1">
        <v>45864</v>
      </c>
      <c r="D1114" t="s">
        <v>98</v>
      </c>
      <c r="E1114" t="s">
        <v>192</v>
      </c>
      <c r="F1114">
        <v>53</v>
      </c>
      <c r="G1114" t="s">
        <v>60</v>
      </c>
      <c r="H1114" t="s">
        <v>70</v>
      </c>
      <c r="I1114">
        <v>0</v>
      </c>
      <c r="J1114">
        <v>0</v>
      </c>
      <c r="K1114" t="s">
        <v>47</v>
      </c>
      <c r="L1114" t="s">
        <v>47</v>
      </c>
      <c r="M1114" t="s">
        <v>46</v>
      </c>
      <c r="N1114" t="s">
        <v>50</v>
      </c>
      <c r="O1114" t="s">
        <v>49</v>
      </c>
      <c r="P1114">
        <v>30.1</v>
      </c>
      <c r="Q1114" t="s">
        <v>50</v>
      </c>
      <c r="R1114" t="s">
        <v>47</v>
      </c>
      <c r="S1114" t="s">
        <v>47</v>
      </c>
      <c r="T1114" t="s">
        <v>46</v>
      </c>
      <c r="U1114" t="s">
        <v>47</v>
      </c>
      <c r="V1114" t="s">
        <v>86</v>
      </c>
      <c r="W1114" t="s">
        <v>47</v>
      </c>
      <c r="X1114" t="s">
        <v>46</v>
      </c>
      <c r="Y1114" t="s">
        <v>46</v>
      </c>
      <c r="Z1114" t="s">
        <v>47</v>
      </c>
      <c r="AA1114" t="s">
        <v>46</v>
      </c>
      <c r="AB1114" t="s">
        <v>47</v>
      </c>
      <c r="AC1114" t="s">
        <v>47</v>
      </c>
      <c r="AD1114" t="s">
        <v>46</v>
      </c>
      <c r="AE1114" t="s">
        <v>47</v>
      </c>
      <c r="AF1114" t="s">
        <v>47</v>
      </c>
      <c r="AG1114" t="s">
        <v>52</v>
      </c>
      <c r="AH1114" t="s">
        <v>53</v>
      </c>
      <c r="AI1114" t="s">
        <v>87</v>
      </c>
      <c r="AJ1114">
        <v>2</v>
      </c>
      <c r="AK1114" t="s">
        <v>47</v>
      </c>
      <c r="AL1114" t="s">
        <v>66</v>
      </c>
      <c r="AM1114" t="s">
        <v>77</v>
      </c>
      <c r="AN1114">
        <v>51</v>
      </c>
      <c r="AO1114" t="s">
        <v>47</v>
      </c>
    </row>
    <row r="1115" spans="1:41">
      <c r="A1115" t="s">
        <v>1267</v>
      </c>
      <c r="B1115">
        <v>2020</v>
      </c>
      <c r="C1115" s="1">
        <v>44054</v>
      </c>
      <c r="D1115" t="s">
        <v>84</v>
      </c>
      <c r="E1115" t="s">
        <v>102</v>
      </c>
      <c r="F1115">
        <v>44</v>
      </c>
      <c r="G1115" t="s">
        <v>44</v>
      </c>
      <c r="H1115" t="s">
        <v>70</v>
      </c>
      <c r="I1115">
        <v>0</v>
      </c>
      <c r="J1115">
        <v>0</v>
      </c>
      <c r="K1115" t="s">
        <v>47</v>
      </c>
      <c r="L1115" t="s">
        <v>47</v>
      </c>
      <c r="M1115" t="s">
        <v>47</v>
      </c>
      <c r="N1115" t="s">
        <v>62</v>
      </c>
      <c r="O1115" t="s">
        <v>49</v>
      </c>
      <c r="P1115">
        <v>28</v>
      </c>
      <c r="Q1115" t="s">
        <v>48</v>
      </c>
      <c r="R1115" t="s">
        <v>47</v>
      </c>
      <c r="S1115" t="s">
        <v>47</v>
      </c>
      <c r="T1115" t="s">
        <v>47</v>
      </c>
      <c r="U1115" t="s">
        <v>47</v>
      </c>
      <c r="V1115" t="s">
        <v>51</v>
      </c>
      <c r="W1115" t="s">
        <v>47</v>
      </c>
      <c r="X1115" t="s">
        <v>47</v>
      </c>
      <c r="Y1115" t="s">
        <v>47</v>
      </c>
      <c r="Z1115" t="s">
        <v>47</v>
      </c>
      <c r="AA1115" t="s">
        <v>46</v>
      </c>
      <c r="AB1115" t="s">
        <v>46</v>
      </c>
      <c r="AC1115" t="s">
        <v>46</v>
      </c>
      <c r="AD1115" t="s">
        <v>46</v>
      </c>
      <c r="AE1115" t="s">
        <v>47</v>
      </c>
      <c r="AF1115" t="s">
        <v>47</v>
      </c>
      <c r="AG1115" t="s">
        <v>52</v>
      </c>
      <c r="AH1115" t="s">
        <v>53</v>
      </c>
      <c r="AI1115" t="s">
        <v>54</v>
      </c>
      <c r="AJ1115">
        <v>6.3</v>
      </c>
      <c r="AK1115" t="s">
        <v>46</v>
      </c>
      <c r="AL1115" t="s">
        <v>100</v>
      </c>
      <c r="AM1115" t="s">
        <v>82</v>
      </c>
      <c r="AN1115">
        <v>14</v>
      </c>
      <c r="AO1115" t="s">
        <v>47</v>
      </c>
    </row>
    <row r="1116" spans="1:41">
      <c r="A1116" t="s">
        <v>1268</v>
      </c>
      <c r="B1116">
        <v>2024</v>
      </c>
      <c r="C1116" s="1">
        <v>45616</v>
      </c>
      <c r="D1116" t="s">
        <v>84</v>
      </c>
      <c r="E1116" t="s">
        <v>182</v>
      </c>
      <c r="F1116">
        <v>66</v>
      </c>
      <c r="G1116" t="s">
        <v>60</v>
      </c>
      <c r="H1116" t="s">
        <v>45</v>
      </c>
      <c r="I1116">
        <v>22</v>
      </c>
      <c r="J1116">
        <v>41</v>
      </c>
      <c r="K1116" t="s">
        <v>47</v>
      </c>
      <c r="L1116" t="s">
        <v>47</v>
      </c>
      <c r="M1116" t="s">
        <v>47</v>
      </c>
      <c r="N1116" t="s">
        <v>62</v>
      </c>
      <c r="O1116" t="s">
        <v>48</v>
      </c>
      <c r="P1116">
        <v>30.2</v>
      </c>
      <c r="Q1116" t="s">
        <v>48</v>
      </c>
      <c r="R1116" t="s">
        <v>47</v>
      </c>
      <c r="S1116" t="s">
        <v>47</v>
      </c>
      <c r="T1116" t="s">
        <v>47</v>
      </c>
      <c r="U1116" t="s">
        <v>47</v>
      </c>
      <c r="V1116" t="s">
        <v>64</v>
      </c>
      <c r="W1116" t="s">
        <v>47</v>
      </c>
      <c r="X1116" t="s">
        <v>46</v>
      </c>
      <c r="Y1116" t="s">
        <v>47</v>
      </c>
      <c r="Z1116" t="s">
        <v>47</v>
      </c>
      <c r="AA1116" t="s">
        <v>46</v>
      </c>
      <c r="AB1116" t="s">
        <v>46</v>
      </c>
      <c r="AC1116" t="s">
        <v>46</v>
      </c>
      <c r="AD1116" t="s">
        <v>47</v>
      </c>
      <c r="AE1116" t="s">
        <v>47</v>
      </c>
      <c r="AF1116" t="s">
        <v>47</v>
      </c>
      <c r="AG1116" t="s">
        <v>121</v>
      </c>
      <c r="AH1116" t="s">
        <v>122</v>
      </c>
      <c r="AI1116" t="s">
        <v>65</v>
      </c>
      <c r="AJ1116">
        <v>1.7</v>
      </c>
      <c r="AK1116" t="s">
        <v>47</v>
      </c>
      <c r="AL1116" t="s">
        <v>76</v>
      </c>
      <c r="AM1116" t="s">
        <v>73</v>
      </c>
      <c r="AN1116">
        <v>42</v>
      </c>
      <c r="AO1116" t="s">
        <v>46</v>
      </c>
    </row>
    <row r="1117" spans="1:41">
      <c r="A1117" t="s">
        <v>1269</v>
      </c>
      <c r="B1117">
        <v>2023</v>
      </c>
      <c r="C1117" s="1">
        <v>45057</v>
      </c>
      <c r="D1117" t="s">
        <v>95</v>
      </c>
      <c r="E1117" t="s">
        <v>255</v>
      </c>
      <c r="F1117">
        <v>59</v>
      </c>
      <c r="G1117" t="s">
        <v>60</v>
      </c>
      <c r="H1117" t="s">
        <v>61</v>
      </c>
      <c r="I1117">
        <v>10</v>
      </c>
      <c r="J1117">
        <v>24</v>
      </c>
      <c r="K1117" t="s">
        <v>47</v>
      </c>
      <c r="L1117" t="s">
        <v>47</v>
      </c>
      <c r="M1117" t="s">
        <v>46</v>
      </c>
      <c r="N1117" t="s">
        <v>50</v>
      </c>
      <c r="O1117" t="s">
        <v>49</v>
      </c>
      <c r="P1117">
        <v>24.2</v>
      </c>
      <c r="Q1117" t="s">
        <v>50</v>
      </c>
      <c r="R1117" t="s">
        <v>47</v>
      </c>
      <c r="S1117" t="s">
        <v>47</v>
      </c>
      <c r="T1117" t="s">
        <v>47</v>
      </c>
      <c r="U1117" t="s">
        <v>47</v>
      </c>
      <c r="V1117" t="s">
        <v>117</v>
      </c>
      <c r="W1117" t="s">
        <v>47</v>
      </c>
      <c r="X1117" t="s">
        <v>47</v>
      </c>
      <c r="Y1117" t="s">
        <v>47</v>
      </c>
      <c r="Z1117" t="s">
        <v>47</v>
      </c>
      <c r="AA1117" t="s">
        <v>47</v>
      </c>
      <c r="AB1117" t="s">
        <v>47</v>
      </c>
      <c r="AC1117" t="s">
        <v>47</v>
      </c>
      <c r="AD1117" t="s">
        <v>47</v>
      </c>
      <c r="AE1117" t="s">
        <v>47</v>
      </c>
      <c r="AF1117" t="s">
        <v>47</v>
      </c>
      <c r="AG1117" t="s">
        <v>52</v>
      </c>
      <c r="AH1117" t="s">
        <v>53</v>
      </c>
      <c r="AI1117" t="s">
        <v>65</v>
      </c>
      <c r="AJ1117">
        <v>2.5</v>
      </c>
      <c r="AK1117" t="s">
        <v>47</v>
      </c>
      <c r="AL1117" t="s">
        <v>72</v>
      </c>
      <c r="AM1117" t="s">
        <v>73</v>
      </c>
      <c r="AN1117">
        <v>61</v>
      </c>
      <c r="AO1117" t="s">
        <v>46</v>
      </c>
    </row>
    <row r="1118" spans="1:41">
      <c r="A1118" t="s">
        <v>1270</v>
      </c>
      <c r="B1118">
        <v>2017</v>
      </c>
      <c r="C1118" s="1">
        <v>43076</v>
      </c>
      <c r="D1118" t="s">
        <v>84</v>
      </c>
      <c r="E1118" t="s">
        <v>571</v>
      </c>
      <c r="F1118">
        <v>68</v>
      </c>
      <c r="G1118" t="s">
        <v>44</v>
      </c>
      <c r="H1118" t="s">
        <v>70</v>
      </c>
      <c r="I1118">
        <v>0</v>
      </c>
      <c r="J1118">
        <v>0</v>
      </c>
      <c r="K1118" t="s">
        <v>46</v>
      </c>
      <c r="L1118" t="s">
        <v>47</v>
      </c>
      <c r="M1118" t="s">
        <v>47</v>
      </c>
      <c r="N1118" t="s">
        <v>62</v>
      </c>
      <c r="O1118" t="s">
        <v>49</v>
      </c>
      <c r="P1118">
        <v>17.8</v>
      </c>
      <c r="Q1118" t="s">
        <v>50</v>
      </c>
      <c r="R1118" t="s">
        <v>47</v>
      </c>
      <c r="S1118" t="s">
        <v>47</v>
      </c>
      <c r="T1118" t="s">
        <v>47</v>
      </c>
      <c r="U1118" t="s">
        <v>46</v>
      </c>
      <c r="V1118" t="s">
        <v>86</v>
      </c>
      <c r="W1118" t="s">
        <v>46</v>
      </c>
      <c r="X1118" t="s">
        <v>47</v>
      </c>
      <c r="Y1118" t="s">
        <v>47</v>
      </c>
      <c r="Z1118" t="s">
        <v>47</v>
      </c>
      <c r="AA1118" t="s">
        <v>46</v>
      </c>
      <c r="AB1118" t="s">
        <v>47</v>
      </c>
      <c r="AC1118" t="s">
        <v>47</v>
      </c>
      <c r="AD1118" t="s">
        <v>47</v>
      </c>
      <c r="AE1118" t="s">
        <v>47</v>
      </c>
      <c r="AF1118" t="s">
        <v>47</v>
      </c>
      <c r="AG1118" t="s">
        <v>121</v>
      </c>
      <c r="AH1118" t="s">
        <v>122</v>
      </c>
      <c r="AI1118" t="s">
        <v>54</v>
      </c>
      <c r="AJ1118">
        <v>6.2</v>
      </c>
      <c r="AK1118" t="s">
        <v>46</v>
      </c>
      <c r="AL1118" t="s">
        <v>81</v>
      </c>
      <c r="AM1118" t="s">
        <v>265</v>
      </c>
      <c r="AN1118">
        <v>15</v>
      </c>
      <c r="AO1118" t="s">
        <v>47</v>
      </c>
    </row>
    <row r="1119" spans="1:41">
      <c r="A1119" t="s">
        <v>1271</v>
      </c>
      <c r="B1119">
        <v>2023</v>
      </c>
      <c r="C1119" s="1">
        <v>45083</v>
      </c>
      <c r="D1119" t="s">
        <v>42</v>
      </c>
      <c r="E1119" t="s">
        <v>79</v>
      </c>
      <c r="F1119">
        <v>55</v>
      </c>
      <c r="G1119" t="s">
        <v>44</v>
      </c>
      <c r="H1119" t="s">
        <v>70</v>
      </c>
      <c r="I1119">
        <v>0</v>
      </c>
      <c r="J1119">
        <v>0</v>
      </c>
      <c r="K1119" t="s">
        <v>46</v>
      </c>
      <c r="L1119" t="s">
        <v>46</v>
      </c>
      <c r="M1119" t="s">
        <v>47</v>
      </c>
      <c r="N1119" t="s">
        <v>62</v>
      </c>
      <c r="O1119" t="s">
        <v>49</v>
      </c>
      <c r="P1119">
        <v>30.9</v>
      </c>
      <c r="Q1119" t="s">
        <v>50</v>
      </c>
      <c r="R1119" t="s">
        <v>47</v>
      </c>
      <c r="S1119" t="s">
        <v>47</v>
      </c>
      <c r="T1119" t="s">
        <v>47</v>
      </c>
      <c r="U1119" t="s">
        <v>46</v>
      </c>
      <c r="V1119" t="s">
        <v>51</v>
      </c>
      <c r="W1119" t="s">
        <v>46</v>
      </c>
      <c r="X1119" t="s">
        <v>47</v>
      </c>
      <c r="Y1119" t="s">
        <v>46</v>
      </c>
      <c r="Z1119" t="s">
        <v>47</v>
      </c>
      <c r="AA1119" t="s">
        <v>46</v>
      </c>
      <c r="AB1119" t="s">
        <v>47</v>
      </c>
      <c r="AC1119" t="s">
        <v>47</v>
      </c>
      <c r="AD1119" t="s">
        <v>46</v>
      </c>
      <c r="AE1119" t="s">
        <v>46</v>
      </c>
      <c r="AF1119" t="s">
        <v>47</v>
      </c>
      <c r="AG1119" t="s">
        <v>52</v>
      </c>
      <c r="AH1119" t="s">
        <v>53</v>
      </c>
      <c r="AI1119" t="s">
        <v>80</v>
      </c>
      <c r="AJ1119">
        <v>5</v>
      </c>
      <c r="AK1119" t="s">
        <v>47</v>
      </c>
      <c r="AL1119" t="s">
        <v>66</v>
      </c>
      <c r="AM1119" t="s">
        <v>77</v>
      </c>
      <c r="AN1119">
        <v>12</v>
      </c>
      <c r="AO1119" t="s">
        <v>47</v>
      </c>
    </row>
    <row r="1120" spans="1:41">
      <c r="A1120" t="s">
        <v>1272</v>
      </c>
      <c r="B1120">
        <v>2021</v>
      </c>
      <c r="C1120" s="1">
        <v>44357</v>
      </c>
      <c r="D1120" t="s">
        <v>98</v>
      </c>
      <c r="E1120" t="s">
        <v>202</v>
      </c>
      <c r="F1120">
        <v>42</v>
      </c>
      <c r="G1120" t="s">
        <v>44</v>
      </c>
      <c r="H1120" t="s">
        <v>70</v>
      </c>
      <c r="I1120">
        <v>0</v>
      </c>
      <c r="J1120">
        <v>0</v>
      </c>
      <c r="K1120" t="s">
        <v>46</v>
      </c>
      <c r="L1120" t="s">
        <v>47</v>
      </c>
      <c r="M1120" t="s">
        <v>46</v>
      </c>
      <c r="N1120" t="s">
        <v>62</v>
      </c>
      <c r="O1120" t="s">
        <v>49</v>
      </c>
      <c r="P1120">
        <v>21.8</v>
      </c>
      <c r="Q1120" t="s">
        <v>62</v>
      </c>
      <c r="R1120" t="s">
        <v>47</v>
      </c>
      <c r="S1120" t="s">
        <v>46</v>
      </c>
      <c r="T1120" t="s">
        <v>46</v>
      </c>
      <c r="U1120" t="s">
        <v>47</v>
      </c>
      <c r="V1120" t="s">
        <v>51</v>
      </c>
      <c r="W1120" t="s">
        <v>47</v>
      </c>
      <c r="X1120" t="s">
        <v>47</v>
      </c>
      <c r="Y1120" t="s">
        <v>46</v>
      </c>
      <c r="Z1120" t="s">
        <v>47</v>
      </c>
      <c r="AA1120" t="s">
        <v>46</v>
      </c>
      <c r="AB1120" t="s">
        <v>47</v>
      </c>
      <c r="AC1120" t="s">
        <v>47</v>
      </c>
      <c r="AD1120" t="s">
        <v>47</v>
      </c>
      <c r="AE1120" t="s">
        <v>46</v>
      </c>
      <c r="AF1120" t="s">
        <v>46</v>
      </c>
      <c r="AG1120" t="s">
        <v>52</v>
      </c>
      <c r="AH1120" t="s">
        <v>53</v>
      </c>
      <c r="AI1120" t="s">
        <v>65</v>
      </c>
      <c r="AJ1120">
        <v>1.8</v>
      </c>
      <c r="AK1120" t="s">
        <v>47</v>
      </c>
      <c r="AL1120" t="s">
        <v>66</v>
      </c>
      <c r="AM1120" t="s">
        <v>73</v>
      </c>
      <c r="AN1120">
        <v>51</v>
      </c>
      <c r="AO1120" t="s">
        <v>46</v>
      </c>
    </row>
    <row r="1121" spans="1:41">
      <c r="A1121" t="s">
        <v>1273</v>
      </c>
      <c r="B1121">
        <v>2015</v>
      </c>
      <c r="C1121" s="1">
        <v>42303</v>
      </c>
      <c r="D1121" t="s">
        <v>42</v>
      </c>
      <c r="E1121" t="s">
        <v>160</v>
      </c>
      <c r="F1121">
        <v>73</v>
      </c>
      <c r="G1121" t="s">
        <v>60</v>
      </c>
      <c r="H1121" t="s">
        <v>70</v>
      </c>
      <c r="I1121">
        <v>0</v>
      </c>
      <c r="J1121">
        <v>0</v>
      </c>
      <c r="K1121" t="s">
        <v>47</v>
      </c>
      <c r="L1121" t="s">
        <v>46</v>
      </c>
      <c r="M1121" t="s">
        <v>46</v>
      </c>
      <c r="N1121" t="s">
        <v>62</v>
      </c>
      <c r="O1121" t="s">
        <v>49</v>
      </c>
      <c r="P1121">
        <v>22</v>
      </c>
      <c r="Q1121" t="s">
        <v>50</v>
      </c>
      <c r="R1121" t="s">
        <v>47</v>
      </c>
      <c r="S1121" t="s">
        <v>47</v>
      </c>
      <c r="T1121" t="s">
        <v>47</v>
      </c>
      <c r="U1121" t="s">
        <v>47</v>
      </c>
      <c r="V1121" t="s">
        <v>128</v>
      </c>
      <c r="W1121" t="s">
        <v>47</v>
      </c>
      <c r="X1121" t="s">
        <v>47</v>
      </c>
      <c r="Y1121" t="s">
        <v>47</v>
      </c>
      <c r="Z1121" t="s">
        <v>47</v>
      </c>
      <c r="AA1121" t="s">
        <v>46</v>
      </c>
      <c r="AB1121" t="s">
        <v>47</v>
      </c>
      <c r="AC1121" t="s">
        <v>47</v>
      </c>
      <c r="AD1121" t="s">
        <v>47</v>
      </c>
      <c r="AE1121" t="s">
        <v>47</v>
      </c>
      <c r="AF1121" t="s">
        <v>47</v>
      </c>
      <c r="AG1121" t="s">
        <v>52</v>
      </c>
      <c r="AH1121" t="s">
        <v>53</v>
      </c>
      <c r="AI1121" t="s">
        <v>65</v>
      </c>
      <c r="AJ1121">
        <v>2.9</v>
      </c>
      <c r="AK1121" t="s">
        <v>47</v>
      </c>
      <c r="AL1121" t="s">
        <v>72</v>
      </c>
      <c r="AM1121" t="s">
        <v>103</v>
      </c>
      <c r="AN1121">
        <v>39</v>
      </c>
      <c r="AO1121" t="s">
        <v>46</v>
      </c>
    </row>
    <row r="1122" spans="1:41">
      <c r="A1122" t="s">
        <v>1274</v>
      </c>
      <c r="B1122">
        <v>2023</v>
      </c>
      <c r="C1122" s="1">
        <v>45090</v>
      </c>
      <c r="D1122" t="s">
        <v>42</v>
      </c>
      <c r="E1122" t="s">
        <v>247</v>
      </c>
      <c r="F1122">
        <v>57</v>
      </c>
      <c r="G1122" t="s">
        <v>44</v>
      </c>
      <c r="H1122" t="s">
        <v>70</v>
      </c>
      <c r="I1122">
        <v>0</v>
      </c>
      <c r="J1122">
        <v>0</v>
      </c>
      <c r="K1122" t="s">
        <v>46</v>
      </c>
      <c r="L1122" t="s">
        <v>47</v>
      </c>
      <c r="M1122" t="s">
        <v>46</v>
      </c>
      <c r="N1122" t="s">
        <v>48</v>
      </c>
      <c r="O1122" t="s">
        <v>49</v>
      </c>
      <c r="P1122">
        <v>23.7</v>
      </c>
      <c r="Q1122" t="s">
        <v>62</v>
      </c>
      <c r="R1122" t="s">
        <v>47</v>
      </c>
      <c r="S1122" t="s">
        <v>46</v>
      </c>
      <c r="T1122" t="s">
        <v>47</v>
      </c>
      <c r="U1122" t="s">
        <v>47</v>
      </c>
      <c r="V1122" t="s">
        <v>51</v>
      </c>
      <c r="W1122" t="s">
        <v>46</v>
      </c>
      <c r="X1122" t="s">
        <v>46</v>
      </c>
      <c r="Y1122" t="s">
        <v>47</v>
      </c>
      <c r="Z1122" t="s">
        <v>47</v>
      </c>
      <c r="AA1122" t="s">
        <v>46</v>
      </c>
      <c r="AB1122" t="s">
        <v>47</v>
      </c>
      <c r="AC1122" t="s">
        <v>47</v>
      </c>
      <c r="AD1122" t="s">
        <v>47</v>
      </c>
      <c r="AE1122" t="s">
        <v>47</v>
      </c>
      <c r="AF1122" t="s">
        <v>47</v>
      </c>
      <c r="AG1122" t="s">
        <v>121</v>
      </c>
      <c r="AH1122" t="s">
        <v>122</v>
      </c>
      <c r="AI1122" t="s">
        <v>87</v>
      </c>
      <c r="AJ1122">
        <v>4.8</v>
      </c>
      <c r="AK1122" t="s">
        <v>47</v>
      </c>
      <c r="AL1122" t="s">
        <v>76</v>
      </c>
      <c r="AM1122" t="s">
        <v>103</v>
      </c>
      <c r="AN1122">
        <v>22</v>
      </c>
      <c r="AO1122" t="s">
        <v>46</v>
      </c>
    </row>
    <row r="1123" spans="1:41">
      <c r="A1123" t="s">
        <v>1275</v>
      </c>
      <c r="B1123">
        <v>2017</v>
      </c>
      <c r="C1123" s="1">
        <v>42928</v>
      </c>
      <c r="D1123" t="s">
        <v>42</v>
      </c>
      <c r="E1123" t="s">
        <v>69</v>
      </c>
      <c r="F1123">
        <v>59</v>
      </c>
      <c r="G1123" t="s">
        <v>44</v>
      </c>
      <c r="H1123" t="s">
        <v>70</v>
      </c>
      <c r="I1123">
        <v>0</v>
      </c>
      <c r="J1123">
        <v>0</v>
      </c>
      <c r="K1123" t="s">
        <v>47</v>
      </c>
      <c r="L1123" t="s">
        <v>47</v>
      </c>
      <c r="M1123" t="s">
        <v>47</v>
      </c>
      <c r="N1123" t="s">
        <v>62</v>
      </c>
      <c r="O1123" t="s">
        <v>63</v>
      </c>
      <c r="P1123">
        <v>30.4</v>
      </c>
      <c r="Q1123" t="s">
        <v>62</v>
      </c>
      <c r="R1123" t="s">
        <v>47</v>
      </c>
      <c r="S1123" t="s">
        <v>47</v>
      </c>
      <c r="T1123" t="s">
        <v>47</v>
      </c>
      <c r="U1123" t="s">
        <v>47</v>
      </c>
      <c r="V1123" t="s">
        <v>51</v>
      </c>
      <c r="W1123" t="s">
        <v>47</v>
      </c>
      <c r="X1123" t="s">
        <v>46</v>
      </c>
      <c r="Y1123" t="s">
        <v>47</v>
      </c>
      <c r="Z1123" t="s">
        <v>47</v>
      </c>
      <c r="AA1123" t="s">
        <v>47</v>
      </c>
      <c r="AB1123" t="s">
        <v>46</v>
      </c>
      <c r="AC1123" t="s">
        <v>47</v>
      </c>
      <c r="AD1123" t="s">
        <v>47</v>
      </c>
      <c r="AE1123" t="s">
        <v>47</v>
      </c>
      <c r="AF1123" t="s">
        <v>47</v>
      </c>
      <c r="AG1123" t="s">
        <v>52</v>
      </c>
      <c r="AH1123" t="s">
        <v>53</v>
      </c>
      <c r="AI1123" t="s">
        <v>87</v>
      </c>
      <c r="AJ1123">
        <v>3.2</v>
      </c>
      <c r="AK1123" t="s">
        <v>47</v>
      </c>
      <c r="AL1123" t="s">
        <v>66</v>
      </c>
      <c r="AM1123" t="s">
        <v>118</v>
      </c>
      <c r="AN1123">
        <v>48</v>
      </c>
      <c r="AO1123" t="s">
        <v>47</v>
      </c>
    </row>
    <row r="1124" spans="1:41">
      <c r="A1124" t="s">
        <v>1276</v>
      </c>
      <c r="B1124">
        <v>2015</v>
      </c>
      <c r="C1124" s="1">
        <v>42284</v>
      </c>
      <c r="D1124" t="s">
        <v>95</v>
      </c>
      <c r="E1124" t="s">
        <v>255</v>
      </c>
      <c r="F1124">
        <v>71</v>
      </c>
      <c r="G1124" t="s">
        <v>44</v>
      </c>
      <c r="H1124" t="s">
        <v>70</v>
      </c>
      <c r="I1124">
        <v>0</v>
      </c>
      <c r="J1124">
        <v>0</v>
      </c>
      <c r="K1124" t="s">
        <v>47</v>
      </c>
      <c r="L1124" t="s">
        <v>46</v>
      </c>
      <c r="M1124" t="s">
        <v>46</v>
      </c>
      <c r="N1124" t="s">
        <v>48</v>
      </c>
      <c r="O1124" t="s">
        <v>48</v>
      </c>
      <c r="P1124">
        <v>27.4</v>
      </c>
      <c r="Q1124" t="s">
        <v>48</v>
      </c>
      <c r="R1124" t="s">
        <v>47</v>
      </c>
      <c r="S1124" t="s">
        <v>47</v>
      </c>
      <c r="T1124" t="s">
        <v>47</v>
      </c>
      <c r="U1124" t="s">
        <v>47</v>
      </c>
      <c r="V1124" t="s">
        <v>64</v>
      </c>
      <c r="W1124" t="s">
        <v>47</v>
      </c>
      <c r="X1124" t="s">
        <v>47</v>
      </c>
      <c r="Y1124" t="s">
        <v>47</v>
      </c>
      <c r="Z1124" t="s">
        <v>47</v>
      </c>
      <c r="AA1124" t="s">
        <v>46</v>
      </c>
      <c r="AB1124" t="s">
        <v>47</v>
      </c>
      <c r="AC1124" t="s">
        <v>47</v>
      </c>
      <c r="AD1124" t="s">
        <v>47</v>
      </c>
      <c r="AE1124" t="s">
        <v>47</v>
      </c>
      <c r="AF1124" t="s">
        <v>47</v>
      </c>
      <c r="AG1124" t="s">
        <v>52</v>
      </c>
      <c r="AH1124" t="s">
        <v>53</v>
      </c>
      <c r="AI1124" t="s">
        <v>80</v>
      </c>
      <c r="AJ1124">
        <v>6.2</v>
      </c>
      <c r="AK1124" t="s">
        <v>47</v>
      </c>
      <c r="AL1124" t="s">
        <v>81</v>
      </c>
      <c r="AM1124" t="s">
        <v>56</v>
      </c>
      <c r="AN1124">
        <v>9</v>
      </c>
      <c r="AO1124" t="s">
        <v>47</v>
      </c>
    </row>
    <row r="1125" spans="1:41">
      <c r="A1125" t="s">
        <v>1277</v>
      </c>
      <c r="B1125">
        <v>2020</v>
      </c>
      <c r="C1125" s="1">
        <v>44080</v>
      </c>
      <c r="D1125" t="s">
        <v>95</v>
      </c>
      <c r="E1125" t="s">
        <v>147</v>
      </c>
      <c r="F1125">
        <v>63</v>
      </c>
      <c r="G1125" t="s">
        <v>60</v>
      </c>
      <c r="H1125" t="s">
        <v>45</v>
      </c>
      <c r="I1125">
        <v>50</v>
      </c>
      <c r="J1125">
        <v>24</v>
      </c>
      <c r="K1125" t="s">
        <v>46</v>
      </c>
      <c r="L1125" t="s">
        <v>47</v>
      </c>
      <c r="M1125" t="s">
        <v>47</v>
      </c>
      <c r="N1125" t="s">
        <v>48</v>
      </c>
      <c r="O1125" t="s">
        <v>48</v>
      </c>
      <c r="P1125">
        <v>24</v>
      </c>
      <c r="Q1125" t="s">
        <v>50</v>
      </c>
      <c r="R1125" t="s">
        <v>47</v>
      </c>
      <c r="S1125" t="s">
        <v>47</v>
      </c>
      <c r="T1125" t="s">
        <v>46</v>
      </c>
      <c r="U1125" t="s">
        <v>47</v>
      </c>
      <c r="V1125" t="s">
        <v>86</v>
      </c>
      <c r="W1125" t="s">
        <v>46</v>
      </c>
      <c r="X1125" t="s">
        <v>46</v>
      </c>
      <c r="Y1125" t="s">
        <v>47</v>
      </c>
      <c r="Z1125" t="s">
        <v>47</v>
      </c>
      <c r="AA1125" t="s">
        <v>47</v>
      </c>
      <c r="AB1125" t="s">
        <v>47</v>
      </c>
      <c r="AC1125" t="s">
        <v>47</v>
      </c>
      <c r="AD1125" t="s">
        <v>46</v>
      </c>
      <c r="AE1125" t="s">
        <v>47</v>
      </c>
      <c r="AF1125" t="s">
        <v>47</v>
      </c>
      <c r="AG1125" t="s">
        <v>52</v>
      </c>
      <c r="AH1125" t="s">
        <v>53</v>
      </c>
      <c r="AI1125" t="s">
        <v>87</v>
      </c>
      <c r="AJ1125">
        <v>2.8</v>
      </c>
      <c r="AK1125" t="s">
        <v>47</v>
      </c>
      <c r="AL1125" t="s">
        <v>100</v>
      </c>
      <c r="AM1125" t="s">
        <v>67</v>
      </c>
      <c r="AN1125">
        <v>13</v>
      </c>
      <c r="AO1125" t="s">
        <v>46</v>
      </c>
    </row>
    <row r="1126" spans="1:41">
      <c r="A1126" t="s">
        <v>1278</v>
      </c>
      <c r="B1126">
        <v>2025</v>
      </c>
      <c r="C1126" s="1">
        <v>45681</v>
      </c>
      <c r="D1126" t="s">
        <v>42</v>
      </c>
      <c r="E1126" t="s">
        <v>210</v>
      </c>
      <c r="F1126">
        <v>42</v>
      </c>
      <c r="G1126" t="s">
        <v>44</v>
      </c>
      <c r="H1126" t="s">
        <v>70</v>
      </c>
      <c r="I1126">
        <v>0</v>
      </c>
      <c r="J1126">
        <v>0</v>
      </c>
      <c r="K1126" t="s">
        <v>47</v>
      </c>
      <c r="L1126" t="s">
        <v>46</v>
      </c>
      <c r="M1126" t="s">
        <v>46</v>
      </c>
      <c r="N1126" t="s">
        <v>62</v>
      </c>
      <c r="O1126" t="s">
        <v>49</v>
      </c>
      <c r="P1126">
        <v>32.799999999999997</v>
      </c>
      <c r="Q1126" t="s">
        <v>62</v>
      </c>
      <c r="R1126" t="s">
        <v>47</v>
      </c>
      <c r="S1126" t="s">
        <v>47</v>
      </c>
      <c r="T1126" t="s">
        <v>47</v>
      </c>
      <c r="U1126" t="s">
        <v>47</v>
      </c>
      <c r="V1126" t="s">
        <v>86</v>
      </c>
      <c r="W1126" t="s">
        <v>47</v>
      </c>
      <c r="X1126" t="s">
        <v>46</v>
      </c>
      <c r="Y1126" t="s">
        <v>47</v>
      </c>
      <c r="Z1126" t="s">
        <v>47</v>
      </c>
      <c r="AA1126" t="s">
        <v>47</v>
      </c>
      <c r="AB1126" t="s">
        <v>46</v>
      </c>
      <c r="AC1126" t="s">
        <v>47</v>
      </c>
      <c r="AD1126" t="s">
        <v>47</v>
      </c>
      <c r="AE1126" t="s">
        <v>46</v>
      </c>
      <c r="AF1126" t="s">
        <v>47</v>
      </c>
      <c r="AG1126" t="s">
        <v>52</v>
      </c>
      <c r="AH1126" t="s">
        <v>53</v>
      </c>
      <c r="AI1126" t="s">
        <v>87</v>
      </c>
      <c r="AJ1126">
        <v>3.1</v>
      </c>
      <c r="AK1126" t="s">
        <v>47</v>
      </c>
      <c r="AL1126" t="s">
        <v>81</v>
      </c>
      <c r="AM1126" t="s">
        <v>67</v>
      </c>
      <c r="AN1126">
        <v>33</v>
      </c>
      <c r="AO1126" t="s">
        <v>47</v>
      </c>
    </row>
    <row r="1127" spans="1:41">
      <c r="A1127" t="s">
        <v>1279</v>
      </c>
      <c r="B1127">
        <v>2022</v>
      </c>
      <c r="C1127" s="1">
        <v>44902</v>
      </c>
      <c r="D1127" t="s">
        <v>42</v>
      </c>
      <c r="E1127" t="s">
        <v>210</v>
      </c>
      <c r="F1127">
        <v>50</v>
      </c>
      <c r="G1127" t="s">
        <v>44</v>
      </c>
      <c r="H1127" t="s">
        <v>70</v>
      </c>
      <c r="I1127">
        <v>0</v>
      </c>
      <c r="J1127">
        <v>0</v>
      </c>
      <c r="K1127" t="s">
        <v>46</v>
      </c>
      <c r="L1127" t="s">
        <v>47</v>
      </c>
      <c r="M1127" t="s">
        <v>47</v>
      </c>
      <c r="N1127" t="s">
        <v>62</v>
      </c>
      <c r="O1127" t="s">
        <v>49</v>
      </c>
      <c r="P1127">
        <v>24.4</v>
      </c>
      <c r="Q1127" t="s">
        <v>62</v>
      </c>
      <c r="R1127" t="s">
        <v>47</v>
      </c>
      <c r="S1127" t="s">
        <v>47</v>
      </c>
      <c r="T1127" t="s">
        <v>47</v>
      </c>
      <c r="U1127" t="s">
        <v>47</v>
      </c>
      <c r="V1127" t="s">
        <v>92</v>
      </c>
      <c r="W1127" t="s">
        <v>47</v>
      </c>
      <c r="X1127" t="s">
        <v>47</v>
      </c>
      <c r="Y1127" t="s">
        <v>46</v>
      </c>
      <c r="Z1127" t="s">
        <v>47</v>
      </c>
      <c r="AA1127" t="s">
        <v>47</v>
      </c>
      <c r="AB1127" t="s">
        <v>47</v>
      </c>
      <c r="AC1127" t="s">
        <v>47</v>
      </c>
      <c r="AD1127" t="s">
        <v>47</v>
      </c>
      <c r="AE1127" t="s">
        <v>47</v>
      </c>
      <c r="AF1127" t="s">
        <v>47</v>
      </c>
      <c r="AG1127" t="s">
        <v>52</v>
      </c>
      <c r="AH1127" t="s">
        <v>53</v>
      </c>
      <c r="AI1127" t="s">
        <v>65</v>
      </c>
      <c r="AJ1127">
        <v>1.8</v>
      </c>
      <c r="AK1127" t="s">
        <v>47</v>
      </c>
      <c r="AL1127" t="s">
        <v>76</v>
      </c>
      <c r="AM1127" t="s">
        <v>103</v>
      </c>
      <c r="AN1127">
        <v>98</v>
      </c>
      <c r="AO1127" t="s">
        <v>47</v>
      </c>
    </row>
    <row r="1128" spans="1:41">
      <c r="A1128" t="s">
        <v>1280</v>
      </c>
      <c r="B1128">
        <v>2025</v>
      </c>
      <c r="C1128" s="1">
        <v>45804</v>
      </c>
      <c r="D1128" t="s">
        <v>42</v>
      </c>
      <c r="E1128" t="s">
        <v>69</v>
      </c>
      <c r="F1128">
        <v>53</v>
      </c>
      <c r="G1128" t="s">
        <v>60</v>
      </c>
      <c r="H1128" t="s">
        <v>45</v>
      </c>
      <c r="I1128">
        <v>14</v>
      </c>
      <c r="J1128">
        <v>18</v>
      </c>
      <c r="K1128" t="s">
        <v>46</v>
      </c>
      <c r="L1128" t="s">
        <v>46</v>
      </c>
      <c r="M1128" t="s">
        <v>46</v>
      </c>
      <c r="N1128" t="s">
        <v>50</v>
      </c>
      <c r="O1128" t="s">
        <v>48</v>
      </c>
      <c r="P1128">
        <v>19.399999999999999</v>
      </c>
      <c r="Q1128" t="s">
        <v>50</v>
      </c>
      <c r="R1128" t="s">
        <v>47</v>
      </c>
      <c r="S1128" t="s">
        <v>46</v>
      </c>
      <c r="T1128" t="s">
        <v>47</v>
      </c>
      <c r="U1128" t="s">
        <v>47</v>
      </c>
      <c r="V1128" t="s">
        <v>51</v>
      </c>
      <c r="W1128" t="s">
        <v>46</v>
      </c>
      <c r="X1128" t="s">
        <v>47</v>
      </c>
      <c r="Y1128" t="s">
        <v>46</v>
      </c>
      <c r="Z1128" t="s">
        <v>47</v>
      </c>
      <c r="AA1128" t="s">
        <v>46</v>
      </c>
      <c r="AB1128" t="s">
        <v>46</v>
      </c>
      <c r="AC1128" t="s">
        <v>46</v>
      </c>
      <c r="AD1128" t="s">
        <v>47</v>
      </c>
      <c r="AE1128" t="s">
        <v>47</v>
      </c>
      <c r="AF1128" t="s">
        <v>47</v>
      </c>
      <c r="AG1128" t="s">
        <v>121</v>
      </c>
      <c r="AH1128" t="s">
        <v>122</v>
      </c>
      <c r="AI1128" t="s">
        <v>54</v>
      </c>
      <c r="AJ1128">
        <v>5.9</v>
      </c>
      <c r="AK1128" t="s">
        <v>46</v>
      </c>
      <c r="AL1128" t="s">
        <v>66</v>
      </c>
      <c r="AM1128" t="s">
        <v>118</v>
      </c>
      <c r="AN1128">
        <v>7</v>
      </c>
      <c r="AO1128" t="s">
        <v>47</v>
      </c>
    </row>
    <row r="1129" spans="1:41">
      <c r="A1129" t="s">
        <v>1281</v>
      </c>
      <c r="B1129">
        <v>2021</v>
      </c>
      <c r="C1129" s="1">
        <v>44399</v>
      </c>
      <c r="D1129" t="s">
        <v>42</v>
      </c>
      <c r="E1129" t="s">
        <v>210</v>
      </c>
      <c r="F1129">
        <v>44</v>
      </c>
      <c r="G1129" t="s">
        <v>44</v>
      </c>
      <c r="H1129" t="s">
        <v>45</v>
      </c>
      <c r="I1129">
        <v>16</v>
      </c>
      <c r="J1129">
        <v>16</v>
      </c>
      <c r="K1129" t="s">
        <v>46</v>
      </c>
      <c r="L1129" t="s">
        <v>47</v>
      </c>
      <c r="M1129" t="s">
        <v>47</v>
      </c>
      <c r="N1129" t="s">
        <v>62</v>
      </c>
      <c r="O1129" t="s">
        <v>48</v>
      </c>
      <c r="P1129">
        <v>25.4</v>
      </c>
      <c r="Q1129" t="s">
        <v>62</v>
      </c>
      <c r="R1129" t="s">
        <v>47</v>
      </c>
      <c r="S1129" t="s">
        <v>47</v>
      </c>
      <c r="T1129" t="s">
        <v>47</v>
      </c>
      <c r="U1129" t="s">
        <v>47</v>
      </c>
      <c r="V1129" t="s">
        <v>64</v>
      </c>
      <c r="W1129" t="s">
        <v>46</v>
      </c>
      <c r="X1129" t="s">
        <v>46</v>
      </c>
      <c r="Y1129" t="s">
        <v>47</v>
      </c>
      <c r="Z1129" t="s">
        <v>47</v>
      </c>
      <c r="AA1129" t="s">
        <v>46</v>
      </c>
      <c r="AB1129" t="s">
        <v>47</v>
      </c>
      <c r="AC1129" t="s">
        <v>46</v>
      </c>
      <c r="AD1129" t="s">
        <v>46</v>
      </c>
      <c r="AE1129" t="s">
        <v>47</v>
      </c>
      <c r="AF1129" t="s">
        <v>47</v>
      </c>
      <c r="AG1129" t="s">
        <v>52</v>
      </c>
      <c r="AH1129" t="s">
        <v>53</v>
      </c>
      <c r="AI1129" t="s">
        <v>54</v>
      </c>
      <c r="AJ1129">
        <v>9.5</v>
      </c>
      <c r="AK1129" t="s">
        <v>46</v>
      </c>
      <c r="AL1129" t="s">
        <v>156</v>
      </c>
      <c r="AM1129" t="s">
        <v>77</v>
      </c>
      <c r="AN1129">
        <v>1</v>
      </c>
      <c r="AO1129" t="s">
        <v>47</v>
      </c>
    </row>
    <row r="1130" spans="1:41">
      <c r="A1130" t="s">
        <v>1282</v>
      </c>
      <c r="B1130">
        <v>2021</v>
      </c>
      <c r="C1130" s="1">
        <v>44276</v>
      </c>
      <c r="D1130" t="s">
        <v>98</v>
      </c>
      <c r="E1130" t="s">
        <v>196</v>
      </c>
      <c r="F1130">
        <v>62</v>
      </c>
      <c r="G1130" t="s">
        <v>60</v>
      </c>
      <c r="H1130" t="s">
        <v>70</v>
      </c>
      <c r="I1130">
        <v>0</v>
      </c>
      <c r="J1130">
        <v>0</v>
      </c>
      <c r="K1130" t="s">
        <v>47</v>
      </c>
      <c r="L1130" t="s">
        <v>47</v>
      </c>
      <c r="M1130" t="s">
        <v>47</v>
      </c>
      <c r="N1130" t="s">
        <v>50</v>
      </c>
      <c r="O1130" t="s">
        <v>48</v>
      </c>
      <c r="P1130">
        <v>22.2</v>
      </c>
      <c r="Q1130" t="s">
        <v>50</v>
      </c>
      <c r="R1130" t="s">
        <v>47</v>
      </c>
      <c r="S1130" t="s">
        <v>47</v>
      </c>
      <c r="T1130" t="s">
        <v>47</v>
      </c>
      <c r="U1130" t="s">
        <v>47</v>
      </c>
      <c r="V1130" t="s">
        <v>117</v>
      </c>
      <c r="W1130" t="s">
        <v>46</v>
      </c>
      <c r="X1130" t="s">
        <v>47</v>
      </c>
      <c r="Y1130" t="s">
        <v>47</v>
      </c>
      <c r="Z1130" t="s">
        <v>47</v>
      </c>
      <c r="AA1130" t="s">
        <v>46</v>
      </c>
      <c r="AB1130" t="s">
        <v>46</v>
      </c>
      <c r="AC1130" t="s">
        <v>47</v>
      </c>
      <c r="AD1130" t="s">
        <v>47</v>
      </c>
      <c r="AE1130" t="s">
        <v>47</v>
      </c>
      <c r="AF1130" t="s">
        <v>47</v>
      </c>
      <c r="AG1130" t="s">
        <v>52</v>
      </c>
      <c r="AH1130" t="s">
        <v>53</v>
      </c>
      <c r="AI1130" t="s">
        <v>54</v>
      </c>
      <c r="AJ1130">
        <v>3.8</v>
      </c>
      <c r="AK1130" t="s">
        <v>46</v>
      </c>
      <c r="AL1130" t="s">
        <v>66</v>
      </c>
      <c r="AM1130" t="s">
        <v>77</v>
      </c>
      <c r="AN1130">
        <v>15</v>
      </c>
      <c r="AO1130" t="s">
        <v>47</v>
      </c>
    </row>
    <row r="1131" spans="1:41">
      <c r="A1131" t="s">
        <v>1283</v>
      </c>
      <c r="B1131">
        <v>2023</v>
      </c>
      <c r="C1131" s="1">
        <v>45025</v>
      </c>
      <c r="D1131" t="s">
        <v>42</v>
      </c>
      <c r="E1131" t="s">
        <v>166</v>
      </c>
      <c r="F1131">
        <v>59</v>
      </c>
      <c r="G1131" t="s">
        <v>44</v>
      </c>
      <c r="H1131" t="s">
        <v>70</v>
      </c>
      <c r="I1131">
        <v>0</v>
      </c>
      <c r="J1131">
        <v>0</v>
      </c>
      <c r="K1131" t="s">
        <v>46</v>
      </c>
      <c r="L1131" t="s">
        <v>47</v>
      </c>
      <c r="M1131" t="s">
        <v>47</v>
      </c>
      <c r="N1131" t="s">
        <v>62</v>
      </c>
      <c r="O1131" t="s">
        <v>49</v>
      </c>
      <c r="P1131">
        <v>35.4</v>
      </c>
      <c r="Q1131" t="s">
        <v>62</v>
      </c>
      <c r="R1131" t="s">
        <v>47</v>
      </c>
      <c r="S1131" t="s">
        <v>47</v>
      </c>
      <c r="T1131" t="s">
        <v>47</v>
      </c>
      <c r="U1131" t="s">
        <v>47</v>
      </c>
      <c r="V1131" t="s">
        <v>64</v>
      </c>
      <c r="W1131" t="s">
        <v>46</v>
      </c>
      <c r="X1131" t="s">
        <v>46</v>
      </c>
      <c r="Y1131" t="s">
        <v>46</v>
      </c>
      <c r="Z1131" t="s">
        <v>47</v>
      </c>
      <c r="AA1131" t="s">
        <v>46</v>
      </c>
      <c r="AB1131" t="s">
        <v>47</v>
      </c>
      <c r="AC1131" t="s">
        <v>47</v>
      </c>
      <c r="AD1131" t="s">
        <v>47</v>
      </c>
      <c r="AE1131" t="s">
        <v>47</v>
      </c>
      <c r="AF1131" t="s">
        <v>47</v>
      </c>
      <c r="AG1131" t="s">
        <v>52</v>
      </c>
      <c r="AH1131" t="s">
        <v>53</v>
      </c>
      <c r="AI1131" t="s">
        <v>80</v>
      </c>
      <c r="AJ1131">
        <v>6.9</v>
      </c>
      <c r="AK1131" t="s">
        <v>47</v>
      </c>
      <c r="AL1131" t="s">
        <v>81</v>
      </c>
      <c r="AM1131" t="s">
        <v>77</v>
      </c>
      <c r="AN1131">
        <v>24</v>
      </c>
      <c r="AO1131" t="s">
        <v>47</v>
      </c>
    </row>
    <row r="1132" spans="1:41">
      <c r="A1132" t="s">
        <v>1284</v>
      </c>
      <c r="B1132">
        <v>2023</v>
      </c>
      <c r="C1132" s="1">
        <v>45274</v>
      </c>
      <c r="D1132" t="s">
        <v>42</v>
      </c>
      <c r="E1132" t="s">
        <v>79</v>
      </c>
      <c r="F1132">
        <v>54</v>
      </c>
      <c r="G1132" t="s">
        <v>44</v>
      </c>
      <c r="H1132" t="s">
        <v>70</v>
      </c>
      <c r="I1132">
        <v>0</v>
      </c>
      <c r="J1132">
        <v>0</v>
      </c>
      <c r="K1132" t="s">
        <v>46</v>
      </c>
      <c r="L1132" t="s">
        <v>47</v>
      </c>
      <c r="M1132" t="s">
        <v>47</v>
      </c>
      <c r="N1132" t="s">
        <v>48</v>
      </c>
      <c r="O1132" t="s">
        <v>49</v>
      </c>
      <c r="P1132">
        <v>27.6</v>
      </c>
      <c r="Q1132" t="s">
        <v>62</v>
      </c>
      <c r="R1132" t="s">
        <v>47</v>
      </c>
      <c r="S1132" t="s">
        <v>47</v>
      </c>
      <c r="T1132" t="s">
        <v>47</v>
      </c>
      <c r="U1132" t="s">
        <v>47</v>
      </c>
      <c r="V1132" t="s">
        <v>92</v>
      </c>
      <c r="W1132" t="s">
        <v>47</v>
      </c>
      <c r="X1132" t="s">
        <v>47</v>
      </c>
      <c r="Y1132" t="s">
        <v>47</v>
      </c>
      <c r="Z1132" t="s">
        <v>47</v>
      </c>
      <c r="AA1132" t="s">
        <v>47</v>
      </c>
      <c r="AB1132" t="s">
        <v>47</v>
      </c>
      <c r="AC1132" t="s">
        <v>46</v>
      </c>
      <c r="AD1132" t="s">
        <v>46</v>
      </c>
      <c r="AE1132" t="s">
        <v>47</v>
      </c>
      <c r="AF1132" t="s">
        <v>47</v>
      </c>
      <c r="AG1132" t="s">
        <v>52</v>
      </c>
      <c r="AH1132" t="s">
        <v>53</v>
      </c>
      <c r="AI1132" t="s">
        <v>87</v>
      </c>
      <c r="AJ1132">
        <v>2.5</v>
      </c>
      <c r="AK1132" t="s">
        <v>47</v>
      </c>
      <c r="AL1132" t="s">
        <v>81</v>
      </c>
      <c r="AM1132" t="s">
        <v>103</v>
      </c>
      <c r="AN1132">
        <v>22</v>
      </c>
      <c r="AO1132" t="s">
        <v>47</v>
      </c>
    </row>
    <row r="1133" spans="1:41">
      <c r="A1133" t="s">
        <v>1285</v>
      </c>
      <c r="B1133">
        <v>2024</v>
      </c>
      <c r="C1133" s="1">
        <v>45337</v>
      </c>
      <c r="D1133" t="s">
        <v>110</v>
      </c>
      <c r="E1133" t="s">
        <v>124</v>
      </c>
      <c r="F1133">
        <v>62</v>
      </c>
      <c r="G1133" t="s">
        <v>60</v>
      </c>
      <c r="H1133" t="s">
        <v>70</v>
      </c>
      <c r="I1133">
        <v>0</v>
      </c>
      <c r="J1133">
        <v>0</v>
      </c>
      <c r="K1133" t="s">
        <v>47</v>
      </c>
      <c r="L1133" t="s">
        <v>47</v>
      </c>
      <c r="M1133" t="s">
        <v>46</v>
      </c>
      <c r="N1133" t="s">
        <v>62</v>
      </c>
      <c r="O1133" t="s">
        <v>63</v>
      </c>
      <c r="P1133">
        <v>24.5</v>
      </c>
      <c r="Q1133" t="s">
        <v>50</v>
      </c>
      <c r="R1133" t="s">
        <v>47</v>
      </c>
      <c r="S1133" t="s">
        <v>47</v>
      </c>
      <c r="T1133" t="s">
        <v>47</v>
      </c>
      <c r="U1133" t="s">
        <v>47</v>
      </c>
      <c r="V1133" t="s">
        <v>117</v>
      </c>
      <c r="W1133" t="s">
        <v>46</v>
      </c>
      <c r="X1133" t="s">
        <v>47</v>
      </c>
      <c r="Y1133" t="s">
        <v>47</v>
      </c>
      <c r="Z1133" t="s">
        <v>46</v>
      </c>
      <c r="AA1133" t="s">
        <v>46</v>
      </c>
      <c r="AB1133" t="s">
        <v>47</v>
      </c>
      <c r="AC1133" t="s">
        <v>47</v>
      </c>
      <c r="AD1133" t="s">
        <v>47</v>
      </c>
      <c r="AE1133" t="s">
        <v>47</v>
      </c>
      <c r="AF1133" t="s">
        <v>47</v>
      </c>
      <c r="AG1133" t="s">
        <v>52</v>
      </c>
      <c r="AH1133" t="s">
        <v>71</v>
      </c>
      <c r="AI1133" t="s">
        <v>65</v>
      </c>
      <c r="AJ1133">
        <v>3.2</v>
      </c>
      <c r="AK1133" t="s">
        <v>47</v>
      </c>
      <c r="AL1133" t="s">
        <v>81</v>
      </c>
      <c r="AM1133" t="s">
        <v>73</v>
      </c>
      <c r="AN1133">
        <v>82</v>
      </c>
      <c r="AO1133" t="s">
        <v>46</v>
      </c>
    </row>
    <row r="1134" spans="1:41">
      <c r="A1134" t="s">
        <v>1286</v>
      </c>
      <c r="B1134">
        <v>2017</v>
      </c>
      <c r="C1134" s="1">
        <v>42966</v>
      </c>
      <c r="D1134" t="s">
        <v>110</v>
      </c>
      <c r="E1134" t="s">
        <v>231</v>
      </c>
      <c r="F1134">
        <v>64</v>
      </c>
      <c r="G1134" t="s">
        <v>44</v>
      </c>
      <c r="H1134" t="s">
        <v>70</v>
      </c>
      <c r="I1134">
        <v>0</v>
      </c>
      <c r="J1134">
        <v>0</v>
      </c>
      <c r="K1134" t="s">
        <v>47</v>
      </c>
      <c r="L1134" t="s">
        <v>47</v>
      </c>
      <c r="M1134" t="s">
        <v>47</v>
      </c>
      <c r="N1134" t="s">
        <v>62</v>
      </c>
      <c r="O1134" t="s">
        <v>49</v>
      </c>
      <c r="P1134">
        <v>25.2</v>
      </c>
      <c r="Q1134" t="s">
        <v>50</v>
      </c>
      <c r="R1134" t="s">
        <v>47</v>
      </c>
      <c r="S1134" t="s">
        <v>47</v>
      </c>
      <c r="T1134" t="s">
        <v>47</v>
      </c>
      <c r="U1134" t="s">
        <v>47</v>
      </c>
      <c r="V1134" t="s">
        <v>64</v>
      </c>
      <c r="W1134" t="s">
        <v>47</v>
      </c>
      <c r="X1134" t="s">
        <v>47</v>
      </c>
      <c r="Y1134" t="s">
        <v>46</v>
      </c>
      <c r="Z1134" t="s">
        <v>47</v>
      </c>
      <c r="AA1134" t="s">
        <v>47</v>
      </c>
      <c r="AB1134" t="s">
        <v>47</v>
      </c>
      <c r="AC1134" t="s">
        <v>47</v>
      </c>
      <c r="AD1134" t="s">
        <v>46</v>
      </c>
      <c r="AE1134" t="s">
        <v>47</v>
      </c>
      <c r="AF1134" t="s">
        <v>46</v>
      </c>
      <c r="AG1134" t="s">
        <v>52</v>
      </c>
      <c r="AH1134" t="s">
        <v>53</v>
      </c>
      <c r="AI1134" t="s">
        <v>65</v>
      </c>
      <c r="AJ1134">
        <v>1.7</v>
      </c>
      <c r="AK1134" t="s">
        <v>47</v>
      </c>
      <c r="AL1134" t="s">
        <v>72</v>
      </c>
      <c r="AM1134" t="s">
        <v>73</v>
      </c>
      <c r="AN1134">
        <v>47</v>
      </c>
      <c r="AO1134" t="s">
        <v>46</v>
      </c>
    </row>
    <row r="1135" spans="1:41">
      <c r="A1135" t="s">
        <v>1287</v>
      </c>
      <c r="B1135">
        <v>2018</v>
      </c>
      <c r="C1135" s="1">
        <v>43360</v>
      </c>
      <c r="D1135" t="s">
        <v>58</v>
      </c>
      <c r="E1135" t="s">
        <v>229</v>
      </c>
      <c r="F1135">
        <v>75</v>
      </c>
      <c r="G1135" t="s">
        <v>60</v>
      </c>
      <c r="H1135" t="s">
        <v>45</v>
      </c>
      <c r="I1135">
        <v>24</v>
      </c>
      <c r="J1135">
        <v>50</v>
      </c>
      <c r="K1135" t="s">
        <v>47</v>
      </c>
      <c r="L1135" t="s">
        <v>47</v>
      </c>
      <c r="M1135" t="s">
        <v>47</v>
      </c>
      <c r="N1135" t="s">
        <v>50</v>
      </c>
      <c r="O1135" t="s">
        <v>49</v>
      </c>
      <c r="P1135">
        <v>28.8</v>
      </c>
      <c r="Q1135" t="s">
        <v>48</v>
      </c>
      <c r="R1135" t="s">
        <v>47</v>
      </c>
      <c r="S1135" t="s">
        <v>47</v>
      </c>
      <c r="T1135" t="s">
        <v>47</v>
      </c>
      <c r="U1135" t="s">
        <v>47</v>
      </c>
      <c r="V1135" t="s">
        <v>51</v>
      </c>
      <c r="W1135" t="s">
        <v>46</v>
      </c>
      <c r="X1135" t="s">
        <v>46</v>
      </c>
      <c r="Y1135" t="s">
        <v>47</v>
      </c>
      <c r="Z1135" t="s">
        <v>46</v>
      </c>
      <c r="AA1135" t="s">
        <v>47</v>
      </c>
      <c r="AB1135" t="s">
        <v>47</v>
      </c>
      <c r="AC1135" t="s">
        <v>46</v>
      </c>
      <c r="AD1135" t="s">
        <v>47</v>
      </c>
      <c r="AE1135" t="s">
        <v>47</v>
      </c>
      <c r="AF1135" t="s">
        <v>47</v>
      </c>
      <c r="AG1135" t="s">
        <v>52</v>
      </c>
      <c r="AH1135" t="s">
        <v>53</v>
      </c>
      <c r="AI1135" t="s">
        <v>54</v>
      </c>
      <c r="AJ1135">
        <v>6.9</v>
      </c>
      <c r="AK1135" t="s">
        <v>46</v>
      </c>
      <c r="AL1135" t="s">
        <v>100</v>
      </c>
      <c r="AM1135" t="s">
        <v>77</v>
      </c>
      <c r="AN1135">
        <v>4</v>
      </c>
      <c r="AO1135" t="s">
        <v>47</v>
      </c>
    </row>
    <row r="1136" spans="1:41">
      <c r="A1136" t="s">
        <v>1288</v>
      </c>
      <c r="B1136">
        <v>2021</v>
      </c>
      <c r="C1136" s="1">
        <v>44441</v>
      </c>
      <c r="D1136" t="s">
        <v>95</v>
      </c>
      <c r="E1136" t="s">
        <v>107</v>
      </c>
      <c r="F1136">
        <v>75</v>
      </c>
      <c r="G1136" t="s">
        <v>60</v>
      </c>
      <c r="H1136" t="s">
        <v>61</v>
      </c>
      <c r="I1136">
        <v>24</v>
      </c>
      <c r="J1136">
        <v>10</v>
      </c>
      <c r="K1136" t="s">
        <v>47</v>
      </c>
      <c r="L1136" t="s">
        <v>47</v>
      </c>
      <c r="M1136" t="s">
        <v>47</v>
      </c>
      <c r="N1136" t="s">
        <v>50</v>
      </c>
      <c r="O1136" t="s">
        <v>49</v>
      </c>
      <c r="P1136">
        <v>30.5</v>
      </c>
      <c r="Q1136" t="s">
        <v>48</v>
      </c>
      <c r="R1136" t="s">
        <v>47</v>
      </c>
      <c r="S1136" t="s">
        <v>47</v>
      </c>
      <c r="T1136" t="s">
        <v>47</v>
      </c>
      <c r="U1136" t="s">
        <v>47</v>
      </c>
      <c r="V1136" t="s">
        <v>51</v>
      </c>
      <c r="W1136" t="s">
        <v>47</v>
      </c>
      <c r="X1136" t="s">
        <v>46</v>
      </c>
      <c r="Y1136" t="s">
        <v>47</v>
      </c>
      <c r="Z1136" t="s">
        <v>47</v>
      </c>
      <c r="AA1136" t="s">
        <v>46</v>
      </c>
      <c r="AB1136" t="s">
        <v>46</v>
      </c>
      <c r="AC1136" t="s">
        <v>46</v>
      </c>
      <c r="AD1136" t="s">
        <v>47</v>
      </c>
      <c r="AE1136" t="s">
        <v>46</v>
      </c>
      <c r="AF1136" t="s">
        <v>47</v>
      </c>
      <c r="AG1136" t="s">
        <v>52</v>
      </c>
      <c r="AH1136" t="s">
        <v>53</v>
      </c>
      <c r="AI1136" t="s">
        <v>80</v>
      </c>
      <c r="AJ1136">
        <v>5.4</v>
      </c>
      <c r="AK1136" t="s">
        <v>47</v>
      </c>
      <c r="AL1136" t="s">
        <v>81</v>
      </c>
      <c r="AM1136" t="s">
        <v>56</v>
      </c>
      <c r="AN1136">
        <v>28</v>
      </c>
      <c r="AO1136" t="s">
        <v>47</v>
      </c>
    </row>
    <row r="1137" spans="1:41">
      <c r="A1137" t="s">
        <v>1289</v>
      </c>
      <c r="B1137">
        <v>2020</v>
      </c>
      <c r="C1137" s="1">
        <v>44191</v>
      </c>
      <c r="D1137" t="s">
        <v>58</v>
      </c>
      <c r="E1137" t="s">
        <v>220</v>
      </c>
      <c r="F1137">
        <v>37</v>
      </c>
      <c r="G1137" t="s">
        <v>44</v>
      </c>
      <c r="H1137" t="s">
        <v>70</v>
      </c>
      <c r="I1137">
        <v>0</v>
      </c>
      <c r="J1137">
        <v>0</v>
      </c>
      <c r="K1137" t="s">
        <v>47</v>
      </c>
      <c r="L1137" t="s">
        <v>46</v>
      </c>
      <c r="M1137" t="s">
        <v>47</v>
      </c>
      <c r="N1137" t="s">
        <v>50</v>
      </c>
      <c r="O1137" t="s">
        <v>48</v>
      </c>
      <c r="P1137">
        <v>28.1</v>
      </c>
      <c r="Q1137" t="s">
        <v>48</v>
      </c>
      <c r="R1137" t="s">
        <v>47</v>
      </c>
      <c r="S1137" t="s">
        <v>47</v>
      </c>
      <c r="T1137" t="s">
        <v>47</v>
      </c>
      <c r="U1137" t="s">
        <v>47</v>
      </c>
      <c r="V1137" t="s">
        <v>171</v>
      </c>
      <c r="W1137" t="s">
        <v>47</v>
      </c>
      <c r="X1137" t="s">
        <v>47</v>
      </c>
      <c r="Y1137" t="s">
        <v>47</v>
      </c>
      <c r="Z1137" t="s">
        <v>47</v>
      </c>
      <c r="AA1137" t="s">
        <v>46</v>
      </c>
      <c r="AB1137" t="s">
        <v>46</v>
      </c>
      <c r="AC1137" t="s">
        <v>47</v>
      </c>
      <c r="AD1137" t="s">
        <v>47</v>
      </c>
      <c r="AE1137" t="s">
        <v>47</v>
      </c>
      <c r="AF1137" t="s">
        <v>47</v>
      </c>
      <c r="AG1137" t="s">
        <v>52</v>
      </c>
      <c r="AH1137" t="s">
        <v>53</v>
      </c>
      <c r="AI1137" t="s">
        <v>87</v>
      </c>
      <c r="AJ1137">
        <v>2</v>
      </c>
      <c r="AK1137" t="s">
        <v>47</v>
      </c>
      <c r="AL1137" t="s">
        <v>100</v>
      </c>
      <c r="AM1137" t="s">
        <v>67</v>
      </c>
      <c r="AN1137">
        <v>19</v>
      </c>
      <c r="AO1137" t="s">
        <v>47</v>
      </c>
    </row>
    <row r="1138" spans="1:41">
      <c r="A1138" t="s">
        <v>1290</v>
      </c>
      <c r="B1138">
        <v>2025</v>
      </c>
      <c r="C1138" s="1">
        <v>45951</v>
      </c>
      <c r="D1138" t="s">
        <v>110</v>
      </c>
      <c r="E1138" t="s">
        <v>227</v>
      </c>
      <c r="F1138">
        <v>49</v>
      </c>
      <c r="G1138" t="s">
        <v>60</v>
      </c>
      <c r="H1138" t="s">
        <v>61</v>
      </c>
      <c r="I1138">
        <v>17</v>
      </c>
      <c r="J1138">
        <v>7</v>
      </c>
      <c r="K1138" t="s">
        <v>47</v>
      </c>
      <c r="L1138" t="s">
        <v>47</v>
      </c>
      <c r="M1138" t="s">
        <v>46</v>
      </c>
      <c r="N1138" t="s">
        <v>62</v>
      </c>
      <c r="O1138" t="s">
        <v>48</v>
      </c>
      <c r="P1138">
        <v>33.299999999999997</v>
      </c>
      <c r="Q1138" t="s">
        <v>48</v>
      </c>
      <c r="R1138" t="s">
        <v>47</v>
      </c>
      <c r="S1138" t="s">
        <v>47</v>
      </c>
      <c r="T1138" t="s">
        <v>46</v>
      </c>
      <c r="U1138" t="s">
        <v>47</v>
      </c>
      <c r="V1138" t="s">
        <v>51</v>
      </c>
      <c r="W1138" t="s">
        <v>46</v>
      </c>
      <c r="X1138" t="s">
        <v>47</v>
      </c>
      <c r="Y1138" t="s">
        <v>47</v>
      </c>
      <c r="Z1138" t="s">
        <v>47</v>
      </c>
      <c r="AA1138" t="s">
        <v>46</v>
      </c>
      <c r="AB1138" t="s">
        <v>47</v>
      </c>
      <c r="AC1138" t="s">
        <v>46</v>
      </c>
      <c r="AD1138" t="s">
        <v>47</v>
      </c>
      <c r="AE1138" t="s">
        <v>47</v>
      </c>
      <c r="AF1138" t="s">
        <v>47</v>
      </c>
      <c r="AG1138" t="s">
        <v>52</v>
      </c>
      <c r="AH1138" t="s">
        <v>71</v>
      </c>
      <c r="AI1138" t="s">
        <v>80</v>
      </c>
      <c r="AJ1138">
        <v>7.7</v>
      </c>
      <c r="AK1138" t="s">
        <v>47</v>
      </c>
      <c r="AL1138" t="s">
        <v>76</v>
      </c>
      <c r="AM1138" t="s">
        <v>67</v>
      </c>
      <c r="AN1138">
        <v>21</v>
      </c>
      <c r="AO1138" t="s">
        <v>47</v>
      </c>
    </row>
    <row r="1139" spans="1:41">
      <c r="A1139" t="s">
        <v>1291</v>
      </c>
      <c r="B1139">
        <v>2024</v>
      </c>
      <c r="C1139" s="1">
        <v>45347</v>
      </c>
      <c r="D1139" t="s">
        <v>95</v>
      </c>
      <c r="E1139" t="s">
        <v>132</v>
      </c>
      <c r="F1139">
        <v>49</v>
      </c>
      <c r="G1139" t="s">
        <v>44</v>
      </c>
      <c r="H1139" t="s">
        <v>70</v>
      </c>
      <c r="I1139">
        <v>0</v>
      </c>
      <c r="J1139">
        <v>0</v>
      </c>
      <c r="K1139" t="s">
        <v>46</v>
      </c>
      <c r="L1139" t="s">
        <v>47</v>
      </c>
      <c r="M1139" t="s">
        <v>46</v>
      </c>
      <c r="N1139" t="s">
        <v>48</v>
      </c>
      <c r="O1139" t="s">
        <v>48</v>
      </c>
      <c r="P1139">
        <v>24</v>
      </c>
      <c r="Q1139" t="s">
        <v>50</v>
      </c>
      <c r="R1139" t="s">
        <v>47</v>
      </c>
      <c r="S1139" t="s">
        <v>47</v>
      </c>
      <c r="T1139" t="s">
        <v>47</v>
      </c>
      <c r="U1139" t="s">
        <v>47</v>
      </c>
      <c r="V1139" t="s">
        <v>51</v>
      </c>
      <c r="W1139" t="s">
        <v>47</v>
      </c>
      <c r="X1139" t="s">
        <v>47</v>
      </c>
      <c r="Y1139" t="s">
        <v>47</v>
      </c>
      <c r="Z1139" t="s">
        <v>47</v>
      </c>
      <c r="AA1139" t="s">
        <v>46</v>
      </c>
      <c r="AB1139" t="s">
        <v>47</v>
      </c>
      <c r="AC1139" t="s">
        <v>47</v>
      </c>
      <c r="AD1139" t="s">
        <v>47</v>
      </c>
      <c r="AE1139" t="s">
        <v>47</v>
      </c>
      <c r="AF1139" t="s">
        <v>47</v>
      </c>
      <c r="AG1139" t="s">
        <v>121</v>
      </c>
      <c r="AH1139" t="s">
        <v>122</v>
      </c>
      <c r="AI1139" t="s">
        <v>65</v>
      </c>
      <c r="AJ1139">
        <v>1.3</v>
      </c>
      <c r="AK1139" t="s">
        <v>47</v>
      </c>
      <c r="AL1139" t="s">
        <v>76</v>
      </c>
      <c r="AM1139" t="s">
        <v>73</v>
      </c>
      <c r="AN1139">
        <v>70</v>
      </c>
      <c r="AO1139" t="s">
        <v>46</v>
      </c>
    </row>
    <row r="1140" spans="1:41">
      <c r="A1140" t="s">
        <v>1292</v>
      </c>
      <c r="B1140">
        <v>2022</v>
      </c>
      <c r="C1140" s="1">
        <v>44887</v>
      </c>
      <c r="D1140" t="s">
        <v>95</v>
      </c>
      <c r="E1140" t="s">
        <v>107</v>
      </c>
      <c r="F1140">
        <v>53</v>
      </c>
      <c r="G1140" t="s">
        <v>60</v>
      </c>
      <c r="H1140" t="s">
        <v>45</v>
      </c>
      <c r="I1140">
        <v>37</v>
      </c>
      <c r="J1140">
        <v>15</v>
      </c>
      <c r="K1140" t="s">
        <v>47</v>
      </c>
      <c r="L1140" t="s">
        <v>47</v>
      </c>
      <c r="M1140" t="s">
        <v>47</v>
      </c>
      <c r="N1140" t="s">
        <v>62</v>
      </c>
      <c r="O1140" t="s">
        <v>49</v>
      </c>
      <c r="P1140">
        <v>24.3</v>
      </c>
      <c r="Q1140" t="s">
        <v>48</v>
      </c>
      <c r="R1140" t="s">
        <v>47</v>
      </c>
      <c r="S1140" t="s">
        <v>47</v>
      </c>
      <c r="T1140" t="s">
        <v>47</v>
      </c>
      <c r="U1140" t="s">
        <v>47</v>
      </c>
      <c r="V1140" t="s">
        <v>64</v>
      </c>
      <c r="W1140" t="s">
        <v>46</v>
      </c>
      <c r="X1140" t="s">
        <v>46</v>
      </c>
      <c r="Y1140" t="s">
        <v>46</v>
      </c>
      <c r="Z1140" t="s">
        <v>46</v>
      </c>
      <c r="AA1140" t="s">
        <v>46</v>
      </c>
      <c r="AB1140" t="s">
        <v>46</v>
      </c>
      <c r="AC1140" t="s">
        <v>46</v>
      </c>
      <c r="AD1140" t="s">
        <v>47</v>
      </c>
      <c r="AE1140" t="s">
        <v>47</v>
      </c>
      <c r="AF1140" t="s">
        <v>47</v>
      </c>
      <c r="AG1140" t="s">
        <v>121</v>
      </c>
      <c r="AH1140" t="s">
        <v>122</v>
      </c>
      <c r="AI1140" t="s">
        <v>80</v>
      </c>
      <c r="AJ1140">
        <v>5.9</v>
      </c>
      <c r="AK1140" t="s">
        <v>46</v>
      </c>
      <c r="AL1140" t="s">
        <v>76</v>
      </c>
      <c r="AM1140" t="s">
        <v>82</v>
      </c>
      <c r="AN1140">
        <v>13</v>
      </c>
      <c r="AO1140" t="s">
        <v>47</v>
      </c>
    </row>
    <row r="1141" spans="1:41">
      <c r="A1141" t="s">
        <v>1293</v>
      </c>
      <c r="B1141">
        <v>2019</v>
      </c>
      <c r="C1141" s="1">
        <v>43545</v>
      </c>
      <c r="D1141" t="s">
        <v>110</v>
      </c>
      <c r="E1141" t="s">
        <v>124</v>
      </c>
      <c r="F1141">
        <v>67</v>
      </c>
      <c r="G1141" t="s">
        <v>44</v>
      </c>
      <c r="H1141" t="s">
        <v>70</v>
      </c>
      <c r="I1141">
        <v>0</v>
      </c>
      <c r="J1141">
        <v>0</v>
      </c>
      <c r="K1141" t="s">
        <v>46</v>
      </c>
      <c r="L1141" t="s">
        <v>47</v>
      </c>
      <c r="M1141" t="s">
        <v>47</v>
      </c>
      <c r="N1141" t="s">
        <v>62</v>
      </c>
      <c r="O1141" t="s">
        <v>49</v>
      </c>
      <c r="P1141">
        <v>24.4</v>
      </c>
      <c r="Q1141" t="s">
        <v>50</v>
      </c>
      <c r="R1141" t="s">
        <v>47</v>
      </c>
      <c r="S1141" t="s">
        <v>47</v>
      </c>
      <c r="T1141" t="s">
        <v>46</v>
      </c>
      <c r="U1141" t="s">
        <v>47</v>
      </c>
      <c r="V1141" t="s">
        <v>128</v>
      </c>
      <c r="W1141" t="s">
        <v>46</v>
      </c>
      <c r="X1141" t="s">
        <v>47</v>
      </c>
      <c r="Y1141" t="s">
        <v>47</v>
      </c>
      <c r="Z1141" t="s">
        <v>47</v>
      </c>
      <c r="AA1141" t="s">
        <v>47</v>
      </c>
      <c r="AB1141" t="s">
        <v>47</v>
      </c>
      <c r="AC1141" t="s">
        <v>47</v>
      </c>
      <c r="AD1141" t="s">
        <v>46</v>
      </c>
      <c r="AE1141" t="s">
        <v>47</v>
      </c>
      <c r="AF1141" t="s">
        <v>47</v>
      </c>
      <c r="AG1141" t="s">
        <v>52</v>
      </c>
      <c r="AH1141" t="s">
        <v>53</v>
      </c>
      <c r="AI1141" t="s">
        <v>65</v>
      </c>
      <c r="AJ1141">
        <v>2.9</v>
      </c>
      <c r="AK1141" t="s">
        <v>47</v>
      </c>
      <c r="AL1141" t="s">
        <v>100</v>
      </c>
      <c r="AM1141" t="s">
        <v>73</v>
      </c>
      <c r="AN1141">
        <v>73</v>
      </c>
      <c r="AO1141" t="s">
        <v>46</v>
      </c>
    </row>
    <row r="1142" spans="1:41">
      <c r="A1142" t="s">
        <v>1294</v>
      </c>
      <c r="B1142">
        <v>2017</v>
      </c>
      <c r="C1142" s="1">
        <v>42754</v>
      </c>
      <c r="D1142" t="s">
        <v>42</v>
      </c>
      <c r="E1142" t="s">
        <v>79</v>
      </c>
      <c r="F1142">
        <v>64</v>
      </c>
      <c r="G1142" t="s">
        <v>44</v>
      </c>
      <c r="H1142" t="s">
        <v>45</v>
      </c>
      <c r="I1142">
        <v>29</v>
      </c>
      <c r="J1142">
        <v>16</v>
      </c>
      <c r="K1142" t="s">
        <v>47</v>
      </c>
      <c r="L1142" t="s">
        <v>46</v>
      </c>
      <c r="M1142" t="s">
        <v>47</v>
      </c>
      <c r="N1142" t="s">
        <v>62</v>
      </c>
      <c r="O1142" t="s">
        <v>49</v>
      </c>
      <c r="P1142">
        <v>22.2</v>
      </c>
      <c r="Q1142" t="s">
        <v>50</v>
      </c>
      <c r="R1142" t="s">
        <v>46</v>
      </c>
      <c r="S1142" t="s">
        <v>47</v>
      </c>
      <c r="T1142" t="s">
        <v>47</v>
      </c>
      <c r="U1142" t="s">
        <v>47</v>
      </c>
      <c r="V1142" t="s">
        <v>51</v>
      </c>
      <c r="W1142" t="s">
        <v>46</v>
      </c>
      <c r="X1142" t="s">
        <v>46</v>
      </c>
      <c r="Y1142" t="s">
        <v>47</v>
      </c>
      <c r="Z1142" t="s">
        <v>47</v>
      </c>
      <c r="AA1142" t="s">
        <v>46</v>
      </c>
      <c r="AB1142" t="s">
        <v>46</v>
      </c>
      <c r="AC1142" t="s">
        <v>46</v>
      </c>
      <c r="AD1142" t="s">
        <v>47</v>
      </c>
      <c r="AE1142" t="s">
        <v>46</v>
      </c>
      <c r="AF1142" t="s">
        <v>47</v>
      </c>
      <c r="AG1142" t="s">
        <v>52</v>
      </c>
      <c r="AH1142" t="s">
        <v>53</v>
      </c>
      <c r="AI1142" t="s">
        <v>87</v>
      </c>
      <c r="AJ1142">
        <v>2.5</v>
      </c>
      <c r="AK1142" t="s">
        <v>47</v>
      </c>
      <c r="AL1142" t="s">
        <v>156</v>
      </c>
      <c r="AM1142" t="s">
        <v>77</v>
      </c>
      <c r="AN1142">
        <v>66</v>
      </c>
      <c r="AO1142" t="s">
        <v>46</v>
      </c>
    </row>
    <row r="1143" spans="1:41">
      <c r="A1143" t="s">
        <v>1295</v>
      </c>
      <c r="B1143">
        <v>2019</v>
      </c>
      <c r="C1143" s="1">
        <v>43642</v>
      </c>
      <c r="D1143" t="s">
        <v>95</v>
      </c>
      <c r="E1143" t="s">
        <v>145</v>
      </c>
      <c r="F1143">
        <v>57</v>
      </c>
      <c r="G1143" t="s">
        <v>60</v>
      </c>
      <c r="H1143" t="s">
        <v>70</v>
      </c>
      <c r="I1143">
        <v>0</v>
      </c>
      <c r="J1143">
        <v>0</v>
      </c>
      <c r="K1143" t="s">
        <v>47</v>
      </c>
      <c r="L1143" t="s">
        <v>47</v>
      </c>
      <c r="M1143" t="s">
        <v>47</v>
      </c>
      <c r="N1143" t="s">
        <v>48</v>
      </c>
      <c r="O1143" t="s">
        <v>48</v>
      </c>
      <c r="P1143">
        <v>23.7</v>
      </c>
      <c r="Q1143" t="s">
        <v>48</v>
      </c>
      <c r="R1143" t="s">
        <v>47</v>
      </c>
      <c r="S1143" t="s">
        <v>47</v>
      </c>
      <c r="T1143" t="s">
        <v>47</v>
      </c>
      <c r="U1143" t="s">
        <v>47</v>
      </c>
      <c r="V1143" t="s">
        <v>51</v>
      </c>
      <c r="W1143" t="s">
        <v>47</v>
      </c>
      <c r="X1143" t="s">
        <v>47</v>
      </c>
      <c r="Y1143" t="s">
        <v>47</v>
      </c>
      <c r="Z1143" t="s">
        <v>46</v>
      </c>
      <c r="AA1143" t="s">
        <v>46</v>
      </c>
      <c r="AB1143" t="s">
        <v>46</v>
      </c>
      <c r="AC1143" t="s">
        <v>46</v>
      </c>
      <c r="AD1143" t="s">
        <v>47</v>
      </c>
      <c r="AE1143" t="s">
        <v>46</v>
      </c>
      <c r="AF1143" t="s">
        <v>47</v>
      </c>
      <c r="AG1143" t="s">
        <v>52</v>
      </c>
      <c r="AH1143" t="s">
        <v>53</v>
      </c>
      <c r="AI1143" t="s">
        <v>65</v>
      </c>
      <c r="AJ1143">
        <v>1.8</v>
      </c>
      <c r="AK1143" t="s">
        <v>47</v>
      </c>
      <c r="AL1143" t="s">
        <v>66</v>
      </c>
      <c r="AM1143" t="s">
        <v>67</v>
      </c>
      <c r="AN1143">
        <v>73</v>
      </c>
      <c r="AO1143" t="s">
        <v>46</v>
      </c>
    </row>
    <row r="1144" spans="1:41">
      <c r="A1144" t="s">
        <v>1296</v>
      </c>
      <c r="B1144">
        <v>2022</v>
      </c>
      <c r="C1144" s="1">
        <v>44593</v>
      </c>
      <c r="D1144" t="s">
        <v>110</v>
      </c>
      <c r="E1144" t="s">
        <v>227</v>
      </c>
      <c r="F1144">
        <v>65</v>
      </c>
      <c r="G1144" t="s">
        <v>60</v>
      </c>
      <c r="H1144" t="s">
        <v>70</v>
      </c>
      <c r="I1144">
        <v>0</v>
      </c>
      <c r="J1144">
        <v>0</v>
      </c>
      <c r="K1144" t="s">
        <v>46</v>
      </c>
      <c r="L1144" t="s">
        <v>47</v>
      </c>
      <c r="M1144" t="s">
        <v>46</v>
      </c>
      <c r="N1144" t="s">
        <v>50</v>
      </c>
      <c r="O1144" t="s">
        <v>63</v>
      </c>
      <c r="P1144">
        <v>25.7</v>
      </c>
      <c r="Q1144" t="s">
        <v>48</v>
      </c>
      <c r="R1144" t="s">
        <v>47</v>
      </c>
      <c r="S1144" t="s">
        <v>47</v>
      </c>
      <c r="T1144" t="s">
        <v>47</v>
      </c>
      <c r="U1144" t="s">
        <v>47</v>
      </c>
      <c r="V1144" t="s">
        <v>117</v>
      </c>
      <c r="W1144" t="s">
        <v>47</v>
      </c>
      <c r="X1144" t="s">
        <v>47</v>
      </c>
      <c r="Y1144" t="s">
        <v>46</v>
      </c>
      <c r="Z1144" t="s">
        <v>47</v>
      </c>
      <c r="AA1144" t="s">
        <v>47</v>
      </c>
      <c r="AB1144" t="s">
        <v>47</v>
      </c>
      <c r="AC1144" t="s">
        <v>47</v>
      </c>
      <c r="AD1144" t="s">
        <v>46</v>
      </c>
      <c r="AE1144" t="s">
        <v>47</v>
      </c>
      <c r="AF1144" t="s">
        <v>47</v>
      </c>
      <c r="AG1144" t="s">
        <v>52</v>
      </c>
      <c r="AH1144" t="s">
        <v>53</v>
      </c>
      <c r="AI1144" t="s">
        <v>65</v>
      </c>
      <c r="AJ1144">
        <v>1.7</v>
      </c>
      <c r="AK1144" t="s">
        <v>47</v>
      </c>
      <c r="AL1144" t="s">
        <v>66</v>
      </c>
      <c r="AM1144" t="s">
        <v>73</v>
      </c>
      <c r="AN1144">
        <v>47</v>
      </c>
      <c r="AO1144" t="s">
        <v>47</v>
      </c>
    </row>
    <row r="1145" spans="1:41">
      <c r="A1145" t="s">
        <v>1297</v>
      </c>
      <c r="B1145">
        <v>2018</v>
      </c>
      <c r="C1145" s="1">
        <v>43228</v>
      </c>
      <c r="D1145" t="s">
        <v>42</v>
      </c>
      <c r="E1145" t="s">
        <v>75</v>
      </c>
      <c r="F1145">
        <v>40</v>
      </c>
      <c r="G1145" t="s">
        <v>44</v>
      </c>
      <c r="H1145" t="s">
        <v>70</v>
      </c>
      <c r="I1145">
        <v>0</v>
      </c>
      <c r="J1145">
        <v>0</v>
      </c>
      <c r="K1145" t="s">
        <v>47</v>
      </c>
      <c r="L1145" t="s">
        <v>46</v>
      </c>
      <c r="M1145" t="s">
        <v>47</v>
      </c>
      <c r="N1145" t="s">
        <v>48</v>
      </c>
      <c r="O1145" t="s">
        <v>48</v>
      </c>
      <c r="P1145">
        <v>27.2</v>
      </c>
      <c r="Q1145" t="s">
        <v>48</v>
      </c>
      <c r="R1145" t="s">
        <v>47</v>
      </c>
      <c r="S1145" t="s">
        <v>47</v>
      </c>
      <c r="T1145" t="s">
        <v>47</v>
      </c>
      <c r="U1145" t="s">
        <v>47</v>
      </c>
      <c r="V1145" t="s">
        <v>51</v>
      </c>
      <c r="W1145" t="s">
        <v>47</v>
      </c>
      <c r="X1145" t="s">
        <v>47</v>
      </c>
      <c r="Y1145" t="s">
        <v>46</v>
      </c>
      <c r="Z1145" t="s">
        <v>47</v>
      </c>
      <c r="AA1145" t="s">
        <v>46</v>
      </c>
      <c r="AB1145" t="s">
        <v>47</v>
      </c>
      <c r="AC1145" t="s">
        <v>47</v>
      </c>
      <c r="AD1145" t="s">
        <v>47</v>
      </c>
      <c r="AE1145" t="s">
        <v>46</v>
      </c>
      <c r="AF1145" t="s">
        <v>47</v>
      </c>
      <c r="AG1145" t="s">
        <v>52</v>
      </c>
      <c r="AH1145" t="s">
        <v>90</v>
      </c>
      <c r="AI1145" t="s">
        <v>54</v>
      </c>
      <c r="AJ1145">
        <v>6.6</v>
      </c>
      <c r="AK1145" t="s">
        <v>46</v>
      </c>
      <c r="AL1145" t="s">
        <v>66</v>
      </c>
      <c r="AM1145" t="s">
        <v>77</v>
      </c>
      <c r="AN1145">
        <v>11</v>
      </c>
      <c r="AO1145" t="s">
        <v>47</v>
      </c>
    </row>
    <row r="1146" spans="1:41">
      <c r="A1146" t="s">
        <v>1298</v>
      </c>
      <c r="B1146">
        <v>2023</v>
      </c>
      <c r="C1146" s="1">
        <v>45277</v>
      </c>
      <c r="D1146" t="s">
        <v>110</v>
      </c>
      <c r="E1146" t="s">
        <v>116</v>
      </c>
      <c r="F1146">
        <v>74</v>
      </c>
      <c r="G1146" t="s">
        <v>60</v>
      </c>
      <c r="H1146" t="s">
        <v>70</v>
      </c>
      <c r="I1146">
        <v>0</v>
      </c>
      <c r="J1146">
        <v>0</v>
      </c>
      <c r="K1146" t="s">
        <v>47</v>
      </c>
      <c r="L1146" t="s">
        <v>47</v>
      </c>
      <c r="M1146" t="s">
        <v>47</v>
      </c>
      <c r="N1146" t="s">
        <v>62</v>
      </c>
      <c r="O1146" t="s">
        <v>49</v>
      </c>
      <c r="P1146">
        <v>27.6</v>
      </c>
      <c r="Q1146" t="s">
        <v>62</v>
      </c>
      <c r="R1146" t="s">
        <v>47</v>
      </c>
      <c r="S1146" t="s">
        <v>47</v>
      </c>
      <c r="T1146" t="s">
        <v>47</v>
      </c>
      <c r="U1146" t="s">
        <v>47</v>
      </c>
      <c r="V1146" t="s">
        <v>86</v>
      </c>
      <c r="W1146" t="s">
        <v>46</v>
      </c>
      <c r="X1146" t="s">
        <v>46</v>
      </c>
      <c r="Y1146" t="s">
        <v>47</v>
      </c>
      <c r="Z1146" t="s">
        <v>47</v>
      </c>
      <c r="AA1146" t="s">
        <v>46</v>
      </c>
      <c r="AB1146" t="s">
        <v>46</v>
      </c>
      <c r="AC1146" t="s">
        <v>47</v>
      </c>
      <c r="AD1146" t="s">
        <v>47</v>
      </c>
      <c r="AE1146" t="s">
        <v>47</v>
      </c>
      <c r="AF1146" t="s">
        <v>46</v>
      </c>
      <c r="AG1146" t="s">
        <v>52</v>
      </c>
      <c r="AH1146" t="s">
        <v>53</v>
      </c>
      <c r="AI1146" t="s">
        <v>80</v>
      </c>
      <c r="AJ1146">
        <v>5</v>
      </c>
      <c r="AK1146" t="s">
        <v>47</v>
      </c>
      <c r="AL1146" t="s">
        <v>66</v>
      </c>
      <c r="AM1146" t="s">
        <v>67</v>
      </c>
      <c r="AN1146">
        <v>12</v>
      </c>
      <c r="AO1146" t="s">
        <v>47</v>
      </c>
    </row>
    <row r="1147" spans="1:41">
      <c r="A1147" t="s">
        <v>1299</v>
      </c>
      <c r="B1147">
        <v>2018</v>
      </c>
      <c r="C1147" s="1">
        <v>43396</v>
      </c>
      <c r="D1147" t="s">
        <v>95</v>
      </c>
      <c r="E1147" t="s">
        <v>255</v>
      </c>
      <c r="F1147">
        <v>54</v>
      </c>
      <c r="G1147" t="s">
        <v>60</v>
      </c>
      <c r="H1147" t="s">
        <v>45</v>
      </c>
      <c r="I1147">
        <v>9</v>
      </c>
      <c r="J1147">
        <v>7</v>
      </c>
      <c r="K1147" t="s">
        <v>47</v>
      </c>
      <c r="L1147" t="s">
        <v>47</v>
      </c>
      <c r="M1147" t="s">
        <v>46</v>
      </c>
      <c r="N1147" t="s">
        <v>62</v>
      </c>
      <c r="O1147" t="s">
        <v>63</v>
      </c>
      <c r="P1147">
        <v>22.8</v>
      </c>
      <c r="Q1147" t="s">
        <v>48</v>
      </c>
      <c r="R1147" t="s">
        <v>47</v>
      </c>
      <c r="S1147" t="s">
        <v>47</v>
      </c>
      <c r="T1147" t="s">
        <v>47</v>
      </c>
      <c r="U1147" t="s">
        <v>47</v>
      </c>
      <c r="V1147" t="s">
        <v>64</v>
      </c>
      <c r="W1147" t="s">
        <v>46</v>
      </c>
      <c r="X1147" t="s">
        <v>46</v>
      </c>
      <c r="Y1147" t="s">
        <v>46</v>
      </c>
      <c r="Z1147" t="s">
        <v>46</v>
      </c>
      <c r="AA1147" t="s">
        <v>47</v>
      </c>
      <c r="AB1147" t="s">
        <v>47</v>
      </c>
      <c r="AC1147" t="s">
        <v>47</v>
      </c>
      <c r="AD1147" t="s">
        <v>47</v>
      </c>
      <c r="AE1147" t="s">
        <v>47</v>
      </c>
      <c r="AF1147" t="s">
        <v>47</v>
      </c>
      <c r="AG1147" t="s">
        <v>121</v>
      </c>
      <c r="AH1147" t="s">
        <v>122</v>
      </c>
      <c r="AI1147" t="s">
        <v>54</v>
      </c>
      <c r="AJ1147">
        <v>6.5</v>
      </c>
      <c r="AK1147" t="s">
        <v>46</v>
      </c>
      <c r="AL1147" t="s">
        <v>66</v>
      </c>
      <c r="AM1147" t="s">
        <v>103</v>
      </c>
      <c r="AN1147">
        <v>2</v>
      </c>
      <c r="AO1147" t="s">
        <v>47</v>
      </c>
    </row>
    <row r="1148" spans="1:41">
      <c r="A1148" t="s">
        <v>1300</v>
      </c>
      <c r="B1148">
        <v>2024</v>
      </c>
      <c r="C1148" s="1">
        <v>45397</v>
      </c>
      <c r="D1148" t="s">
        <v>58</v>
      </c>
      <c r="E1148" t="s">
        <v>138</v>
      </c>
      <c r="F1148">
        <v>73</v>
      </c>
      <c r="G1148" t="s">
        <v>44</v>
      </c>
      <c r="H1148" t="s">
        <v>45</v>
      </c>
      <c r="I1148">
        <v>29</v>
      </c>
      <c r="J1148">
        <v>34</v>
      </c>
      <c r="K1148" t="s">
        <v>47</v>
      </c>
      <c r="L1148" t="s">
        <v>47</v>
      </c>
      <c r="M1148" t="s">
        <v>47</v>
      </c>
      <c r="N1148" t="s">
        <v>50</v>
      </c>
      <c r="O1148" t="s">
        <v>49</v>
      </c>
      <c r="P1148">
        <v>23.4</v>
      </c>
      <c r="Q1148" t="s">
        <v>62</v>
      </c>
      <c r="R1148" t="s">
        <v>46</v>
      </c>
      <c r="S1148" t="s">
        <v>47</v>
      </c>
      <c r="T1148" t="s">
        <v>47</v>
      </c>
      <c r="U1148" t="s">
        <v>47</v>
      </c>
      <c r="V1148" t="s">
        <v>151</v>
      </c>
      <c r="W1148" t="s">
        <v>47</v>
      </c>
      <c r="X1148" t="s">
        <v>47</v>
      </c>
      <c r="Y1148" t="s">
        <v>47</v>
      </c>
      <c r="Z1148" t="s">
        <v>47</v>
      </c>
      <c r="AA1148" t="s">
        <v>46</v>
      </c>
      <c r="AB1148" t="s">
        <v>47</v>
      </c>
      <c r="AC1148" t="s">
        <v>46</v>
      </c>
      <c r="AD1148" t="s">
        <v>47</v>
      </c>
      <c r="AE1148" t="s">
        <v>47</v>
      </c>
      <c r="AF1148" t="s">
        <v>47</v>
      </c>
      <c r="AG1148" t="s">
        <v>52</v>
      </c>
      <c r="AH1148" t="s">
        <v>90</v>
      </c>
      <c r="AI1148" t="s">
        <v>54</v>
      </c>
      <c r="AJ1148">
        <v>10</v>
      </c>
      <c r="AK1148" t="s">
        <v>46</v>
      </c>
      <c r="AL1148" t="s">
        <v>100</v>
      </c>
      <c r="AM1148" t="s">
        <v>77</v>
      </c>
      <c r="AN1148">
        <v>2</v>
      </c>
      <c r="AO1148" t="s">
        <v>47</v>
      </c>
    </row>
    <row r="1149" spans="1:41">
      <c r="A1149" t="s">
        <v>1301</v>
      </c>
      <c r="B1149">
        <v>2016</v>
      </c>
      <c r="C1149" s="1">
        <v>42566</v>
      </c>
      <c r="D1149" t="s">
        <v>58</v>
      </c>
      <c r="E1149" t="s">
        <v>163</v>
      </c>
      <c r="F1149">
        <v>56</v>
      </c>
      <c r="G1149" t="s">
        <v>44</v>
      </c>
      <c r="H1149" t="s">
        <v>70</v>
      </c>
      <c r="I1149">
        <v>0</v>
      </c>
      <c r="J1149">
        <v>0</v>
      </c>
      <c r="K1149" t="s">
        <v>46</v>
      </c>
      <c r="L1149" t="s">
        <v>47</v>
      </c>
      <c r="M1149" t="s">
        <v>47</v>
      </c>
      <c r="N1149" t="s">
        <v>62</v>
      </c>
      <c r="O1149" t="s">
        <v>49</v>
      </c>
      <c r="P1149">
        <v>32.9</v>
      </c>
      <c r="Q1149" t="s">
        <v>48</v>
      </c>
      <c r="R1149" t="s">
        <v>47</v>
      </c>
      <c r="S1149" t="s">
        <v>46</v>
      </c>
      <c r="T1149" t="s">
        <v>47</v>
      </c>
      <c r="U1149" t="s">
        <v>47</v>
      </c>
      <c r="V1149" t="s">
        <v>86</v>
      </c>
      <c r="W1149" t="s">
        <v>47</v>
      </c>
      <c r="X1149" t="s">
        <v>47</v>
      </c>
      <c r="Y1149" t="s">
        <v>47</v>
      </c>
      <c r="Z1149" t="s">
        <v>47</v>
      </c>
      <c r="AA1149" t="s">
        <v>47</v>
      </c>
      <c r="AB1149" t="s">
        <v>47</v>
      </c>
      <c r="AC1149" t="s">
        <v>47</v>
      </c>
      <c r="AD1149" t="s">
        <v>46</v>
      </c>
      <c r="AE1149" t="s">
        <v>47</v>
      </c>
      <c r="AF1149" t="s">
        <v>47</v>
      </c>
      <c r="AG1149" t="s">
        <v>52</v>
      </c>
      <c r="AH1149" t="s">
        <v>53</v>
      </c>
      <c r="AI1149" t="s">
        <v>54</v>
      </c>
      <c r="AJ1149">
        <v>4.8</v>
      </c>
      <c r="AK1149" t="s">
        <v>46</v>
      </c>
      <c r="AL1149" t="s">
        <v>100</v>
      </c>
      <c r="AM1149" t="s">
        <v>77</v>
      </c>
      <c r="AN1149">
        <v>5</v>
      </c>
      <c r="AO1149" t="s">
        <v>47</v>
      </c>
    </row>
    <row r="1150" spans="1:41">
      <c r="A1150" t="s">
        <v>1302</v>
      </c>
      <c r="B1150">
        <v>2025</v>
      </c>
      <c r="C1150" s="1">
        <v>46008</v>
      </c>
      <c r="D1150" t="s">
        <v>110</v>
      </c>
      <c r="E1150" t="s">
        <v>294</v>
      </c>
      <c r="F1150">
        <v>65</v>
      </c>
      <c r="G1150" t="s">
        <v>44</v>
      </c>
      <c r="H1150" t="s">
        <v>70</v>
      </c>
      <c r="I1150">
        <v>0</v>
      </c>
      <c r="J1150">
        <v>0</v>
      </c>
      <c r="K1150" t="s">
        <v>47</v>
      </c>
      <c r="L1150" t="s">
        <v>47</v>
      </c>
      <c r="M1150" t="s">
        <v>46</v>
      </c>
      <c r="N1150" t="s">
        <v>62</v>
      </c>
      <c r="O1150" t="s">
        <v>49</v>
      </c>
      <c r="P1150">
        <v>24.7</v>
      </c>
      <c r="Q1150" t="s">
        <v>62</v>
      </c>
      <c r="R1150" t="s">
        <v>47</v>
      </c>
      <c r="S1150" t="s">
        <v>46</v>
      </c>
      <c r="T1150" t="s">
        <v>47</v>
      </c>
      <c r="U1150" t="s">
        <v>47</v>
      </c>
      <c r="V1150" t="s">
        <v>171</v>
      </c>
      <c r="W1150" t="s">
        <v>46</v>
      </c>
      <c r="X1150" t="s">
        <v>47</v>
      </c>
      <c r="Y1150" t="s">
        <v>47</v>
      </c>
      <c r="Z1150" t="s">
        <v>47</v>
      </c>
      <c r="AA1150" t="s">
        <v>46</v>
      </c>
      <c r="AB1150" t="s">
        <v>47</v>
      </c>
      <c r="AC1150" t="s">
        <v>47</v>
      </c>
      <c r="AD1150" t="s">
        <v>47</v>
      </c>
      <c r="AE1150" t="s">
        <v>47</v>
      </c>
      <c r="AF1150" t="s">
        <v>47</v>
      </c>
      <c r="AG1150" t="s">
        <v>52</v>
      </c>
      <c r="AH1150" t="s">
        <v>53</v>
      </c>
      <c r="AI1150" t="s">
        <v>87</v>
      </c>
      <c r="AJ1150">
        <v>6.2</v>
      </c>
      <c r="AK1150" t="s">
        <v>47</v>
      </c>
      <c r="AL1150" t="s">
        <v>81</v>
      </c>
      <c r="AM1150" t="s">
        <v>118</v>
      </c>
      <c r="AN1150">
        <v>52</v>
      </c>
      <c r="AO1150" t="s">
        <v>46</v>
      </c>
    </row>
    <row r="1151" spans="1:41">
      <c r="A1151" t="s">
        <v>1303</v>
      </c>
      <c r="B1151">
        <v>2024</v>
      </c>
      <c r="C1151" s="1">
        <v>45444</v>
      </c>
      <c r="D1151" t="s">
        <v>42</v>
      </c>
      <c r="E1151" t="s">
        <v>210</v>
      </c>
      <c r="F1151">
        <v>72</v>
      </c>
      <c r="G1151" t="s">
        <v>60</v>
      </c>
      <c r="H1151" t="s">
        <v>45</v>
      </c>
      <c r="I1151">
        <v>34</v>
      </c>
      <c r="J1151">
        <v>35</v>
      </c>
      <c r="K1151" t="s">
        <v>47</v>
      </c>
      <c r="L1151" t="s">
        <v>47</v>
      </c>
      <c r="M1151" t="s">
        <v>46</v>
      </c>
      <c r="N1151" t="s">
        <v>50</v>
      </c>
      <c r="O1151" t="s">
        <v>49</v>
      </c>
      <c r="P1151">
        <v>24.6</v>
      </c>
      <c r="Q1151" t="s">
        <v>48</v>
      </c>
      <c r="R1151" t="s">
        <v>47</v>
      </c>
      <c r="S1151" t="s">
        <v>47</v>
      </c>
      <c r="T1151" t="s">
        <v>47</v>
      </c>
      <c r="U1151" t="s">
        <v>47</v>
      </c>
      <c r="V1151" t="s">
        <v>86</v>
      </c>
      <c r="W1151" t="s">
        <v>46</v>
      </c>
      <c r="X1151" t="s">
        <v>46</v>
      </c>
      <c r="Y1151" t="s">
        <v>46</v>
      </c>
      <c r="Z1151" t="s">
        <v>46</v>
      </c>
      <c r="AA1151" t="s">
        <v>47</v>
      </c>
      <c r="AB1151" t="s">
        <v>46</v>
      </c>
      <c r="AC1151" t="s">
        <v>46</v>
      </c>
      <c r="AD1151" t="s">
        <v>47</v>
      </c>
      <c r="AE1151" t="s">
        <v>47</v>
      </c>
      <c r="AF1151" t="s">
        <v>47</v>
      </c>
      <c r="AG1151" t="s">
        <v>121</v>
      </c>
      <c r="AH1151" t="s">
        <v>122</v>
      </c>
      <c r="AI1151" t="s">
        <v>65</v>
      </c>
      <c r="AJ1151">
        <v>2</v>
      </c>
      <c r="AK1151" t="s">
        <v>47</v>
      </c>
      <c r="AL1151" t="s">
        <v>66</v>
      </c>
      <c r="AM1151" t="s">
        <v>103</v>
      </c>
      <c r="AN1151">
        <v>43</v>
      </c>
      <c r="AO1151" t="s">
        <v>47</v>
      </c>
    </row>
    <row r="1152" spans="1:41">
      <c r="A1152" t="s">
        <v>1304</v>
      </c>
      <c r="B1152">
        <v>2018</v>
      </c>
      <c r="C1152" s="1">
        <v>43141</v>
      </c>
      <c r="D1152" t="s">
        <v>58</v>
      </c>
      <c r="E1152" t="s">
        <v>229</v>
      </c>
      <c r="F1152">
        <v>70</v>
      </c>
      <c r="G1152" t="s">
        <v>60</v>
      </c>
      <c r="H1152" t="s">
        <v>70</v>
      </c>
      <c r="I1152">
        <v>0</v>
      </c>
      <c r="J1152">
        <v>0</v>
      </c>
      <c r="K1152" t="s">
        <v>47</v>
      </c>
      <c r="L1152" t="s">
        <v>47</v>
      </c>
      <c r="M1152" t="s">
        <v>47</v>
      </c>
      <c r="N1152" t="s">
        <v>48</v>
      </c>
      <c r="O1152" t="s">
        <v>48</v>
      </c>
      <c r="P1152">
        <v>27.7</v>
      </c>
      <c r="Q1152" t="s">
        <v>48</v>
      </c>
      <c r="R1152" t="s">
        <v>47</v>
      </c>
      <c r="S1152" t="s">
        <v>47</v>
      </c>
      <c r="T1152" t="s">
        <v>47</v>
      </c>
      <c r="U1152" t="s">
        <v>47</v>
      </c>
      <c r="V1152" t="s">
        <v>86</v>
      </c>
      <c r="W1152" t="s">
        <v>46</v>
      </c>
      <c r="X1152" t="s">
        <v>47</v>
      </c>
      <c r="Y1152" t="s">
        <v>47</v>
      </c>
      <c r="Z1152" t="s">
        <v>46</v>
      </c>
      <c r="AA1152" t="s">
        <v>46</v>
      </c>
      <c r="AB1152" t="s">
        <v>47</v>
      </c>
      <c r="AC1152" t="s">
        <v>46</v>
      </c>
      <c r="AD1152" t="s">
        <v>47</v>
      </c>
      <c r="AE1152" t="s">
        <v>47</v>
      </c>
      <c r="AF1152" t="s">
        <v>47</v>
      </c>
      <c r="AG1152" t="s">
        <v>52</v>
      </c>
      <c r="AH1152" t="s">
        <v>53</v>
      </c>
      <c r="AI1152" t="s">
        <v>54</v>
      </c>
      <c r="AJ1152">
        <v>10.5</v>
      </c>
      <c r="AK1152" t="s">
        <v>46</v>
      </c>
      <c r="AL1152" t="s">
        <v>81</v>
      </c>
      <c r="AM1152" t="s">
        <v>56</v>
      </c>
      <c r="AN1152">
        <v>1</v>
      </c>
      <c r="AO1152" t="s">
        <v>47</v>
      </c>
    </row>
    <row r="1153" spans="1:41">
      <c r="A1153" t="s">
        <v>1305</v>
      </c>
      <c r="B1153">
        <v>2019</v>
      </c>
      <c r="C1153" s="1">
        <v>43500</v>
      </c>
      <c r="D1153" t="s">
        <v>95</v>
      </c>
      <c r="E1153" t="s">
        <v>105</v>
      </c>
      <c r="F1153">
        <v>56</v>
      </c>
      <c r="G1153" t="s">
        <v>60</v>
      </c>
      <c r="H1153" t="s">
        <v>70</v>
      </c>
      <c r="I1153">
        <v>0</v>
      </c>
      <c r="J1153">
        <v>0</v>
      </c>
      <c r="K1153" t="s">
        <v>46</v>
      </c>
      <c r="L1153" t="s">
        <v>47</v>
      </c>
      <c r="M1153" t="s">
        <v>47</v>
      </c>
      <c r="N1153" t="s">
        <v>48</v>
      </c>
      <c r="O1153" t="s">
        <v>49</v>
      </c>
      <c r="P1153">
        <v>29.9</v>
      </c>
      <c r="Q1153" t="s">
        <v>62</v>
      </c>
      <c r="R1153" t="s">
        <v>47</v>
      </c>
      <c r="S1153" t="s">
        <v>47</v>
      </c>
      <c r="T1153" t="s">
        <v>47</v>
      </c>
      <c r="U1153" t="s">
        <v>47</v>
      </c>
      <c r="V1153" t="s">
        <v>86</v>
      </c>
      <c r="W1153" t="s">
        <v>46</v>
      </c>
      <c r="X1153" t="s">
        <v>46</v>
      </c>
      <c r="Y1153" t="s">
        <v>46</v>
      </c>
      <c r="Z1153" t="s">
        <v>47</v>
      </c>
      <c r="AA1153" t="s">
        <v>46</v>
      </c>
      <c r="AB1153" t="s">
        <v>46</v>
      </c>
      <c r="AC1153" t="s">
        <v>47</v>
      </c>
      <c r="AD1153" t="s">
        <v>47</v>
      </c>
      <c r="AE1153" t="s">
        <v>47</v>
      </c>
      <c r="AF1153" t="s">
        <v>47</v>
      </c>
      <c r="AG1153" t="s">
        <v>52</v>
      </c>
      <c r="AH1153" t="s">
        <v>53</v>
      </c>
      <c r="AI1153" t="s">
        <v>54</v>
      </c>
      <c r="AJ1153">
        <v>5.0999999999999996</v>
      </c>
      <c r="AK1153" t="s">
        <v>46</v>
      </c>
      <c r="AL1153" t="s">
        <v>76</v>
      </c>
      <c r="AM1153" t="s">
        <v>265</v>
      </c>
      <c r="AN1153">
        <v>12</v>
      </c>
      <c r="AO1153" t="s">
        <v>47</v>
      </c>
    </row>
    <row r="1154" spans="1:41">
      <c r="A1154" t="s">
        <v>1306</v>
      </c>
      <c r="B1154">
        <v>2019</v>
      </c>
      <c r="C1154" s="1">
        <v>43626</v>
      </c>
      <c r="D1154" t="s">
        <v>84</v>
      </c>
      <c r="E1154" t="s">
        <v>189</v>
      </c>
      <c r="F1154">
        <v>41</v>
      </c>
      <c r="G1154" t="s">
        <v>44</v>
      </c>
      <c r="H1154" t="s">
        <v>45</v>
      </c>
      <c r="I1154">
        <v>5</v>
      </c>
      <c r="J1154">
        <v>23</v>
      </c>
      <c r="K1154" t="s">
        <v>46</v>
      </c>
      <c r="L1154" t="s">
        <v>47</v>
      </c>
      <c r="M1154" t="s">
        <v>47</v>
      </c>
      <c r="N1154" t="s">
        <v>48</v>
      </c>
      <c r="O1154" t="s">
        <v>49</v>
      </c>
      <c r="P1154">
        <v>24.3</v>
      </c>
      <c r="Q1154" t="s">
        <v>62</v>
      </c>
      <c r="R1154" t="s">
        <v>47</v>
      </c>
      <c r="S1154" t="s">
        <v>47</v>
      </c>
      <c r="T1154" t="s">
        <v>47</v>
      </c>
      <c r="U1154" t="s">
        <v>47</v>
      </c>
      <c r="V1154" t="s">
        <v>193</v>
      </c>
      <c r="W1154" t="s">
        <v>47</v>
      </c>
      <c r="X1154" t="s">
        <v>47</v>
      </c>
      <c r="Y1154" t="s">
        <v>46</v>
      </c>
      <c r="Z1154" t="s">
        <v>47</v>
      </c>
      <c r="AA1154" t="s">
        <v>47</v>
      </c>
      <c r="AB1154" t="s">
        <v>46</v>
      </c>
      <c r="AC1154" t="s">
        <v>46</v>
      </c>
      <c r="AD1154" t="s">
        <v>46</v>
      </c>
      <c r="AE1154" t="s">
        <v>47</v>
      </c>
      <c r="AF1154" t="s">
        <v>47</v>
      </c>
      <c r="AG1154" t="s">
        <v>121</v>
      </c>
      <c r="AH1154" t="s">
        <v>122</v>
      </c>
      <c r="AI1154" t="s">
        <v>54</v>
      </c>
      <c r="AJ1154">
        <v>8.9</v>
      </c>
      <c r="AK1154" t="s">
        <v>46</v>
      </c>
      <c r="AL1154" t="s">
        <v>100</v>
      </c>
      <c r="AM1154" t="s">
        <v>118</v>
      </c>
      <c r="AN1154">
        <v>9</v>
      </c>
      <c r="AO1154" t="s">
        <v>47</v>
      </c>
    </row>
    <row r="1155" spans="1:41">
      <c r="A1155" t="s">
        <v>1307</v>
      </c>
      <c r="B1155">
        <v>2025</v>
      </c>
      <c r="C1155" s="1">
        <v>45895</v>
      </c>
      <c r="D1155" t="s">
        <v>42</v>
      </c>
      <c r="E1155" t="s">
        <v>160</v>
      </c>
      <c r="F1155">
        <v>55</v>
      </c>
      <c r="G1155" t="s">
        <v>44</v>
      </c>
      <c r="H1155" t="s">
        <v>70</v>
      </c>
      <c r="I1155">
        <v>0</v>
      </c>
      <c r="J1155">
        <v>0</v>
      </c>
      <c r="K1155" t="s">
        <v>47</v>
      </c>
      <c r="L1155" t="s">
        <v>46</v>
      </c>
      <c r="M1155" t="s">
        <v>47</v>
      </c>
      <c r="N1155" t="s">
        <v>48</v>
      </c>
      <c r="O1155" t="s">
        <v>49</v>
      </c>
      <c r="P1155">
        <v>29.8</v>
      </c>
      <c r="Q1155" t="s">
        <v>62</v>
      </c>
      <c r="R1155" t="s">
        <v>46</v>
      </c>
      <c r="S1155" t="s">
        <v>47</v>
      </c>
      <c r="T1155" t="s">
        <v>47</v>
      </c>
      <c r="U1155" t="s">
        <v>47</v>
      </c>
      <c r="V1155" t="s">
        <v>171</v>
      </c>
      <c r="W1155" t="s">
        <v>47</v>
      </c>
      <c r="X1155" t="s">
        <v>46</v>
      </c>
      <c r="Y1155" t="s">
        <v>47</v>
      </c>
      <c r="Z1155" t="s">
        <v>47</v>
      </c>
      <c r="AA1155" t="s">
        <v>47</v>
      </c>
      <c r="AB1155" t="s">
        <v>46</v>
      </c>
      <c r="AC1155" t="s">
        <v>47</v>
      </c>
      <c r="AD1155" t="s">
        <v>47</v>
      </c>
      <c r="AE1155" t="s">
        <v>47</v>
      </c>
      <c r="AF1155" t="s">
        <v>47</v>
      </c>
      <c r="AG1155" t="s">
        <v>52</v>
      </c>
      <c r="AH1155" t="s">
        <v>90</v>
      </c>
      <c r="AI1155" t="s">
        <v>87</v>
      </c>
      <c r="AJ1155">
        <v>3.4</v>
      </c>
      <c r="AK1155" t="s">
        <v>47</v>
      </c>
      <c r="AL1155" t="s">
        <v>100</v>
      </c>
      <c r="AM1155" t="s">
        <v>77</v>
      </c>
      <c r="AN1155">
        <v>32</v>
      </c>
      <c r="AO1155" t="s">
        <v>46</v>
      </c>
    </row>
    <row r="1156" spans="1:41">
      <c r="A1156" t="s">
        <v>1308</v>
      </c>
      <c r="B1156">
        <v>2019</v>
      </c>
      <c r="C1156" s="1">
        <v>43724</v>
      </c>
      <c r="D1156" t="s">
        <v>95</v>
      </c>
      <c r="E1156" t="s">
        <v>107</v>
      </c>
      <c r="F1156">
        <v>54</v>
      </c>
      <c r="G1156" t="s">
        <v>44</v>
      </c>
      <c r="H1156" t="s">
        <v>61</v>
      </c>
      <c r="I1156">
        <v>6</v>
      </c>
      <c r="J1156">
        <v>23</v>
      </c>
      <c r="K1156" t="s">
        <v>47</v>
      </c>
      <c r="L1156" t="s">
        <v>47</v>
      </c>
      <c r="M1156" t="s">
        <v>47</v>
      </c>
      <c r="N1156" t="s">
        <v>48</v>
      </c>
      <c r="O1156" t="s">
        <v>49</v>
      </c>
      <c r="P1156">
        <v>27.9</v>
      </c>
      <c r="Q1156" t="s">
        <v>50</v>
      </c>
      <c r="R1156" t="s">
        <v>47</v>
      </c>
      <c r="S1156" t="s">
        <v>47</v>
      </c>
      <c r="T1156" t="s">
        <v>47</v>
      </c>
      <c r="U1156" t="s">
        <v>47</v>
      </c>
      <c r="V1156" t="s">
        <v>51</v>
      </c>
      <c r="W1156" t="s">
        <v>46</v>
      </c>
      <c r="X1156" t="s">
        <v>47</v>
      </c>
      <c r="Y1156" t="s">
        <v>46</v>
      </c>
      <c r="Z1156" t="s">
        <v>46</v>
      </c>
      <c r="AA1156" t="s">
        <v>46</v>
      </c>
      <c r="AB1156" t="s">
        <v>47</v>
      </c>
      <c r="AC1156" t="s">
        <v>46</v>
      </c>
      <c r="AD1156" t="s">
        <v>47</v>
      </c>
      <c r="AE1156" t="s">
        <v>46</v>
      </c>
      <c r="AF1156" t="s">
        <v>47</v>
      </c>
      <c r="AG1156" t="s">
        <v>52</v>
      </c>
      <c r="AH1156" t="s">
        <v>71</v>
      </c>
      <c r="AI1156" t="s">
        <v>54</v>
      </c>
      <c r="AJ1156">
        <v>8.8000000000000007</v>
      </c>
      <c r="AK1156" t="s">
        <v>46</v>
      </c>
      <c r="AL1156" t="s">
        <v>76</v>
      </c>
      <c r="AM1156" t="s">
        <v>77</v>
      </c>
      <c r="AN1156">
        <v>7</v>
      </c>
      <c r="AO1156" t="s">
        <v>47</v>
      </c>
    </row>
    <row r="1157" spans="1:41">
      <c r="A1157" t="s">
        <v>1309</v>
      </c>
      <c r="B1157">
        <v>2017</v>
      </c>
      <c r="C1157" s="1">
        <v>42951</v>
      </c>
      <c r="D1157" t="s">
        <v>42</v>
      </c>
      <c r="E1157" t="s">
        <v>210</v>
      </c>
      <c r="F1157">
        <v>56</v>
      </c>
      <c r="G1157" t="s">
        <v>44</v>
      </c>
      <c r="H1157" t="s">
        <v>70</v>
      </c>
      <c r="I1157">
        <v>0</v>
      </c>
      <c r="J1157">
        <v>0</v>
      </c>
      <c r="K1157" t="s">
        <v>46</v>
      </c>
      <c r="L1157" t="s">
        <v>46</v>
      </c>
      <c r="M1157" t="s">
        <v>47</v>
      </c>
      <c r="N1157" t="s">
        <v>48</v>
      </c>
      <c r="O1157" t="s">
        <v>48</v>
      </c>
      <c r="P1157">
        <v>30.6</v>
      </c>
      <c r="Q1157" t="s">
        <v>50</v>
      </c>
      <c r="R1157" t="s">
        <v>47</v>
      </c>
      <c r="S1157" t="s">
        <v>47</v>
      </c>
      <c r="T1157" t="s">
        <v>47</v>
      </c>
      <c r="U1157" t="s">
        <v>47</v>
      </c>
      <c r="V1157" t="s">
        <v>86</v>
      </c>
      <c r="W1157" t="s">
        <v>47</v>
      </c>
      <c r="X1157" t="s">
        <v>47</v>
      </c>
      <c r="Y1157" t="s">
        <v>46</v>
      </c>
      <c r="Z1157" t="s">
        <v>46</v>
      </c>
      <c r="AA1157" t="s">
        <v>46</v>
      </c>
      <c r="AB1157" t="s">
        <v>47</v>
      </c>
      <c r="AC1157" t="s">
        <v>47</v>
      </c>
      <c r="AD1157" t="s">
        <v>47</v>
      </c>
      <c r="AE1157" t="s">
        <v>46</v>
      </c>
      <c r="AF1157" t="s">
        <v>47</v>
      </c>
      <c r="AG1157" t="s">
        <v>52</v>
      </c>
      <c r="AH1157" t="s">
        <v>53</v>
      </c>
      <c r="AI1157" t="s">
        <v>80</v>
      </c>
      <c r="AJ1157">
        <v>6.2</v>
      </c>
      <c r="AK1157" t="s">
        <v>47</v>
      </c>
      <c r="AL1157" t="s">
        <v>76</v>
      </c>
      <c r="AM1157" t="s">
        <v>82</v>
      </c>
      <c r="AN1157">
        <v>12</v>
      </c>
      <c r="AO1157" t="s">
        <v>47</v>
      </c>
    </row>
    <row r="1158" spans="1:41">
      <c r="A1158" t="s">
        <v>1310</v>
      </c>
      <c r="B1158">
        <v>2020</v>
      </c>
      <c r="C1158" s="1">
        <v>44188</v>
      </c>
      <c r="D1158" t="s">
        <v>58</v>
      </c>
      <c r="E1158" t="s">
        <v>252</v>
      </c>
      <c r="F1158">
        <v>48</v>
      </c>
      <c r="G1158" t="s">
        <v>44</v>
      </c>
      <c r="H1158" t="s">
        <v>70</v>
      </c>
      <c r="I1158">
        <v>0</v>
      </c>
      <c r="J1158">
        <v>0</v>
      </c>
      <c r="K1158" t="s">
        <v>46</v>
      </c>
      <c r="L1158" t="s">
        <v>47</v>
      </c>
      <c r="M1158" t="s">
        <v>46</v>
      </c>
      <c r="N1158" t="s">
        <v>50</v>
      </c>
      <c r="O1158" t="s">
        <v>63</v>
      </c>
      <c r="P1158">
        <v>33.6</v>
      </c>
      <c r="Q1158" t="s">
        <v>50</v>
      </c>
      <c r="R1158" t="s">
        <v>47</v>
      </c>
      <c r="S1158" t="s">
        <v>47</v>
      </c>
      <c r="T1158" t="s">
        <v>46</v>
      </c>
      <c r="U1158" t="s">
        <v>47</v>
      </c>
      <c r="V1158" t="s">
        <v>51</v>
      </c>
      <c r="W1158" t="s">
        <v>47</v>
      </c>
      <c r="X1158" t="s">
        <v>47</v>
      </c>
      <c r="Y1158" t="s">
        <v>46</v>
      </c>
      <c r="Z1158" t="s">
        <v>47</v>
      </c>
      <c r="AA1158" t="s">
        <v>46</v>
      </c>
      <c r="AB1158" t="s">
        <v>47</v>
      </c>
      <c r="AC1158" t="s">
        <v>47</v>
      </c>
      <c r="AD1158" t="s">
        <v>47</v>
      </c>
      <c r="AE1158" t="s">
        <v>47</v>
      </c>
      <c r="AF1158" t="s">
        <v>47</v>
      </c>
      <c r="AG1158" t="s">
        <v>121</v>
      </c>
      <c r="AH1158" t="s">
        <v>122</v>
      </c>
      <c r="AI1158" t="s">
        <v>65</v>
      </c>
      <c r="AJ1158">
        <v>0.8</v>
      </c>
      <c r="AK1158" t="s">
        <v>46</v>
      </c>
      <c r="AL1158" t="s">
        <v>76</v>
      </c>
      <c r="AM1158" t="s">
        <v>73</v>
      </c>
      <c r="AN1158">
        <v>39</v>
      </c>
      <c r="AO1158" t="s">
        <v>46</v>
      </c>
    </row>
    <row r="1159" spans="1:41">
      <c r="A1159" t="s">
        <v>1311</v>
      </c>
      <c r="B1159">
        <v>2022</v>
      </c>
      <c r="C1159" s="1">
        <v>44715</v>
      </c>
      <c r="D1159" t="s">
        <v>110</v>
      </c>
      <c r="E1159" t="s">
        <v>410</v>
      </c>
      <c r="F1159">
        <v>65</v>
      </c>
      <c r="G1159" t="s">
        <v>60</v>
      </c>
      <c r="H1159" t="s">
        <v>45</v>
      </c>
      <c r="I1159">
        <v>35</v>
      </c>
      <c r="J1159">
        <v>26</v>
      </c>
      <c r="K1159" t="s">
        <v>46</v>
      </c>
      <c r="L1159" t="s">
        <v>47</v>
      </c>
      <c r="M1159" t="s">
        <v>46</v>
      </c>
      <c r="N1159" t="s">
        <v>62</v>
      </c>
      <c r="O1159" t="s">
        <v>63</v>
      </c>
      <c r="P1159">
        <v>28.9</v>
      </c>
      <c r="Q1159" t="s">
        <v>50</v>
      </c>
      <c r="R1159" t="s">
        <v>46</v>
      </c>
      <c r="S1159" t="s">
        <v>46</v>
      </c>
      <c r="T1159" t="s">
        <v>47</v>
      </c>
      <c r="U1159" t="s">
        <v>47</v>
      </c>
      <c r="V1159" t="s">
        <v>151</v>
      </c>
      <c r="W1159" t="s">
        <v>46</v>
      </c>
      <c r="X1159" t="s">
        <v>46</v>
      </c>
      <c r="Y1159" t="s">
        <v>46</v>
      </c>
      <c r="Z1159" t="s">
        <v>46</v>
      </c>
      <c r="AA1159" t="s">
        <v>46</v>
      </c>
      <c r="AB1159" t="s">
        <v>47</v>
      </c>
      <c r="AC1159" t="s">
        <v>46</v>
      </c>
      <c r="AD1159" t="s">
        <v>47</v>
      </c>
      <c r="AE1159" t="s">
        <v>46</v>
      </c>
      <c r="AF1159" t="s">
        <v>47</v>
      </c>
      <c r="AG1159" t="s">
        <v>52</v>
      </c>
      <c r="AH1159" t="s">
        <v>53</v>
      </c>
      <c r="AI1159" t="s">
        <v>80</v>
      </c>
      <c r="AJ1159">
        <v>7.5</v>
      </c>
      <c r="AK1159" t="s">
        <v>47</v>
      </c>
      <c r="AL1159" t="s">
        <v>66</v>
      </c>
      <c r="AM1159" t="s">
        <v>77</v>
      </c>
      <c r="AN1159">
        <v>12</v>
      </c>
      <c r="AO1159" t="s">
        <v>47</v>
      </c>
    </row>
    <row r="1160" spans="1:41">
      <c r="A1160" t="s">
        <v>1312</v>
      </c>
      <c r="B1160">
        <v>2025</v>
      </c>
      <c r="C1160" s="1">
        <v>45683</v>
      </c>
      <c r="D1160" t="s">
        <v>95</v>
      </c>
      <c r="E1160" t="s">
        <v>120</v>
      </c>
      <c r="F1160">
        <v>68</v>
      </c>
      <c r="G1160" t="s">
        <v>60</v>
      </c>
      <c r="H1160" t="s">
        <v>70</v>
      </c>
      <c r="I1160">
        <v>0</v>
      </c>
      <c r="J1160">
        <v>0</v>
      </c>
      <c r="K1160" t="s">
        <v>46</v>
      </c>
      <c r="L1160" t="s">
        <v>47</v>
      </c>
      <c r="M1160" t="s">
        <v>47</v>
      </c>
      <c r="N1160" t="s">
        <v>48</v>
      </c>
      <c r="O1160" t="s">
        <v>63</v>
      </c>
      <c r="P1160">
        <v>28.9</v>
      </c>
      <c r="Q1160" t="s">
        <v>48</v>
      </c>
      <c r="R1160" t="s">
        <v>47</v>
      </c>
      <c r="S1160" t="s">
        <v>47</v>
      </c>
      <c r="T1160" t="s">
        <v>47</v>
      </c>
      <c r="U1160" t="s">
        <v>47</v>
      </c>
      <c r="V1160" t="s">
        <v>86</v>
      </c>
      <c r="W1160" t="s">
        <v>46</v>
      </c>
      <c r="X1160" t="s">
        <v>46</v>
      </c>
      <c r="Y1160" t="s">
        <v>47</v>
      </c>
      <c r="Z1160" t="s">
        <v>47</v>
      </c>
      <c r="AA1160" t="s">
        <v>47</v>
      </c>
      <c r="AB1160" t="s">
        <v>47</v>
      </c>
      <c r="AC1160" t="s">
        <v>47</v>
      </c>
      <c r="AD1160" t="s">
        <v>46</v>
      </c>
      <c r="AE1160" t="s">
        <v>47</v>
      </c>
      <c r="AF1160" t="s">
        <v>46</v>
      </c>
      <c r="AG1160" t="s">
        <v>121</v>
      </c>
      <c r="AH1160" t="s">
        <v>122</v>
      </c>
      <c r="AI1160" t="s">
        <v>87</v>
      </c>
      <c r="AJ1160">
        <v>2</v>
      </c>
      <c r="AK1160" t="s">
        <v>47</v>
      </c>
      <c r="AL1160" t="s">
        <v>76</v>
      </c>
      <c r="AM1160" t="s">
        <v>73</v>
      </c>
      <c r="AN1160">
        <v>45</v>
      </c>
      <c r="AO1160" t="s">
        <v>46</v>
      </c>
    </row>
    <row r="1161" spans="1:41">
      <c r="A1161" t="s">
        <v>1313</v>
      </c>
      <c r="B1161">
        <v>2024</v>
      </c>
      <c r="C1161" s="1">
        <v>45319</v>
      </c>
      <c r="D1161" t="s">
        <v>95</v>
      </c>
      <c r="E1161" t="s">
        <v>107</v>
      </c>
      <c r="F1161">
        <v>70</v>
      </c>
      <c r="G1161" t="s">
        <v>60</v>
      </c>
      <c r="H1161" t="s">
        <v>61</v>
      </c>
      <c r="I1161">
        <v>26</v>
      </c>
      <c r="J1161">
        <v>16</v>
      </c>
      <c r="K1161" t="s">
        <v>47</v>
      </c>
      <c r="L1161" t="s">
        <v>47</v>
      </c>
      <c r="M1161" t="s">
        <v>47</v>
      </c>
      <c r="N1161" t="s">
        <v>62</v>
      </c>
      <c r="O1161" t="s">
        <v>63</v>
      </c>
      <c r="P1161">
        <v>25.8</v>
      </c>
      <c r="Q1161" t="s">
        <v>50</v>
      </c>
      <c r="R1161" t="s">
        <v>46</v>
      </c>
      <c r="S1161" t="s">
        <v>47</v>
      </c>
      <c r="T1161" t="s">
        <v>47</v>
      </c>
      <c r="U1161" t="s">
        <v>47</v>
      </c>
      <c r="V1161" t="s">
        <v>51</v>
      </c>
      <c r="W1161" t="s">
        <v>47</v>
      </c>
      <c r="X1161" t="s">
        <v>47</v>
      </c>
      <c r="Y1161" t="s">
        <v>47</v>
      </c>
      <c r="Z1161" t="s">
        <v>46</v>
      </c>
      <c r="AA1161" t="s">
        <v>46</v>
      </c>
      <c r="AB1161" t="s">
        <v>47</v>
      </c>
      <c r="AC1161" t="s">
        <v>47</v>
      </c>
      <c r="AD1161" t="s">
        <v>47</v>
      </c>
      <c r="AE1161" t="s">
        <v>47</v>
      </c>
      <c r="AF1161" t="s">
        <v>47</v>
      </c>
      <c r="AG1161" t="s">
        <v>52</v>
      </c>
      <c r="AH1161" t="s">
        <v>53</v>
      </c>
      <c r="AI1161" t="s">
        <v>65</v>
      </c>
      <c r="AJ1161">
        <v>2.5</v>
      </c>
      <c r="AK1161" t="s">
        <v>47</v>
      </c>
      <c r="AL1161" t="s">
        <v>76</v>
      </c>
      <c r="AM1161" t="s">
        <v>82</v>
      </c>
      <c r="AN1161">
        <v>61</v>
      </c>
      <c r="AO1161" t="s">
        <v>46</v>
      </c>
    </row>
    <row r="1162" spans="1:41">
      <c r="A1162" t="s">
        <v>1314</v>
      </c>
      <c r="B1162">
        <v>2024</v>
      </c>
      <c r="C1162" s="1">
        <v>45600</v>
      </c>
      <c r="D1162" t="s">
        <v>98</v>
      </c>
      <c r="E1162" t="s">
        <v>465</v>
      </c>
      <c r="F1162">
        <v>74</v>
      </c>
      <c r="G1162" t="s">
        <v>60</v>
      </c>
      <c r="H1162" t="s">
        <v>61</v>
      </c>
      <c r="I1162">
        <v>21</v>
      </c>
      <c r="J1162">
        <v>28</v>
      </c>
      <c r="K1162" t="s">
        <v>47</v>
      </c>
      <c r="L1162" t="s">
        <v>46</v>
      </c>
      <c r="M1162" t="s">
        <v>47</v>
      </c>
      <c r="N1162" t="s">
        <v>48</v>
      </c>
      <c r="O1162" t="s">
        <v>49</v>
      </c>
      <c r="P1162">
        <v>27.1</v>
      </c>
      <c r="Q1162" t="s">
        <v>48</v>
      </c>
      <c r="R1162" t="s">
        <v>46</v>
      </c>
      <c r="S1162" t="s">
        <v>47</v>
      </c>
      <c r="T1162" t="s">
        <v>47</v>
      </c>
      <c r="U1162" t="s">
        <v>47</v>
      </c>
      <c r="V1162" t="s">
        <v>51</v>
      </c>
      <c r="W1162" t="s">
        <v>47</v>
      </c>
      <c r="X1162" t="s">
        <v>46</v>
      </c>
      <c r="Y1162" t="s">
        <v>47</v>
      </c>
      <c r="Z1162" t="s">
        <v>47</v>
      </c>
      <c r="AA1162" t="s">
        <v>47</v>
      </c>
      <c r="AB1162" t="s">
        <v>47</v>
      </c>
      <c r="AC1162" t="s">
        <v>46</v>
      </c>
      <c r="AD1162" t="s">
        <v>47</v>
      </c>
      <c r="AE1162" t="s">
        <v>47</v>
      </c>
      <c r="AF1162" t="s">
        <v>47</v>
      </c>
      <c r="AG1162" t="s">
        <v>52</v>
      </c>
      <c r="AH1162" t="s">
        <v>53</v>
      </c>
      <c r="AI1162" t="s">
        <v>65</v>
      </c>
      <c r="AJ1162">
        <v>1.7</v>
      </c>
      <c r="AK1162" t="s">
        <v>47</v>
      </c>
      <c r="AL1162" t="s">
        <v>72</v>
      </c>
      <c r="AM1162" t="s">
        <v>73</v>
      </c>
      <c r="AN1162">
        <v>48</v>
      </c>
      <c r="AO1162" t="s">
        <v>46</v>
      </c>
    </row>
    <row r="1163" spans="1:41">
      <c r="A1163" t="s">
        <v>1315</v>
      </c>
      <c r="B1163">
        <v>2025</v>
      </c>
      <c r="C1163" s="1">
        <v>45999</v>
      </c>
      <c r="D1163" t="s">
        <v>110</v>
      </c>
      <c r="E1163" t="s">
        <v>116</v>
      </c>
      <c r="F1163">
        <v>60</v>
      </c>
      <c r="G1163" t="s">
        <v>44</v>
      </c>
      <c r="H1163" t="s">
        <v>70</v>
      </c>
      <c r="I1163">
        <v>0</v>
      </c>
      <c r="J1163">
        <v>0</v>
      </c>
      <c r="K1163" t="s">
        <v>46</v>
      </c>
      <c r="L1163" t="s">
        <v>47</v>
      </c>
      <c r="M1163" t="s">
        <v>46</v>
      </c>
      <c r="N1163" t="s">
        <v>62</v>
      </c>
      <c r="O1163" t="s">
        <v>49</v>
      </c>
      <c r="P1163">
        <v>27.8</v>
      </c>
      <c r="Q1163" t="s">
        <v>62</v>
      </c>
      <c r="R1163" t="s">
        <v>47</v>
      </c>
      <c r="S1163" t="s">
        <v>47</v>
      </c>
      <c r="T1163" t="s">
        <v>47</v>
      </c>
      <c r="U1163" t="s">
        <v>47</v>
      </c>
      <c r="V1163" t="s">
        <v>51</v>
      </c>
      <c r="W1163" t="s">
        <v>47</v>
      </c>
      <c r="X1163" t="s">
        <v>47</v>
      </c>
      <c r="Y1163" t="s">
        <v>46</v>
      </c>
      <c r="Z1163" t="s">
        <v>47</v>
      </c>
      <c r="AA1163" t="s">
        <v>46</v>
      </c>
      <c r="AB1163" t="s">
        <v>47</v>
      </c>
      <c r="AC1163" t="s">
        <v>47</v>
      </c>
      <c r="AD1163" t="s">
        <v>46</v>
      </c>
      <c r="AE1163" t="s">
        <v>47</v>
      </c>
      <c r="AF1163" t="s">
        <v>47</v>
      </c>
      <c r="AG1163" t="s">
        <v>52</v>
      </c>
      <c r="AH1163" t="s">
        <v>53</v>
      </c>
      <c r="AI1163" t="s">
        <v>87</v>
      </c>
      <c r="AJ1163">
        <v>2.4</v>
      </c>
      <c r="AK1163" t="s">
        <v>47</v>
      </c>
      <c r="AL1163" t="s">
        <v>100</v>
      </c>
      <c r="AM1163" t="s">
        <v>77</v>
      </c>
      <c r="AN1163">
        <v>48</v>
      </c>
      <c r="AO1163" t="s">
        <v>47</v>
      </c>
    </row>
    <row r="1164" spans="1:41">
      <c r="A1164" t="s">
        <v>1316</v>
      </c>
      <c r="B1164">
        <v>2020</v>
      </c>
      <c r="C1164" s="1">
        <v>43908</v>
      </c>
      <c r="D1164" t="s">
        <v>42</v>
      </c>
      <c r="E1164" t="s">
        <v>166</v>
      </c>
      <c r="F1164">
        <v>70</v>
      </c>
      <c r="G1164" t="s">
        <v>44</v>
      </c>
      <c r="H1164" t="s">
        <v>70</v>
      </c>
      <c r="I1164">
        <v>0</v>
      </c>
      <c r="J1164">
        <v>0</v>
      </c>
      <c r="K1164" t="s">
        <v>47</v>
      </c>
      <c r="L1164" t="s">
        <v>47</v>
      </c>
      <c r="M1164" t="s">
        <v>47</v>
      </c>
      <c r="N1164" t="s">
        <v>62</v>
      </c>
      <c r="O1164" t="s">
        <v>49</v>
      </c>
      <c r="P1164">
        <v>22.4</v>
      </c>
      <c r="Q1164" t="s">
        <v>48</v>
      </c>
      <c r="R1164" t="s">
        <v>47</v>
      </c>
      <c r="S1164" t="s">
        <v>47</v>
      </c>
      <c r="T1164" t="s">
        <v>46</v>
      </c>
      <c r="U1164" t="s">
        <v>47</v>
      </c>
      <c r="V1164" t="s">
        <v>64</v>
      </c>
      <c r="W1164" t="s">
        <v>46</v>
      </c>
      <c r="X1164" t="s">
        <v>46</v>
      </c>
      <c r="Y1164" t="s">
        <v>47</v>
      </c>
      <c r="Z1164" t="s">
        <v>46</v>
      </c>
      <c r="AA1164" t="s">
        <v>46</v>
      </c>
      <c r="AB1164" t="s">
        <v>46</v>
      </c>
      <c r="AC1164" t="s">
        <v>47</v>
      </c>
      <c r="AD1164" t="s">
        <v>46</v>
      </c>
      <c r="AE1164" t="s">
        <v>47</v>
      </c>
      <c r="AF1164" t="s">
        <v>47</v>
      </c>
      <c r="AG1164" t="s">
        <v>52</v>
      </c>
      <c r="AH1164" t="s">
        <v>53</v>
      </c>
      <c r="AI1164" t="s">
        <v>65</v>
      </c>
      <c r="AJ1164">
        <v>2.2000000000000002</v>
      </c>
      <c r="AK1164" t="s">
        <v>47</v>
      </c>
      <c r="AL1164" t="s">
        <v>66</v>
      </c>
      <c r="AM1164" t="s">
        <v>67</v>
      </c>
      <c r="AN1164">
        <v>60</v>
      </c>
      <c r="AO1164" t="s">
        <v>46</v>
      </c>
    </row>
    <row r="1165" spans="1:41">
      <c r="A1165" t="s">
        <v>1317</v>
      </c>
      <c r="B1165">
        <v>2020</v>
      </c>
      <c r="C1165" s="1">
        <v>44000</v>
      </c>
      <c r="D1165" t="s">
        <v>95</v>
      </c>
      <c r="E1165" t="s">
        <v>145</v>
      </c>
      <c r="F1165">
        <v>54</v>
      </c>
      <c r="G1165" t="s">
        <v>60</v>
      </c>
      <c r="H1165" t="s">
        <v>70</v>
      </c>
      <c r="I1165">
        <v>0</v>
      </c>
      <c r="J1165">
        <v>0</v>
      </c>
      <c r="K1165" t="s">
        <v>47</v>
      </c>
      <c r="L1165" t="s">
        <v>46</v>
      </c>
      <c r="M1165" t="s">
        <v>47</v>
      </c>
      <c r="N1165" t="s">
        <v>50</v>
      </c>
      <c r="O1165" t="s">
        <v>49</v>
      </c>
      <c r="P1165">
        <v>26.9</v>
      </c>
      <c r="Q1165" t="s">
        <v>48</v>
      </c>
      <c r="R1165" t="s">
        <v>46</v>
      </c>
      <c r="S1165" t="s">
        <v>47</v>
      </c>
      <c r="T1165" t="s">
        <v>46</v>
      </c>
      <c r="U1165" t="s">
        <v>47</v>
      </c>
      <c r="V1165" t="s">
        <v>64</v>
      </c>
      <c r="W1165" t="s">
        <v>47</v>
      </c>
      <c r="X1165" t="s">
        <v>47</v>
      </c>
      <c r="Y1165" t="s">
        <v>46</v>
      </c>
      <c r="Z1165" t="s">
        <v>47</v>
      </c>
      <c r="AA1165" t="s">
        <v>47</v>
      </c>
      <c r="AB1165" t="s">
        <v>47</v>
      </c>
      <c r="AC1165" t="s">
        <v>47</v>
      </c>
      <c r="AD1165" t="s">
        <v>47</v>
      </c>
      <c r="AE1165" t="s">
        <v>47</v>
      </c>
      <c r="AF1165" t="s">
        <v>47</v>
      </c>
      <c r="AG1165" t="s">
        <v>52</v>
      </c>
      <c r="AH1165" t="s">
        <v>53</v>
      </c>
      <c r="AI1165" t="s">
        <v>54</v>
      </c>
      <c r="AJ1165">
        <v>6.2</v>
      </c>
      <c r="AK1165" t="s">
        <v>46</v>
      </c>
      <c r="AL1165" t="s">
        <v>76</v>
      </c>
      <c r="AM1165" t="s">
        <v>82</v>
      </c>
      <c r="AN1165">
        <v>8</v>
      </c>
      <c r="AO1165" t="s">
        <v>47</v>
      </c>
    </row>
    <row r="1166" spans="1:41">
      <c r="A1166" t="s">
        <v>1318</v>
      </c>
      <c r="B1166">
        <v>2018</v>
      </c>
      <c r="C1166" s="1">
        <v>43320</v>
      </c>
      <c r="D1166" t="s">
        <v>42</v>
      </c>
      <c r="E1166" t="s">
        <v>79</v>
      </c>
      <c r="F1166">
        <v>52</v>
      </c>
      <c r="G1166" t="s">
        <v>60</v>
      </c>
      <c r="H1166" t="s">
        <v>45</v>
      </c>
      <c r="I1166">
        <v>5</v>
      </c>
      <c r="J1166">
        <v>10</v>
      </c>
      <c r="K1166" t="s">
        <v>47</v>
      </c>
      <c r="L1166" t="s">
        <v>47</v>
      </c>
      <c r="M1166" t="s">
        <v>46</v>
      </c>
      <c r="N1166" t="s">
        <v>62</v>
      </c>
      <c r="O1166" t="s">
        <v>49</v>
      </c>
      <c r="P1166">
        <v>22.3</v>
      </c>
      <c r="Q1166" t="s">
        <v>50</v>
      </c>
      <c r="R1166" t="s">
        <v>47</v>
      </c>
      <c r="S1166" t="s">
        <v>46</v>
      </c>
      <c r="T1166" t="s">
        <v>47</v>
      </c>
      <c r="U1166" t="s">
        <v>47</v>
      </c>
      <c r="V1166" t="s">
        <v>51</v>
      </c>
      <c r="W1166" t="s">
        <v>46</v>
      </c>
      <c r="X1166" t="s">
        <v>46</v>
      </c>
      <c r="Y1166" t="s">
        <v>46</v>
      </c>
      <c r="Z1166" t="s">
        <v>46</v>
      </c>
      <c r="AA1166" t="s">
        <v>46</v>
      </c>
      <c r="AB1166" t="s">
        <v>47</v>
      </c>
      <c r="AC1166" t="s">
        <v>47</v>
      </c>
      <c r="AD1166" t="s">
        <v>46</v>
      </c>
      <c r="AE1166" t="s">
        <v>47</v>
      </c>
      <c r="AF1166" t="s">
        <v>47</v>
      </c>
      <c r="AG1166" t="s">
        <v>52</v>
      </c>
      <c r="AH1166" t="s">
        <v>53</v>
      </c>
      <c r="AI1166" t="s">
        <v>54</v>
      </c>
      <c r="AJ1166">
        <v>3.8</v>
      </c>
      <c r="AK1166" t="s">
        <v>46</v>
      </c>
      <c r="AL1166" t="s">
        <v>81</v>
      </c>
      <c r="AM1166" t="s">
        <v>103</v>
      </c>
      <c r="AN1166">
        <v>11</v>
      </c>
      <c r="AO1166" t="s">
        <v>47</v>
      </c>
    </row>
    <row r="1167" spans="1:41">
      <c r="A1167" t="s">
        <v>1319</v>
      </c>
      <c r="B1167">
        <v>2023</v>
      </c>
      <c r="C1167" s="1">
        <v>45236</v>
      </c>
      <c r="D1167" t="s">
        <v>98</v>
      </c>
      <c r="E1167" t="s">
        <v>465</v>
      </c>
      <c r="F1167">
        <v>38</v>
      </c>
      <c r="G1167" t="s">
        <v>44</v>
      </c>
      <c r="H1167" t="s">
        <v>70</v>
      </c>
      <c r="I1167">
        <v>0</v>
      </c>
      <c r="J1167">
        <v>0</v>
      </c>
      <c r="K1167" t="s">
        <v>47</v>
      </c>
      <c r="L1167" t="s">
        <v>46</v>
      </c>
      <c r="M1167" t="s">
        <v>46</v>
      </c>
      <c r="N1167" t="s">
        <v>48</v>
      </c>
      <c r="O1167" t="s">
        <v>49</v>
      </c>
      <c r="P1167">
        <v>28.3</v>
      </c>
      <c r="Q1167" t="s">
        <v>50</v>
      </c>
      <c r="R1167" t="s">
        <v>47</v>
      </c>
      <c r="S1167" t="s">
        <v>47</v>
      </c>
      <c r="T1167" t="s">
        <v>47</v>
      </c>
      <c r="U1167" t="s">
        <v>47</v>
      </c>
      <c r="V1167" t="s">
        <v>86</v>
      </c>
      <c r="W1167" t="s">
        <v>46</v>
      </c>
      <c r="X1167" t="s">
        <v>47</v>
      </c>
      <c r="Y1167" t="s">
        <v>47</v>
      </c>
      <c r="Z1167" t="s">
        <v>47</v>
      </c>
      <c r="AA1167" t="s">
        <v>46</v>
      </c>
      <c r="AB1167" t="s">
        <v>47</v>
      </c>
      <c r="AC1167" t="s">
        <v>47</v>
      </c>
      <c r="AD1167" t="s">
        <v>47</v>
      </c>
      <c r="AE1167" t="s">
        <v>46</v>
      </c>
      <c r="AF1167" t="s">
        <v>47</v>
      </c>
      <c r="AG1167" t="s">
        <v>52</v>
      </c>
      <c r="AH1167" t="s">
        <v>53</v>
      </c>
      <c r="AI1167" t="s">
        <v>65</v>
      </c>
      <c r="AJ1167">
        <v>2.6</v>
      </c>
      <c r="AK1167" t="s">
        <v>47</v>
      </c>
      <c r="AL1167" t="s">
        <v>81</v>
      </c>
      <c r="AM1167" t="s">
        <v>67</v>
      </c>
      <c r="AN1167">
        <v>93</v>
      </c>
      <c r="AO1167" t="s">
        <v>46</v>
      </c>
    </row>
    <row r="1168" spans="1:41">
      <c r="A1168" t="s">
        <v>1320</v>
      </c>
      <c r="B1168">
        <v>2023</v>
      </c>
      <c r="C1168" s="1">
        <v>45252</v>
      </c>
      <c r="D1168" t="s">
        <v>95</v>
      </c>
      <c r="E1168" t="s">
        <v>145</v>
      </c>
      <c r="F1168">
        <v>47</v>
      </c>
      <c r="G1168" t="s">
        <v>44</v>
      </c>
      <c r="H1168" t="s">
        <v>61</v>
      </c>
      <c r="I1168">
        <v>33</v>
      </c>
      <c r="J1168">
        <v>15</v>
      </c>
      <c r="K1168" t="s">
        <v>46</v>
      </c>
      <c r="L1168" t="s">
        <v>47</v>
      </c>
      <c r="M1168" t="s">
        <v>47</v>
      </c>
      <c r="N1168" t="s">
        <v>50</v>
      </c>
      <c r="O1168" t="s">
        <v>63</v>
      </c>
      <c r="P1168">
        <v>21.2</v>
      </c>
      <c r="Q1168" t="s">
        <v>50</v>
      </c>
      <c r="R1168" t="s">
        <v>47</v>
      </c>
      <c r="S1168" t="s">
        <v>47</v>
      </c>
      <c r="T1168" t="s">
        <v>47</v>
      </c>
      <c r="U1168" t="s">
        <v>47</v>
      </c>
      <c r="V1168" t="s">
        <v>51</v>
      </c>
      <c r="W1168" t="s">
        <v>47</v>
      </c>
      <c r="X1168" t="s">
        <v>46</v>
      </c>
      <c r="Y1168" t="s">
        <v>47</v>
      </c>
      <c r="Z1168" t="s">
        <v>47</v>
      </c>
      <c r="AA1168" t="s">
        <v>46</v>
      </c>
      <c r="AB1168" t="s">
        <v>47</v>
      </c>
      <c r="AC1168" t="s">
        <v>47</v>
      </c>
      <c r="AD1168" t="s">
        <v>47</v>
      </c>
      <c r="AE1168" t="s">
        <v>47</v>
      </c>
      <c r="AF1168" t="s">
        <v>47</v>
      </c>
      <c r="AG1168" t="s">
        <v>52</v>
      </c>
      <c r="AH1168" t="s">
        <v>71</v>
      </c>
      <c r="AI1168" t="s">
        <v>80</v>
      </c>
      <c r="AJ1168">
        <v>6.7</v>
      </c>
      <c r="AK1168" t="s">
        <v>47</v>
      </c>
      <c r="AL1168" t="s">
        <v>100</v>
      </c>
      <c r="AM1168" t="s">
        <v>103</v>
      </c>
      <c r="AN1168">
        <v>21</v>
      </c>
      <c r="AO1168" t="s">
        <v>47</v>
      </c>
    </row>
    <row r="1169" spans="1:41">
      <c r="A1169" t="s">
        <v>1321</v>
      </c>
      <c r="B1169">
        <v>2021</v>
      </c>
      <c r="C1169" s="1">
        <v>44378</v>
      </c>
      <c r="D1169" t="s">
        <v>110</v>
      </c>
      <c r="E1169" t="s">
        <v>124</v>
      </c>
      <c r="F1169">
        <v>63</v>
      </c>
      <c r="G1169" t="s">
        <v>60</v>
      </c>
      <c r="H1169" t="s">
        <v>70</v>
      </c>
      <c r="I1169">
        <v>0</v>
      </c>
      <c r="J1169">
        <v>0</v>
      </c>
      <c r="K1169" t="s">
        <v>46</v>
      </c>
      <c r="L1169" t="s">
        <v>47</v>
      </c>
      <c r="M1169" t="s">
        <v>46</v>
      </c>
      <c r="N1169" t="s">
        <v>62</v>
      </c>
      <c r="O1169" t="s">
        <v>48</v>
      </c>
      <c r="P1169">
        <v>20.6</v>
      </c>
      <c r="Q1169" t="s">
        <v>62</v>
      </c>
      <c r="R1169" t="s">
        <v>47</v>
      </c>
      <c r="S1169" t="s">
        <v>47</v>
      </c>
      <c r="T1169" t="s">
        <v>46</v>
      </c>
      <c r="U1169" t="s">
        <v>47</v>
      </c>
      <c r="V1169" t="s">
        <v>64</v>
      </c>
      <c r="W1169" t="s">
        <v>46</v>
      </c>
      <c r="X1169" t="s">
        <v>46</v>
      </c>
      <c r="Y1169" t="s">
        <v>46</v>
      </c>
      <c r="Z1169" t="s">
        <v>47</v>
      </c>
      <c r="AA1169" t="s">
        <v>46</v>
      </c>
      <c r="AB1169" t="s">
        <v>47</v>
      </c>
      <c r="AC1169" t="s">
        <v>47</v>
      </c>
      <c r="AD1169" t="s">
        <v>47</v>
      </c>
      <c r="AE1169" t="s">
        <v>47</v>
      </c>
      <c r="AF1169" t="s">
        <v>47</v>
      </c>
      <c r="AG1169" t="s">
        <v>52</v>
      </c>
      <c r="AH1169" t="s">
        <v>53</v>
      </c>
      <c r="AI1169" t="s">
        <v>87</v>
      </c>
      <c r="AJ1169">
        <v>4.5</v>
      </c>
      <c r="AK1169" t="s">
        <v>47</v>
      </c>
      <c r="AL1169" t="s">
        <v>66</v>
      </c>
      <c r="AM1169" t="s">
        <v>77</v>
      </c>
      <c r="AN1169">
        <v>40</v>
      </c>
      <c r="AO1169" t="s">
        <v>47</v>
      </c>
    </row>
    <row r="1170" spans="1:41">
      <c r="A1170" t="s">
        <v>1322</v>
      </c>
      <c r="B1170">
        <v>2019</v>
      </c>
      <c r="C1170" s="1">
        <v>43570</v>
      </c>
      <c r="D1170" t="s">
        <v>110</v>
      </c>
      <c r="E1170" t="s">
        <v>124</v>
      </c>
      <c r="F1170">
        <v>72</v>
      </c>
      <c r="G1170" t="s">
        <v>44</v>
      </c>
      <c r="H1170" t="s">
        <v>70</v>
      </c>
      <c r="I1170">
        <v>0</v>
      </c>
      <c r="J1170">
        <v>0</v>
      </c>
      <c r="K1170" t="s">
        <v>46</v>
      </c>
      <c r="L1170" t="s">
        <v>47</v>
      </c>
      <c r="M1170" t="s">
        <v>46</v>
      </c>
      <c r="N1170" t="s">
        <v>48</v>
      </c>
      <c r="O1170" t="s">
        <v>49</v>
      </c>
      <c r="P1170">
        <v>25.4</v>
      </c>
      <c r="Q1170" t="s">
        <v>50</v>
      </c>
      <c r="R1170" t="s">
        <v>47</v>
      </c>
      <c r="S1170" t="s">
        <v>47</v>
      </c>
      <c r="T1170" t="s">
        <v>46</v>
      </c>
      <c r="U1170" t="s">
        <v>47</v>
      </c>
      <c r="V1170" t="s">
        <v>51</v>
      </c>
      <c r="W1170" t="s">
        <v>47</v>
      </c>
      <c r="X1170" t="s">
        <v>47</v>
      </c>
      <c r="Y1170" t="s">
        <v>47</v>
      </c>
      <c r="Z1170" t="s">
        <v>47</v>
      </c>
      <c r="AA1170" t="s">
        <v>46</v>
      </c>
      <c r="AB1170" t="s">
        <v>47</v>
      </c>
      <c r="AC1170" t="s">
        <v>47</v>
      </c>
      <c r="AD1170" t="s">
        <v>47</v>
      </c>
      <c r="AE1170" t="s">
        <v>47</v>
      </c>
      <c r="AF1170" t="s">
        <v>47</v>
      </c>
      <c r="AG1170" t="s">
        <v>52</v>
      </c>
      <c r="AH1170" t="s">
        <v>53</v>
      </c>
      <c r="AI1170" t="s">
        <v>65</v>
      </c>
      <c r="AJ1170">
        <v>1.7</v>
      </c>
      <c r="AK1170" t="s">
        <v>47</v>
      </c>
      <c r="AL1170" t="s">
        <v>76</v>
      </c>
      <c r="AM1170" t="s">
        <v>73</v>
      </c>
      <c r="AN1170">
        <v>79</v>
      </c>
      <c r="AO1170" t="s">
        <v>46</v>
      </c>
    </row>
    <row r="1171" spans="1:41">
      <c r="A1171" t="s">
        <v>1323</v>
      </c>
      <c r="B1171">
        <v>2018</v>
      </c>
      <c r="C1171" s="1">
        <v>43294</v>
      </c>
      <c r="D1171" t="s">
        <v>110</v>
      </c>
      <c r="E1171" t="s">
        <v>177</v>
      </c>
      <c r="F1171">
        <v>53</v>
      </c>
      <c r="G1171" t="s">
        <v>60</v>
      </c>
      <c r="H1171" t="s">
        <v>70</v>
      </c>
      <c r="I1171">
        <v>0</v>
      </c>
      <c r="J1171">
        <v>0</v>
      </c>
      <c r="K1171" t="s">
        <v>46</v>
      </c>
      <c r="L1171" t="s">
        <v>46</v>
      </c>
      <c r="M1171" t="s">
        <v>47</v>
      </c>
      <c r="N1171" t="s">
        <v>48</v>
      </c>
      <c r="O1171" t="s">
        <v>48</v>
      </c>
      <c r="P1171">
        <v>25.7</v>
      </c>
      <c r="Q1171" t="s">
        <v>62</v>
      </c>
      <c r="R1171" t="s">
        <v>47</v>
      </c>
      <c r="S1171" t="s">
        <v>47</v>
      </c>
      <c r="T1171" t="s">
        <v>47</v>
      </c>
      <c r="U1171" t="s">
        <v>47</v>
      </c>
      <c r="V1171" t="s">
        <v>92</v>
      </c>
      <c r="W1171" t="s">
        <v>47</v>
      </c>
      <c r="X1171" t="s">
        <v>46</v>
      </c>
      <c r="Y1171" t="s">
        <v>47</v>
      </c>
      <c r="Z1171" t="s">
        <v>47</v>
      </c>
      <c r="AA1171" t="s">
        <v>47</v>
      </c>
      <c r="AB1171" t="s">
        <v>46</v>
      </c>
      <c r="AC1171" t="s">
        <v>46</v>
      </c>
      <c r="AD1171" t="s">
        <v>46</v>
      </c>
      <c r="AE1171" t="s">
        <v>47</v>
      </c>
      <c r="AF1171" t="s">
        <v>47</v>
      </c>
      <c r="AG1171" t="s">
        <v>52</v>
      </c>
      <c r="AH1171" t="s">
        <v>53</v>
      </c>
      <c r="AI1171" t="s">
        <v>87</v>
      </c>
      <c r="AJ1171">
        <v>5.4</v>
      </c>
      <c r="AK1171" t="s">
        <v>47</v>
      </c>
      <c r="AL1171" t="s">
        <v>100</v>
      </c>
      <c r="AM1171" t="s">
        <v>103</v>
      </c>
      <c r="AN1171">
        <v>30</v>
      </c>
      <c r="AO1171" t="s">
        <v>46</v>
      </c>
    </row>
    <row r="1172" spans="1:41">
      <c r="A1172" t="s">
        <v>1324</v>
      </c>
      <c r="B1172">
        <v>2015</v>
      </c>
      <c r="C1172" s="1">
        <v>42345</v>
      </c>
      <c r="D1172" t="s">
        <v>42</v>
      </c>
      <c r="E1172" t="s">
        <v>160</v>
      </c>
      <c r="F1172">
        <v>82</v>
      </c>
      <c r="G1172" t="s">
        <v>60</v>
      </c>
      <c r="H1172" t="s">
        <v>70</v>
      </c>
      <c r="I1172">
        <v>0</v>
      </c>
      <c r="J1172">
        <v>0</v>
      </c>
      <c r="K1172" t="s">
        <v>46</v>
      </c>
      <c r="L1172" t="s">
        <v>47</v>
      </c>
      <c r="M1172" t="s">
        <v>47</v>
      </c>
      <c r="N1172" t="s">
        <v>62</v>
      </c>
      <c r="O1172" t="s">
        <v>48</v>
      </c>
      <c r="P1172">
        <v>23.8</v>
      </c>
      <c r="Q1172" t="s">
        <v>48</v>
      </c>
      <c r="R1172" t="s">
        <v>47</v>
      </c>
      <c r="S1172" t="s">
        <v>47</v>
      </c>
      <c r="T1172" t="s">
        <v>47</v>
      </c>
      <c r="U1172" t="s">
        <v>47</v>
      </c>
      <c r="V1172" t="s">
        <v>51</v>
      </c>
      <c r="W1172" t="s">
        <v>46</v>
      </c>
      <c r="X1172" t="s">
        <v>47</v>
      </c>
      <c r="Y1172" t="s">
        <v>46</v>
      </c>
      <c r="Z1172" t="s">
        <v>47</v>
      </c>
      <c r="AA1172" t="s">
        <v>47</v>
      </c>
      <c r="AB1172" t="s">
        <v>47</v>
      </c>
      <c r="AC1172" t="s">
        <v>47</v>
      </c>
      <c r="AD1172" t="s">
        <v>46</v>
      </c>
      <c r="AE1172" t="s">
        <v>47</v>
      </c>
      <c r="AF1172" t="s">
        <v>47</v>
      </c>
      <c r="AG1172" t="s">
        <v>52</v>
      </c>
      <c r="AH1172" t="s">
        <v>53</v>
      </c>
      <c r="AI1172" t="s">
        <v>54</v>
      </c>
      <c r="AJ1172">
        <v>11.6</v>
      </c>
      <c r="AK1172" t="s">
        <v>46</v>
      </c>
      <c r="AL1172" t="s">
        <v>76</v>
      </c>
      <c r="AM1172" t="s">
        <v>265</v>
      </c>
      <c r="AN1172">
        <v>21</v>
      </c>
      <c r="AO1172" t="s">
        <v>47</v>
      </c>
    </row>
    <row r="1173" spans="1:41">
      <c r="A1173" t="s">
        <v>1325</v>
      </c>
      <c r="B1173">
        <v>2016</v>
      </c>
      <c r="C1173" s="1">
        <v>42515</v>
      </c>
      <c r="D1173" t="s">
        <v>110</v>
      </c>
      <c r="E1173" t="s">
        <v>227</v>
      </c>
      <c r="F1173">
        <v>80</v>
      </c>
      <c r="G1173" t="s">
        <v>60</v>
      </c>
      <c r="H1173" t="s">
        <v>61</v>
      </c>
      <c r="I1173">
        <v>13</v>
      </c>
      <c r="J1173">
        <v>24</v>
      </c>
      <c r="K1173" t="s">
        <v>47</v>
      </c>
      <c r="L1173" t="s">
        <v>46</v>
      </c>
      <c r="M1173" t="s">
        <v>47</v>
      </c>
      <c r="N1173" t="s">
        <v>62</v>
      </c>
      <c r="O1173" t="s">
        <v>63</v>
      </c>
      <c r="P1173">
        <v>25.7</v>
      </c>
      <c r="Q1173" t="s">
        <v>62</v>
      </c>
      <c r="R1173" t="s">
        <v>47</v>
      </c>
      <c r="S1173" t="s">
        <v>47</v>
      </c>
      <c r="T1173" t="s">
        <v>47</v>
      </c>
      <c r="U1173" t="s">
        <v>47</v>
      </c>
      <c r="V1173" t="s">
        <v>64</v>
      </c>
      <c r="W1173" t="s">
        <v>46</v>
      </c>
      <c r="X1173" t="s">
        <v>46</v>
      </c>
      <c r="Y1173" t="s">
        <v>47</v>
      </c>
      <c r="Z1173" t="s">
        <v>47</v>
      </c>
      <c r="AA1173" t="s">
        <v>46</v>
      </c>
      <c r="AB1173" t="s">
        <v>47</v>
      </c>
      <c r="AC1173" t="s">
        <v>46</v>
      </c>
      <c r="AD1173" t="s">
        <v>47</v>
      </c>
      <c r="AE1173" t="s">
        <v>47</v>
      </c>
      <c r="AF1173" t="s">
        <v>46</v>
      </c>
      <c r="AG1173" t="s">
        <v>52</v>
      </c>
      <c r="AH1173" t="s">
        <v>53</v>
      </c>
      <c r="AI1173" t="s">
        <v>87</v>
      </c>
      <c r="AJ1173">
        <v>5.0999999999999996</v>
      </c>
      <c r="AK1173" t="s">
        <v>47</v>
      </c>
      <c r="AL1173" t="s">
        <v>81</v>
      </c>
      <c r="AM1173" t="s">
        <v>103</v>
      </c>
      <c r="AN1173">
        <v>39</v>
      </c>
      <c r="AO1173" t="s">
        <v>46</v>
      </c>
    </row>
    <row r="1174" spans="1:41">
      <c r="A1174" t="s">
        <v>1326</v>
      </c>
      <c r="B1174">
        <v>2022</v>
      </c>
      <c r="C1174" s="1">
        <v>44838</v>
      </c>
      <c r="D1174" t="s">
        <v>84</v>
      </c>
      <c r="E1174" t="s">
        <v>89</v>
      </c>
      <c r="F1174">
        <v>64</v>
      </c>
      <c r="G1174" t="s">
        <v>60</v>
      </c>
      <c r="H1174" t="s">
        <v>70</v>
      </c>
      <c r="I1174">
        <v>0</v>
      </c>
      <c r="J1174">
        <v>0</v>
      </c>
      <c r="K1174" t="s">
        <v>47</v>
      </c>
      <c r="L1174" t="s">
        <v>47</v>
      </c>
      <c r="M1174" t="s">
        <v>47</v>
      </c>
      <c r="N1174" t="s">
        <v>48</v>
      </c>
      <c r="O1174" t="s">
        <v>48</v>
      </c>
      <c r="P1174">
        <v>28.7</v>
      </c>
      <c r="Q1174" t="s">
        <v>48</v>
      </c>
      <c r="R1174" t="s">
        <v>47</v>
      </c>
      <c r="S1174" t="s">
        <v>47</v>
      </c>
      <c r="T1174" t="s">
        <v>47</v>
      </c>
      <c r="U1174" t="s">
        <v>47</v>
      </c>
      <c r="V1174" t="s">
        <v>51</v>
      </c>
      <c r="W1174" t="s">
        <v>47</v>
      </c>
      <c r="X1174" t="s">
        <v>47</v>
      </c>
      <c r="Y1174" t="s">
        <v>47</v>
      </c>
      <c r="Z1174" t="s">
        <v>47</v>
      </c>
      <c r="AA1174" t="s">
        <v>46</v>
      </c>
      <c r="AB1174" t="s">
        <v>47</v>
      </c>
      <c r="AC1174" t="s">
        <v>47</v>
      </c>
      <c r="AD1174" t="s">
        <v>47</v>
      </c>
      <c r="AE1174" t="s">
        <v>47</v>
      </c>
      <c r="AF1174" t="s">
        <v>47</v>
      </c>
      <c r="AG1174" t="s">
        <v>52</v>
      </c>
      <c r="AH1174" t="s">
        <v>53</v>
      </c>
      <c r="AI1174" t="s">
        <v>65</v>
      </c>
      <c r="AJ1174">
        <v>3.5</v>
      </c>
      <c r="AK1174" t="s">
        <v>47</v>
      </c>
      <c r="AL1174" t="s">
        <v>81</v>
      </c>
      <c r="AM1174" t="s">
        <v>73</v>
      </c>
      <c r="AN1174">
        <v>51</v>
      </c>
      <c r="AO1174" t="s">
        <v>46</v>
      </c>
    </row>
    <row r="1175" spans="1:41">
      <c r="A1175" t="s">
        <v>1327</v>
      </c>
      <c r="B1175">
        <v>2018</v>
      </c>
      <c r="C1175" s="1">
        <v>43171</v>
      </c>
      <c r="D1175" t="s">
        <v>110</v>
      </c>
      <c r="E1175" t="s">
        <v>111</v>
      </c>
      <c r="F1175">
        <v>63</v>
      </c>
      <c r="G1175" t="s">
        <v>60</v>
      </c>
      <c r="H1175" t="s">
        <v>70</v>
      </c>
      <c r="I1175">
        <v>0</v>
      </c>
      <c r="J1175">
        <v>0</v>
      </c>
      <c r="K1175" t="s">
        <v>46</v>
      </c>
      <c r="L1175" t="s">
        <v>47</v>
      </c>
      <c r="M1175" t="s">
        <v>47</v>
      </c>
      <c r="N1175" t="s">
        <v>48</v>
      </c>
      <c r="O1175" t="s">
        <v>49</v>
      </c>
      <c r="P1175">
        <v>26.8</v>
      </c>
      <c r="Q1175" t="s">
        <v>62</v>
      </c>
      <c r="R1175" t="s">
        <v>46</v>
      </c>
      <c r="S1175" t="s">
        <v>47</v>
      </c>
      <c r="T1175" t="s">
        <v>47</v>
      </c>
      <c r="U1175" t="s">
        <v>47</v>
      </c>
      <c r="V1175" t="s">
        <v>86</v>
      </c>
      <c r="W1175" t="s">
        <v>46</v>
      </c>
      <c r="X1175" t="s">
        <v>47</v>
      </c>
      <c r="Y1175" t="s">
        <v>47</v>
      </c>
      <c r="Z1175" t="s">
        <v>47</v>
      </c>
      <c r="AA1175" t="s">
        <v>46</v>
      </c>
      <c r="AB1175" t="s">
        <v>46</v>
      </c>
      <c r="AC1175" t="s">
        <v>47</v>
      </c>
      <c r="AD1175" t="s">
        <v>47</v>
      </c>
      <c r="AE1175" t="s">
        <v>47</v>
      </c>
      <c r="AF1175" t="s">
        <v>47</v>
      </c>
      <c r="AG1175" t="s">
        <v>52</v>
      </c>
      <c r="AH1175" t="s">
        <v>53</v>
      </c>
      <c r="AI1175" t="s">
        <v>65</v>
      </c>
      <c r="AJ1175">
        <v>2.2000000000000002</v>
      </c>
      <c r="AK1175" t="s">
        <v>47</v>
      </c>
      <c r="AL1175" t="s">
        <v>156</v>
      </c>
      <c r="AM1175" t="s">
        <v>73</v>
      </c>
      <c r="AN1175">
        <v>54</v>
      </c>
      <c r="AO1175" t="s">
        <v>46</v>
      </c>
    </row>
    <row r="1176" spans="1:41">
      <c r="A1176" t="s">
        <v>1328</v>
      </c>
      <c r="B1176">
        <v>2022</v>
      </c>
      <c r="C1176" s="1">
        <v>44666</v>
      </c>
      <c r="D1176" t="s">
        <v>42</v>
      </c>
      <c r="E1176" t="s">
        <v>69</v>
      </c>
      <c r="F1176">
        <v>55</v>
      </c>
      <c r="G1176" t="s">
        <v>44</v>
      </c>
      <c r="H1176" t="s">
        <v>45</v>
      </c>
      <c r="I1176">
        <v>30</v>
      </c>
      <c r="J1176">
        <v>29</v>
      </c>
      <c r="K1176" t="s">
        <v>47</v>
      </c>
      <c r="L1176" t="s">
        <v>47</v>
      </c>
      <c r="M1176" t="s">
        <v>47</v>
      </c>
      <c r="N1176" t="s">
        <v>48</v>
      </c>
      <c r="O1176" t="s">
        <v>48</v>
      </c>
      <c r="P1176">
        <v>28.7</v>
      </c>
      <c r="Q1176" t="s">
        <v>50</v>
      </c>
      <c r="R1176" t="s">
        <v>46</v>
      </c>
      <c r="S1176" t="s">
        <v>47</v>
      </c>
      <c r="T1176" t="s">
        <v>47</v>
      </c>
      <c r="U1176" t="s">
        <v>47</v>
      </c>
      <c r="V1176" t="s">
        <v>51</v>
      </c>
      <c r="W1176" t="s">
        <v>46</v>
      </c>
      <c r="X1176" t="s">
        <v>46</v>
      </c>
      <c r="Y1176" t="s">
        <v>46</v>
      </c>
      <c r="Z1176" t="s">
        <v>46</v>
      </c>
      <c r="AA1176" t="s">
        <v>46</v>
      </c>
      <c r="AB1176" t="s">
        <v>46</v>
      </c>
      <c r="AC1176" t="s">
        <v>46</v>
      </c>
      <c r="AD1176" t="s">
        <v>46</v>
      </c>
      <c r="AE1176" t="s">
        <v>47</v>
      </c>
      <c r="AF1176" t="s">
        <v>47</v>
      </c>
      <c r="AG1176" t="s">
        <v>52</v>
      </c>
      <c r="AH1176" t="s">
        <v>71</v>
      </c>
      <c r="AI1176" t="s">
        <v>54</v>
      </c>
      <c r="AJ1176">
        <v>8.3000000000000007</v>
      </c>
      <c r="AK1176" t="s">
        <v>46</v>
      </c>
      <c r="AL1176" t="s">
        <v>100</v>
      </c>
      <c r="AM1176" t="s">
        <v>56</v>
      </c>
      <c r="AN1176">
        <v>4</v>
      </c>
      <c r="AO1176" t="s">
        <v>47</v>
      </c>
    </row>
    <row r="1177" spans="1:41">
      <c r="A1177" t="s">
        <v>1329</v>
      </c>
      <c r="B1177">
        <v>2021</v>
      </c>
      <c r="C1177" s="1">
        <v>44338</v>
      </c>
      <c r="D1177" t="s">
        <v>98</v>
      </c>
      <c r="E1177" t="s">
        <v>202</v>
      </c>
      <c r="F1177">
        <v>63</v>
      </c>
      <c r="G1177" t="s">
        <v>44</v>
      </c>
      <c r="H1177" t="s">
        <v>70</v>
      </c>
      <c r="I1177">
        <v>0</v>
      </c>
      <c r="J1177">
        <v>0</v>
      </c>
      <c r="K1177" t="s">
        <v>46</v>
      </c>
      <c r="L1177" t="s">
        <v>47</v>
      </c>
      <c r="M1177" t="s">
        <v>47</v>
      </c>
      <c r="N1177" t="s">
        <v>62</v>
      </c>
      <c r="O1177" t="s">
        <v>48</v>
      </c>
      <c r="P1177">
        <v>34.200000000000003</v>
      </c>
      <c r="Q1177" t="s">
        <v>50</v>
      </c>
      <c r="R1177" t="s">
        <v>47</v>
      </c>
      <c r="S1177" t="s">
        <v>47</v>
      </c>
      <c r="T1177" t="s">
        <v>47</v>
      </c>
      <c r="U1177" t="s">
        <v>46</v>
      </c>
      <c r="V1177" t="s">
        <v>193</v>
      </c>
      <c r="W1177" t="s">
        <v>46</v>
      </c>
      <c r="X1177" t="s">
        <v>47</v>
      </c>
      <c r="Y1177" t="s">
        <v>46</v>
      </c>
      <c r="Z1177" t="s">
        <v>47</v>
      </c>
      <c r="AA1177" t="s">
        <v>47</v>
      </c>
      <c r="AB1177" t="s">
        <v>47</v>
      </c>
      <c r="AC1177" t="s">
        <v>47</v>
      </c>
      <c r="AD1177" t="s">
        <v>47</v>
      </c>
      <c r="AE1177" t="s">
        <v>47</v>
      </c>
      <c r="AF1177" t="s">
        <v>46</v>
      </c>
      <c r="AG1177" t="s">
        <v>52</v>
      </c>
      <c r="AH1177" t="s">
        <v>53</v>
      </c>
      <c r="AI1177" t="s">
        <v>54</v>
      </c>
      <c r="AJ1177">
        <v>4.8</v>
      </c>
      <c r="AK1177" t="s">
        <v>46</v>
      </c>
      <c r="AL1177" t="s">
        <v>66</v>
      </c>
      <c r="AM1177" t="s">
        <v>82</v>
      </c>
      <c r="AN1177">
        <v>7</v>
      </c>
      <c r="AO1177" t="s">
        <v>47</v>
      </c>
    </row>
    <row r="1178" spans="1:41">
      <c r="A1178" t="s">
        <v>1330</v>
      </c>
      <c r="B1178">
        <v>2024</v>
      </c>
      <c r="C1178" s="1">
        <v>45556</v>
      </c>
      <c r="D1178" t="s">
        <v>95</v>
      </c>
      <c r="E1178" t="s">
        <v>107</v>
      </c>
      <c r="F1178">
        <v>43</v>
      </c>
      <c r="G1178" t="s">
        <v>60</v>
      </c>
      <c r="H1178" t="s">
        <v>70</v>
      </c>
      <c r="I1178">
        <v>0</v>
      </c>
      <c r="J1178">
        <v>0</v>
      </c>
      <c r="K1178" t="s">
        <v>47</v>
      </c>
      <c r="L1178" t="s">
        <v>46</v>
      </c>
      <c r="M1178" t="s">
        <v>47</v>
      </c>
      <c r="N1178" t="s">
        <v>62</v>
      </c>
      <c r="O1178" t="s">
        <v>48</v>
      </c>
      <c r="P1178">
        <v>23.4</v>
      </c>
      <c r="Q1178" t="s">
        <v>48</v>
      </c>
      <c r="R1178" t="s">
        <v>47</v>
      </c>
      <c r="S1178" t="s">
        <v>47</v>
      </c>
      <c r="T1178" t="s">
        <v>47</v>
      </c>
      <c r="U1178" t="s">
        <v>47</v>
      </c>
      <c r="V1178" t="s">
        <v>86</v>
      </c>
      <c r="W1178" t="s">
        <v>47</v>
      </c>
      <c r="X1178" t="s">
        <v>46</v>
      </c>
      <c r="Y1178" t="s">
        <v>47</v>
      </c>
      <c r="Z1178" t="s">
        <v>47</v>
      </c>
      <c r="AA1178" t="s">
        <v>47</v>
      </c>
      <c r="AB1178" t="s">
        <v>47</v>
      </c>
      <c r="AC1178" t="s">
        <v>46</v>
      </c>
      <c r="AD1178" t="s">
        <v>47</v>
      </c>
      <c r="AE1178" t="s">
        <v>47</v>
      </c>
      <c r="AF1178" t="s">
        <v>46</v>
      </c>
      <c r="AG1178" t="s">
        <v>52</v>
      </c>
      <c r="AH1178" t="s">
        <v>53</v>
      </c>
      <c r="AI1178" t="s">
        <v>87</v>
      </c>
      <c r="AJ1178">
        <v>4.5999999999999996</v>
      </c>
      <c r="AK1178" t="s">
        <v>47</v>
      </c>
      <c r="AL1178" t="s">
        <v>76</v>
      </c>
      <c r="AM1178" t="s">
        <v>73</v>
      </c>
      <c r="AN1178">
        <v>25</v>
      </c>
      <c r="AO1178" t="s">
        <v>47</v>
      </c>
    </row>
    <row r="1179" spans="1:41">
      <c r="A1179" t="s">
        <v>1331</v>
      </c>
      <c r="B1179">
        <v>2017</v>
      </c>
      <c r="C1179" s="1">
        <v>43021</v>
      </c>
      <c r="D1179" t="s">
        <v>110</v>
      </c>
      <c r="E1179" t="s">
        <v>124</v>
      </c>
      <c r="F1179">
        <v>53</v>
      </c>
      <c r="G1179" t="s">
        <v>44</v>
      </c>
      <c r="H1179" t="s">
        <v>45</v>
      </c>
      <c r="I1179">
        <v>30</v>
      </c>
      <c r="J1179">
        <v>27</v>
      </c>
      <c r="K1179" t="s">
        <v>46</v>
      </c>
      <c r="L1179" t="s">
        <v>47</v>
      </c>
      <c r="M1179" t="s">
        <v>47</v>
      </c>
      <c r="N1179" t="s">
        <v>50</v>
      </c>
      <c r="O1179" t="s">
        <v>49</v>
      </c>
      <c r="P1179">
        <v>30.4</v>
      </c>
      <c r="Q1179" t="s">
        <v>50</v>
      </c>
      <c r="R1179" t="s">
        <v>47</v>
      </c>
      <c r="S1179" t="s">
        <v>47</v>
      </c>
      <c r="T1179" t="s">
        <v>47</v>
      </c>
      <c r="U1179" t="s">
        <v>47</v>
      </c>
      <c r="V1179" t="s">
        <v>193</v>
      </c>
      <c r="W1179" t="s">
        <v>46</v>
      </c>
      <c r="X1179" t="s">
        <v>47</v>
      </c>
      <c r="Y1179" t="s">
        <v>46</v>
      </c>
      <c r="Z1179" t="s">
        <v>47</v>
      </c>
      <c r="AA1179" t="s">
        <v>47</v>
      </c>
      <c r="AB1179" t="s">
        <v>47</v>
      </c>
      <c r="AC1179" t="s">
        <v>46</v>
      </c>
      <c r="AD1179" t="s">
        <v>47</v>
      </c>
      <c r="AE1179" t="s">
        <v>46</v>
      </c>
      <c r="AF1179" t="s">
        <v>47</v>
      </c>
      <c r="AG1179" t="s">
        <v>121</v>
      </c>
      <c r="AH1179" t="s">
        <v>122</v>
      </c>
      <c r="AI1179" t="s">
        <v>80</v>
      </c>
      <c r="AJ1179">
        <v>3.5</v>
      </c>
      <c r="AK1179" t="s">
        <v>47</v>
      </c>
      <c r="AL1179" t="s">
        <v>81</v>
      </c>
      <c r="AM1179" t="s">
        <v>118</v>
      </c>
      <c r="AN1179">
        <v>22</v>
      </c>
      <c r="AO1179" t="s">
        <v>47</v>
      </c>
    </row>
    <row r="1180" spans="1:41">
      <c r="A1180" t="s">
        <v>1332</v>
      </c>
      <c r="B1180">
        <v>2017</v>
      </c>
      <c r="C1180" s="1">
        <v>42935</v>
      </c>
      <c r="D1180" t="s">
        <v>84</v>
      </c>
      <c r="E1180" t="s">
        <v>85</v>
      </c>
      <c r="F1180">
        <v>50</v>
      </c>
      <c r="G1180" t="s">
        <v>60</v>
      </c>
      <c r="H1180" t="s">
        <v>70</v>
      </c>
      <c r="I1180">
        <v>0</v>
      </c>
      <c r="J1180">
        <v>0</v>
      </c>
      <c r="K1180" t="s">
        <v>46</v>
      </c>
      <c r="L1180" t="s">
        <v>47</v>
      </c>
      <c r="M1180" t="s">
        <v>47</v>
      </c>
      <c r="N1180" t="s">
        <v>48</v>
      </c>
      <c r="O1180" t="s">
        <v>49</v>
      </c>
      <c r="P1180">
        <v>29.4</v>
      </c>
      <c r="Q1180" t="s">
        <v>50</v>
      </c>
      <c r="R1180" t="s">
        <v>47</v>
      </c>
      <c r="S1180" t="s">
        <v>47</v>
      </c>
      <c r="T1180" t="s">
        <v>47</v>
      </c>
      <c r="U1180" t="s">
        <v>47</v>
      </c>
      <c r="V1180" t="s">
        <v>86</v>
      </c>
      <c r="W1180" t="s">
        <v>46</v>
      </c>
      <c r="X1180" t="s">
        <v>47</v>
      </c>
      <c r="Y1180" t="s">
        <v>47</v>
      </c>
      <c r="Z1180" t="s">
        <v>47</v>
      </c>
      <c r="AA1180" t="s">
        <v>47</v>
      </c>
      <c r="AB1180" t="s">
        <v>46</v>
      </c>
      <c r="AC1180" t="s">
        <v>47</v>
      </c>
      <c r="AD1180" t="s">
        <v>47</v>
      </c>
      <c r="AE1180" t="s">
        <v>47</v>
      </c>
      <c r="AF1180" t="s">
        <v>47</v>
      </c>
      <c r="AG1180" t="s">
        <v>52</v>
      </c>
      <c r="AH1180" t="s">
        <v>53</v>
      </c>
      <c r="AI1180" t="s">
        <v>80</v>
      </c>
      <c r="AJ1180">
        <v>6.5</v>
      </c>
      <c r="AK1180" t="s">
        <v>47</v>
      </c>
      <c r="AL1180" t="s">
        <v>66</v>
      </c>
      <c r="AM1180" t="s">
        <v>56</v>
      </c>
      <c r="AN1180">
        <v>22</v>
      </c>
      <c r="AO1180" t="s">
        <v>46</v>
      </c>
    </row>
    <row r="1181" spans="1:41">
      <c r="A1181" t="s">
        <v>1333</v>
      </c>
      <c r="B1181">
        <v>2022</v>
      </c>
      <c r="C1181" s="1">
        <v>44724</v>
      </c>
      <c r="D1181" t="s">
        <v>42</v>
      </c>
      <c r="E1181" t="s">
        <v>210</v>
      </c>
      <c r="F1181">
        <v>58</v>
      </c>
      <c r="G1181" t="s">
        <v>44</v>
      </c>
      <c r="H1181" t="s">
        <v>70</v>
      </c>
      <c r="I1181">
        <v>0</v>
      </c>
      <c r="J1181">
        <v>0</v>
      </c>
      <c r="K1181" t="s">
        <v>46</v>
      </c>
      <c r="L1181" t="s">
        <v>46</v>
      </c>
      <c r="M1181" t="s">
        <v>46</v>
      </c>
      <c r="N1181" t="s">
        <v>62</v>
      </c>
      <c r="O1181" t="s">
        <v>49</v>
      </c>
      <c r="P1181">
        <v>20.9</v>
      </c>
      <c r="Q1181" t="s">
        <v>50</v>
      </c>
      <c r="R1181" t="s">
        <v>47</v>
      </c>
      <c r="S1181" t="s">
        <v>47</v>
      </c>
      <c r="T1181" t="s">
        <v>46</v>
      </c>
      <c r="U1181" t="s">
        <v>47</v>
      </c>
      <c r="V1181" t="s">
        <v>51</v>
      </c>
      <c r="W1181" t="s">
        <v>46</v>
      </c>
      <c r="X1181" t="s">
        <v>47</v>
      </c>
      <c r="Y1181" t="s">
        <v>47</v>
      </c>
      <c r="Z1181" t="s">
        <v>47</v>
      </c>
      <c r="AA1181" t="s">
        <v>46</v>
      </c>
      <c r="AB1181" t="s">
        <v>47</v>
      </c>
      <c r="AC1181" t="s">
        <v>47</v>
      </c>
      <c r="AD1181" t="s">
        <v>46</v>
      </c>
      <c r="AE1181" t="s">
        <v>47</v>
      </c>
      <c r="AF1181" t="s">
        <v>47</v>
      </c>
      <c r="AG1181" t="s">
        <v>52</v>
      </c>
      <c r="AH1181" t="s">
        <v>53</v>
      </c>
      <c r="AI1181" t="s">
        <v>87</v>
      </c>
      <c r="AJ1181">
        <v>2.4</v>
      </c>
      <c r="AK1181" t="s">
        <v>47</v>
      </c>
      <c r="AL1181" t="s">
        <v>66</v>
      </c>
      <c r="AM1181" t="s">
        <v>82</v>
      </c>
      <c r="AN1181">
        <v>18</v>
      </c>
      <c r="AO1181" t="s">
        <v>47</v>
      </c>
    </row>
    <row r="1182" spans="1:41">
      <c r="A1182" t="s">
        <v>1334</v>
      </c>
      <c r="B1182">
        <v>2020</v>
      </c>
      <c r="C1182" s="1">
        <v>44110</v>
      </c>
      <c r="D1182" t="s">
        <v>42</v>
      </c>
      <c r="E1182" t="s">
        <v>247</v>
      </c>
      <c r="F1182">
        <v>45</v>
      </c>
      <c r="G1182" t="s">
        <v>44</v>
      </c>
      <c r="H1182" t="s">
        <v>70</v>
      </c>
      <c r="I1182">
        <v>0</v>
      </c>
      <c r="J1182">
        <v>0</v>
      </c>
      <c r="K1182" t="s">
        <v>46</v>
      </c>
      <c r="L1182" t="s">
        <v>47</v>
      </c>
      <c r="M1182" t="s">
        <v>47</v>
      </c>
      <c r="N1182" t="s">
        <v>48</v>
      </c>
      <c r="O1182" t="s">
        <v>48</v>
      </c>
      <c r="P1182">
        <v>27.9</v>
      </c>
      <c r="Q1182" t="s">
        <v>50</v>
      </c>
      <c r="R1182" t="s">
        <v>47</v>
      </c>
      <c r="S1182" t="s">
        <v>47</v>
      </c>
      <c r="T1182" t="s">
        <v>47</v>
      </c>
      <c r="U1182" t="s">
        <v>47</v>
      </c>
      <c r="V1182" t="s">
        <v>92</v>
      </c>
      <c r="W1182" t="s">
        <v>47</v>
      </c>
      <c r="X1182" t="s">
        <v>47</v>
      </c>
      <c r="Y1182" t="s">
        <v>47</v>
      </c>
      <c r="Z1182" t="s">
        <v>46</v>
      </c>
      <c r="AA1182" t="s">
        <v>46</v>
      </c>
      <c r="AB1182" t="s">
        <v>47</v>
      </c>
      <c r="AC1182" t="s">
        <v>46</v>
      </c>
      <c r="AD1182" t="s">
        <v>47</v>
      </c>
      <c r="AE1182" t="s">
        <v>47</v>
      </c>
      <c r="AF1182" t="s">
        <v>47</v>
      </c>
      <c r="AG1182" t="s">
        <v>52</v>
      </c>
      <c r="AH1182" t="s">
        <v>90</v>
      </c>
      <c r="AI1182" t="s">
        <v>65</v>
      </c>
      <c r="AJ1182">
        <v>1.6</v>
      </c>
      <c r="AK1182" t="s">
        <v>47</v>
      </c>
      <c r="AL1182" t="s">
        <v>66</v>
      </c>
      <c r="AM1182" t="s">
        <v>73</v>
      </c>
      <c r="AN1182">
        <v>66</v>
      </c>
      <c r="AO1182" t="s">
        <v>47</v>
      </c>
    </row>
    <row r="1183" spans="1:41">
      <c r="A1183" t="s">
        <v>1335</v>
      </c>
      <c r="B1183">
        <v>2016</v>
      </c>
      <c r="C1183" s="1">
        <v>42662</v>
      </c>
      <c r="D1183" t="s">
        <v>95</v>
      </c>
      <c r="E1183" t="s">
        <v>120</v>
      </c>
      <c r="F1183">
        <v>59</v>
      </c>
      <c r="G1183" t="s">
        <v>60</v>
      </c>
      <c r="H1183" t="s">
        <v>45</v>
      </c>
      <c r="I1183">
        <v>21</v>
      </c>
      <c r="J1183">
        <v>37</v>
      </c>
      <c r="K1183" t="s">
        <v>46</v>
      </c>
      <c r="L1183" t="s">
        <v>47</v>
      </c>
      <c r="M1183" t="s">
        <v>47</v>
      </c>
      <c r="N1183" t="s">
        <v>62</v>
      </c>
      <c r="O1183" t="s">
        <v>63</v>
      </c>
      <c r="P1183">
        <v>32.299999999999997</v>
      </c>
      <c r="Q1183" t="s">
        <v>62</v>
      </c>
      <c r="R1183" t="s">
        <v>47</v>
      </c>
      <c r="S1183" t="s">
        <v>47</v>
      </c>
      <c r="T1183" t="s">
        <v>47</v>
      </c>
      <c r="U1183" t="s">
        <v>47</v>
      </c>
      <c r="V1183" t="s">
        <v>64</v>
      </c>
      <c r="W1183" t="s">
        <v>47</v>
      </c>
      <c r="X1183" t="s">
        <v>47</v>
      </c>
      <c r="Y1183" t="s">
        <v>46</v>
      </c>
      <c r="Z1183" t="s">
        <v>46</v>
      </c>
      <c r="AA1183" t="s">
        <v>46</v>
      </c>
      <c r="AB1183" t="s">
        <v>47</v>
      </c>
      <c r="AC1183" t="s">
        <v>46</v>
      </c>
      <c r="AD1183" t="s">
        <v>47</v>
      </c>
      <c r="AE1183" t="s">
        <v>47</v>
      </c>
      <c r="AF1183" t="s">
        <v>47</v>
      </c>
      <c r="AG1183" t="s">
        <v>52</v>
      </c>
      <c r="AH1183" t="s">
        <v>71</v>
      </c>
      <c r="AI1183" t="s">
        <v>80</v>
      </c>
      <c r="AJ1183">
        <v>5.2</v>
      </c>
      <c r="AK1183" t="s">
        <v>47</v>
      </c>
      <c r="AL1183" t="s">
        <v>72</v>
      </c>
      <c r="AM1183" t="s">
        <v>77</v>
      </c>
      <c r="AN1183">
        <v>25</v>
      </c>
      <c r="AO1183" t="s">
        <v>47</v>
      </c>
    </row>
    <row r="1184" spans="1:41">
      <c r="A1184" t="s">
        <v>1336</v>
      </c>
      <c r="B1184">
        <v>2023</v>
      </c>
      <c r="C1184" s="1">
        <v>45235</v>
      </c>
      <c r="D1184" t="s">
        <v>84</v>
      </c>
      <c r="E1184" t="s">
        <v>189</v>
      </c>
      <c r="F1184">
        <v>43</v>
      </c>
      <c r="G1184" t="s">
        <v>60</v>
      </c>
      <c r="H1184" t="s">
        <v>70</v>
      </c>
      <c r="I1184">
        <v>0</v>
      </c>
      <c r="J1184">
        <v>0</v>
      </c>
      <c r="K1184" t="s">
        <v>47</v>
      </c>
      <c r="L1184" t="s">
        <v>47</v>
      </c>
      <c r="M1184" t="s">
        <v>47</v>
      </c>
      <c r="N1184" t="s">
        <v>48</v>
      </c>
      <c r="O1184" t="s">
        <v>49</v>
      </c>
      <c r="P1184">
        <v>24.4</v>
      </c>
      <c r="Q1184" t="s">
        <v>50</v>
      </c>
      <c r="R1184" t="s">
        <v>47</v>
      </c>
      <c r="S1184" t="s">
        <v>47</v>
      </c>
      <c r="T1184" t="s">
        <v>47</v>
      </c>
      <c r="U1184" t="s">
        <v>47</v>
      </c>
      <c r="V1184" t="s">
        <v>51</v>
      </c>
      <c r="W1184" t="s">
        <v>47</v>
      </c>
      <c r="X1184" t="s">
        <v>46</v>
      </c>
      <c r="Y1184" t="s">
        <v>46</v>
      </c>
      <c r="Z1184" t="s">
        <v>47</v>
      </c>
      <c r="AA1184" t="s">
        <v>46</v>
      </c>
      <c r="AB1184" t="s">
        <v>47</v>
      </c>
      <c r="AC1184" t="s">
        <v>47</v>
      </c>
      <c r="AD1184" t="s">
        <v>47</v>
      </c>
      <c r="AE1184" t="s">
        <v>46</v>
      </c>
      <c r="AF1184" t="s">
        <v>47</v>
      </c>
      <c r="AG1184" t="s">
        <v>52</v>
      </c>
      <c r="AH1184" t="s">
        <v>53</v>
      </c>
      <c r="AI1184" t="s">
        <v>65</v>
      </c>
      <c r="AJ1184">
        <v>3.1</v>
      </c>
      <c r="AK1184" t="s">
        <v>47</v>
      </c>
      <c r="AL1184" t="s">
        <v>76</v>
      </c>
      <c r="AM1184" t="s">
        <v>82</v>
      </c>
      <c r="AN1184">
        <v>85</v>
      </c>
      <c r="AO1184" t="s">
        <v>46</v>
      </c>
    </row>
    <row r="1185" spans="1:41">
      <c r="A1185" t="s">
        <v>1337</v>
      </c>
      <c r="B1185">
        <v>2020</v>
      </c>
      <c r="C1185" s="1">
        <v>43869</v>
      </c>
      <c r="D1185" t="s">
        <v>58</v>
      </c>
      <c r="E1185" t="s">
        <v>134</v>
      </c>
      <c r="F1185">
        <v>68</v>
      </c>
      <c r="G1185" t="s">
        <v>60</v>
      </c>
      <c r="H1185" t="s">
        <v>70</v>
      </c>
      <c r="I1185">
        <v>0</v>
      </c>
      <c r="J1185">
        <v>0</v>
      </c>
      <c r="K1185" t="s">
        <v>46</v>
      </c>
      <c r="L1185" t="s">
        <v>47</v>
      </c>
      <c r="M1185" t="s">
        <v>47</v>
      </c>
      <c r="N1185" t="s">
        <v>50</v>
      </c>
      <c r="O1185" t="s">
        <v>49</v>
      </c>
      <c r="P1185">
        <v>30.7</v>
      </c>
      <c r="Q1185" t="s">
        <v>48</v>
      </c>
      <c r="R1185" t="s">
        <v>47</v>
      </c>
      <c r="S1185" t="s">
        <v>47</v>
      </c>
      <c r="T1185" t="s">
        <v>47</v>
      </c>
      <c r="U1185" t="s">
        <v>47</v>
      </c>
      <c r="V1185" t="s">
        <v>51</v>
      </c>
      <c r="W1185" t="s">
        <v>46</v>
      </c>
      <c r="X1185" t="s">
        <v>47</v>
      </c>
      <c r="Y1185" t="s">
        <v>47</v>
      </c>
      <c r="Z1185" t="s">
        <v>46</v>
      </c>
      <c r="AA1185" t="s">
        <v>47</v>
      </c>
      <c r="AB1185" t="s">
        <v>47</v>
      </c>
      <c r="AC1185" t="s">
        <v>47</v>
      </c>
      <c r="AD1185" t="s">
        <v>47</v>
      </c>
      <c r="AE1185" t="s">
        <v>47</v>
      </c>
      <c r="AF1185" t="s">
        <v>47</v>
      </c>
      <c r="AG1185" t="s">
        <v>52</v>
      </c>
      <c r="AH1185" t="s">
        <v>53</v>
      </c>
      <c r="AI1185" t="s">
        <v>54</v>
      </c>
      <c r="AJ1185">
        <v>5.4</v>
      </c>
      <c r="AK1185" t="s">
        <v>46</v>
      </c>
      <c r="AL1185" t="s">
        <v>100</v>
      </c>
      <c r="AM1185" t="s">
        <v>77</v>
      </c>
      <c r="AN1185">
        <v>10</v>
      </c>
      <c r="AO1185" t="s">
        <v>47</v>
      </c>
    </row>
    <row r="1186" spans="1:41">
      <c r="A1186" t="s">
        <v>1338</v>
      </c>
      <c r="B1186">
        <v>2025</v>
      </c>
      <c r="C1186" s="1">
        <v>45694</v>
      </c>
      <c r="D1186" t="s">
        <v>42</v>
      </c>
      <c r="E1186" t="s">
        <v>136</v>
      </c>
      <c r="F1186">
        <v>63</v>
      </c>
      <c r="G1186" t="s">
        <v>60</v>
      </c>
      <c r="H1186" t="s">
        <v>70</v>
      </c>
      <c r="I1186">
        <v>0</v>
      </c>
      <c r="J1186">
        <v>0</v>
      </c>
      <c r="K1186" t="s">
        <v>46</v>
      </c>
      <c r="L1186" t="s">
        <v>47</v>
      </c>
      <c r="M1186" t="s">
        <v>47</v>
      </c>
      <c r="N1186" t="s">
        <v>62</v>
      </c>
      <c r="O1186" t="s">
        <v>48</v>
      </c>
      <c r="P1186">
        <v>22.3</v>
      </c>
      <c r="Q1186" t="s">
        <v>62</v>
      </c>
      <c r="R1186" t="s">
        <v>47</v>
      </c>
      <c r="S1186" t="s">
        <v>47</v>
      </c>
      <c r="T1186" t="s">
        <v>46</v>
      </c>
      <c r="U1186" t="s">
        <v>47</v>
      </c>
      <c r="V1186" t="s">
        <v>51</v>
      </c>
      <c r="W1186" t="s">
        <v>46</v>
      </c>
      <c r="X1186" t="s">
        <v>47</v>
      </c>
      <c r="Y1186" t="s">
        <v>47</v>
      </c>
      <c r="Z1186" t="s">
        <v>47</v>
      </c>
      <c r="AA1186" t="s">
        <v>46</v>
      </c>
      <c r="AB1186" t="s">
        <v>47</v>
      </c>
      <c r="AC1186" t="s">
        <v>47</v>
      </c>
      <c r="AD1186" t="s">
        <v>47</v>
      </c>
      <c r="AE1186" t="s">
        <v>46</v>
      </c>
      <c r="AF1186" t="s">
        <v>46</v>
      </c>
      <c r="AG1186" t="s">
        <v>52</v>
      </c>
      <c r="AH1186" t="s">
        <v>53</v>
      </c>
      <c r="AI1186" t="s">
        <v>87</v>
      </c>
      <c r="AJ1186">
        <v>5.0999999999999996</v>
      </c>
      <c r="AK1186" t="s">
        <v>47</v>
      </c>
      <c r="AL1186" t="s">
        <v>55</v>
      </c>
      <c r="AM1186" t="s">
        <v>103</v>
      </c>
      <c r="AN1186">
        <v>31</v>
      </c>
      <c r="AO1186" t="s">
        <v>46</v>
      </c>
    </row>
    <row r="1187" spans="1:41">
      <c r="A1187" t="s">
        <v>1339</v>
      </c>
      <c r="B1187">
        <v>2024</v>
      </c>
      <c r="C1187" s="1">
        <v>45631</v>
      </c>
      <c r="D1187" t="s">
        <v>95</v>
      </c>
      <c r="E1187" t="s">
        <v>147</v>
      </c>
      <c r="F1187">
        <v>57</v>
      </c>
      <c r="G1187" t="s">
        <v>44</v>
      </c>
      <c r="H1187" t="s">
        <v>61</v>
      </c>
      <c r="I1187">
        <v>19</v>
      </c>
      <c r="J1187">
        <v>15</v>
      </c>
      <c r="K1187" t="s">
        <v>46</v>
      </c>
      <c r="L1187" t="s">
        <v>47</v>
      </c>
      <c r="M1187" t="s">
        <v>47</v>
      </c>
      <c r="N1187" t="s">
        <v>50</v>
      </c>
      <c r="O1187" t="s">
        <v>48</v>
      </c>
      <c r="P1187">
        <v>26.5</v>
      </c>
      <c r="Q1187" t="s">
        <v>50</v>
      </c>
      <c r="R1187" t="s">
        <v>47</v>
      </c>
      <c r="S1187" t="s">
        <v>47</v>
      </c>
      <c r="T1187" t="s">
        <v>47</v>
      </c>
      <c r="U1187" t="s">
        <v>47</v>
      </c>
      <c r="V1187" t="s">
        <v>86</v>
      </c>
      <c r="W1187" t="s">
        <v>47</v>
      </c>
      <c r="X1187" t="s">
        <v>46</v>
      </c>
      <c r="Y1187" t="s">
        <v>46</v>
      </c>
      <c r="Z1187" t="s">
        <v>46</v>
      </c>
      <c r="AA1187" t="s">
        <v>46</v>
      </c>
      <c r="AB1187" t="s">
        <v>46</v>
      </c>
      <c r="AC1187" t="s">
        <v>47</v>
      </c>
      <c r="AD1187" t="s">
        <v>47</v>
      </c>
      <c r="AE1187" t="s">
        <v>47</v>
      </c>
      <c r="AF1187" t="s">
        <v>47</v>
      </c>
      <c r="AG1187" t="s">
        <v>52</v>
      </c>
      <c r="AH1187" t="s">
        <v>53</v>
      </c>
      <c r="AI1187" t="s">
        <v>65</v>
      </c>
      <c r="AJ1187">
        <v>1.3</v>
      </c>
      <c r="AK1187" t="s">
        <v>47</v>
      </c>
      <c r="AL1187" t="s">
        <v>81</v>
      </c>
      <c r="AM1187" t="s">
        <v>82</v>
      </c>
      <c r="AN1187">
        <v>30</v>
      </c>
      <c r="AO1187" t="s">
        <v>46</v>
      </c>
    </row>
    <row r="1188" spans="1:41">
      <c r="A1188" t="s">
        <v>1340</v>
      </c>
      <c r="B1188">
        <v>2023</v>
      </c>
      <c r="C1188" s="1">
        <v>45121</v>
      </c>
      <c r="D1188" t="s">
        <v>42</v>
      </c>
      <c r="E1188" t="s">
        <v>154</v>
      </c>
      <c r="F1188">
        <v>83</v>
      </c>
      <c r="G1188" t="s">
        <v>60</v>
      </c>
      <c r="H1188" t="s">
        <v>70</v>
      </c>
      <c r="I1188">
        <v>0</v>
      </c>
      <c r="J1188">
        <v>0</v>
      </c>
      <c r="K1188" t="s">
        <v>46</v>
      </c>
      <c r="L1188" t="s">
        <v>47</v>
      </c>
      <c r="M1188" t="s">
        <v>47</v>
      </c>
      <c r="N1188" t="s">
        <v>50</v>
      </c>
      <c r="O1188" t="s">
        <v>48</v>
      </c>
      <c r="P1188">
        <v>25.4</v>
      </c>
      <c r="Q1188" t="s">
        <v>48</v>
      </c>
      <c r="R1188" t="s">
        <v>47</v>
      </c>
      <c r="S1188" t="s">
        <v>47</v>
      </c>
      <c r="T1188" t="s">
        <v>47</v>
      </c>
      <c r="U1188" t="s">
        <v>47</v>
      </c>
      <c r="V1188" t="s">
        <v>117</v>
      </c>
      <c r="W1188" t="s">
        <v>47</v>
      </c>
      <c r="X1188" t="s">
        <v>47</v>
      </c>
      <c r="Y1188" t="s">
        <v>47</v>
      </c>
      <c r="Z1188" t="s">
        <v>47</v>
      </c>
      <c r="AA1188" t="s">
        <v>47</v>
      </c>
      <c r="AB1188" t="s">
        <v>47</v>
      </c>
      <c r="AC1188" t="s">
        <v>47</v>
      </c>
      <c r="AD1188" t="s">
        <v>47</v>
      </c>
      <c r="AE1188" t="s">
        <v>47</v>
      </c>
      <c r="AF1188" t="s">
        <v>47</v>
      </c>
      <c r="AG1188" t="s">
        <v>52</v>
      </c>
      <c r="AH1188" t="s">
        <v>53</v>
      </c>
      <c r="AI1188" t="s">
        <v>80</v>
      </c>
      <c r="AJ1188">
        <v>5.2</v>
      </c>
      <c r="AK1188" t="s">
        <v>47</v>
      </c>
      <c r="AL1188" t="s">
        <v>76</v>
      </c>
      <c r="AM1188" t="s">
        <v>67</v>
      </c>
      <c r="AN1188">
        <v>8</v>
      </c>
      <c r="AO1188" t="s">
        <v>47</v>
      </c>
    </row>
    <row r="1189" spans="1:41">
      <c r="A1189" t="s">
        <v>1341</v>
      </c>
      <c r="B1189">
        <v>2017</v>
      </c>
      <c r="C1189" s="1">
        <v>42813</v>
      </c>
      <c r="D1189" t="s">
        <v>110</v>
      </c>
      <c r="E1189" t="s">
        <v>231</v>
      </c>
      <c r="F1189">
        <v>64</v>
      </c>
      <c r="G1189" t="s">
        <v>60</v>
      </c>
      <c r="H1189" t="s">
        <v>70</v>
      </c>
      <c r="I1189">
        <v>0</v>
      </c>
      <c r="J1189">
        <v>0</v>
      </c>
      <c r="K1189" t="s">
        <v>46</v>
      </c>
      <c r="L1189" t="s">
        <v>47</v>
      </c>
      <c r="M1189" t="s">
        <v>47</v>
      </c>
      <c r="N1189" t="s">
        <v>48</v>
      </c>
      <c r="O1189" t="s">
        <v>48</v>
      </c>
      <c r="P1189">
        <v>23.2</v>
      </c>
      <c r="Q1189" t="s">
        <v>50</v>
      </c>
      <c r="R1189" t="s">
        <v>47</v>
      </c>
      <c r="S1189" t="s">
        <v>47</v>
      </c>
      <c r="T1189" t="s">
        <v>47</v>
      </c>
      <c r="U1189" t="s">
        <v>47</v>
      </c>
      <c r="V1189" t="s">
        <v>64</v>
      </c>
      <c r="W1189" t="s">
        <v>46</v>
      </c>
      <c r="X1189" t="s">
        <v>47</v>
      </c>
      <c r="Y1189" t="s">
        <v>47</v>
      </c>
      <c r="Z1189" t="s">
        <v>47</v>
      </c>
      <c r="AA1189" t="s">
        <v>46</v>
      </c>
      <c r="AB1189" t="s">
        <v>46</v>
      </c>
      <c r="AC1189" t="s">
        <v>47</v>
      </c>
      <c r="AD1189" t="s">
        <v>46</v>
      </c>
      <c r="AE1189" t="s">
        <v>47</v>
      </c>
      <c r="AF1189" t="s">
        <v>47</v>
      </c>
      <c r="AG1189" t="s">
        <v>52</v>
      </c>
      <c r="AH1189" t="s">
        <v>53</v>
      </c>
      <c r="AI1189" t="s">
        <v>54</v>
      </c>
      <c r="AJ1189">
        <v>8.1</v>
      </c>
      <c r="AK1189" t="s">
        <v>46</v>
      </c>
      <c r="AL1189" t="s">
        <v>66</v>
      </c>
      <c r="AM1189" t="s">
        <v>77</v>
      </c>
      <c r="AN1189">
        <v>12</v>
      </c>
      <c r="AO1189" t="s">
        <v>47</v>
      </c>
    </row>
    <row r="1190" spans="1:41">
      <c r="A1190" t="s">
        <v>1342</v>
      </c>
      <c r="B1190">
        <v>2022</v>
      </c>
      <c r="C1190" s="1">
        <v>44748</v>
      </c>
      <c r="D1190" t="s">
        <v>110</v>
      </c>
      <c r="E1190" t="s">
        <v>225</v>
      </c>
      <c r="F1190">
        <v>77</v>
      </c>
      <c r="G1190" t="s">
        <v>60</v>
      </c>
      <c r="H1190" t="s">
        <v>70</v>
      </c>
      <c r="I1190">
        <v>0</v>
      </c>
      <c r="J1190">
        <v>0</v>
      </c>
      <c r="K1190" t="s">
        <v>46</v>
      </c>
      <c r="L1190" t="s">
        <v>47</v>
      </c>
      <c r="M1190" t="s">
        <v>47</v>
      </c>
      <c r="N1190" t="s">
        <v>48</v>
      </c>
      <c r="O1190" t="s">
        <v>48</v>
      </c>
      <c r="P1190">
        <v>24.2</v>
      </c>
      <c r="Q1190" t="s">
        <v>50</v>
      </c>
      <c r="R1190" t="s">
        <v>47</v>
      </c>
      <c r="S1190" t="s">
        <v>47</v>
      </c>
      <c r="T1190" t="s">
        <v>47</v>
      </c>
      <c r="U1190" t="s">
        <v>47</v>
      </c>
      <c r="V1190" t="s">
        <v>51</v>
      </c>
      <c r="W1190" t="s">
        <v>47</v>
      </c>
      <c r="X1190" t="s">
        <v>46</v>
      </c>
      <c r="Y1190" t="s">
        <v>47</v>
      </c>
      <c r="Z1190" t="s">
        <v>47</v>
      </c>
      <c r="AA1190" t="s">
        <v>46</v>
      </c>
      <c r="AB1190" t="s">
        <v>47</v>
      </c>
      <c r="AC1190" t="s">
        <v>46</v>
      </c>
      <c r="AD1190" t="s">
        <v>46</v>
      </c>
      <c r="AE1190" t="s">
        <v>46</v>
      </c>
      <c r="AF1190" t="s">
        <v>47</v>
      </c>
      <c r="AG1190" t="s">
        <v>52</v>
      </c>
      <c r="AH1190" t="s">
        <v>53</v>
      </c>
      <c r="AI1190" t="s">
        <v>87</v>
      </c>
      <c r="AJ1190">
        <v>6.4</v>
      </c>
      <c r="AK1190" t="s">
        <v>47</v>
      </c>
      <c r="AL1190" t="s">
        <v>100</v>
      </c>
      <c r="AM1190" t="s">
        <v>67</v>
      </c>
      <c r="AN1190">
        <v>58</v>
      </c>
      <c r="AO1190" t="s">
        <v>46</v>
      </c>
    </row>
    <row r="1191" spans="1:41">
      <c r="A1191" t="s">
        <v>1343</v>
      </c>
      <c r="B1191">
        <v>2015</v>
      </c>
      <c r="C1191" s="1">
        <v>42326</v>
      </c>
      <c r="D1191" t="s">
        <v>58</v>
      </c>
      <c r="E1191" t="s">
        <v>142</v>
      </c>
      <c r="F1191">
        <v>65</v>
      </c>
      <c r="G1191" t="s">
        <v>44</v>
      </c>
      <c r="H1191" t="s">
        <v>70</v>
      </c>
      <c r="I1191">
        <v>0</v>
      </c>
      <c r="J1191">
        <v>0</v>
      </c>
      <c r="K1191" t="s">
        <v>46</v>
      </c>
      <c r="L1191" t="s">
        <v>47</v>
      </c>
      <c r="M1191" t="s">
        <v>46</v>
      </c>
      <c r="N1191" t="s">
        <v>48</v>
      </c>
      <c r="O1191" t="s">
        <v>48</v>
      </c>
      <c r="P1191">
        <v>29</v>
      </c>
      <c r="Q1191" t="s">
        <v>62</v>
      </c>
      <c r="R1191" t="s">
        <v>47</v>
      </c>
      <c r="S1191" t="s">
        <v>47</v>
      </c>
      <c r="T1191" t="s">
        <v>47</v>
      </c>
      <c r="U1191" t="s">
        <v>46</v>
      </c>
      <c r="V1191" t="s">
        <v>51</v>
      </c>
      <c r="W1191" t="s">
        <v>47</v>
      </c>
      <c r="X1191" t="s">
        <v>47</v>
      </c>
      <c r="Y1191" t="s">
        <v>47</v>
      </c>
      <c r="Z1191" t="s">
        <v>47</v>
      </c>
      <c r="AA1191" t="s">
        <v>47</v>
      </c>
      <c r="AB1191" t="s">
        <v>46</v>
      </c>
      <c r="AC1191" t="s">
        <v>47</v>
      </c>
      <c r="AD1191" t="s">
        <v>47</v>
      </c>
      <c r="AE1191" t="s">
        <v>47</v>
      </c>
      <c r="AF1191" t="s">
        <v>47</v>
      </c>
      <c r="AG1191" t="s">
        <v>52</v>
      </c>
      <c r="AH1191" t="s">
        <v>90</v>
      </c>
      <c r="AI1191" t="s">
        <v>80</v>
      </c>
      <c r="AJ1191">
        <v>9</v>
      </c>
      <c r="AK1191" t="s">
        <v>46</v>
      </c>
      <c r="AL1191" t="s">
        <v>100</v>
      </c>
      <c r="AM1191" t="s">
        <v>77</v>
      </c>
      <c r="AN1191">
        <v>15</v>
      </c>
      <c r="AO1191" t="s">
        <v>47</v>
      </c>
    </row>
    <row r="1192" spans="1:41">
      <c r="A1192" t="s">
        <v>1344</v>
      </c>
      <c r="B1192">
        <v>2017</v>
      </c>
      <c r="C1192" s="1">
        <v>42984</v>
      </c>
      <c r="D1192" t="s">
        <v>110</v>
      </c>
      <c r="E1192" t="s">
        <v>225</v>
      </c>
      <c r="F1192">
        <v>47</v>
      </c>
      <c r="G1192" t="s">
        <v>60</v>
      </c>
      <c r="H1192" t="s">
        <v>70</v>
      </c>
      <c r="I1192">
        <v>0</v>
      </c>
      <c r="J1192">
        <v>0</v>
      </c>
      <c r="K1192" t="s">
        <v>47</v>
      </c>
      <c r="L1192" t="s">
        <v>46</v>
      </c>
      <c r="M1192" t="s">
        <v>47</v>
      </c>
      <c r="N1192" t="s">
        <v>62</v>
      </c>
      <c r="O1192" t="s">
        <v>48</v>
      </c>
      <c r="P1192">
        <v>31.9</v>
      </c>
      <c r="Q1192" t="s">
        <v>62</v>
      </c>
      <c r="R1192" t="s">
        <v>47</v>
      </c>
      <c r="S1192" t="s">
        <v>47</v>
      </c>
      <c r="T1192" t="s">
        <v>47</v>
      </c>
      <c r="U1192" t="s">
        <v>47</v>
      </c>
      <c r="V1192" t="s">
        <v>64</v>
      </c>
      <c r="W1192" t="s">
        <v>47</v>
      </c>
      <c r="X1192" t="s">
        <v>46</v>
      </c>
      <c r="Y1192" t="s">
        <v>46</v>
      </c>
      <c r="Z1192" t="s">
        <v>47</v>
      </c>
      <c r="AA1192" t="s">
        <v>46</v>
      </c>
      <c r="AB1192" t="s">
        <v>47</v>
      </c>
      <c r="AC1192" t="s">
        <v>47</v>
      </c>
      <c r="AD1192" t="s">
        <v>47</v>
      </c>
      <c r="AE1192" t="s">
        <v>46</v>
      </c>
      <c r="AF1192" t="s">
        <v>47</v>
      </c>
      <c r="AG1192" t="s">
        <v>52</v>
      </c>
      <c r="AH1192" t="s">
        <v>90</v>
      </c>
      <c r="AI1192" t="s">
        <v>65</v>
      </c>
      <c r="AJ1192">
        <v>2</v>
      </c>
      <c r="AK1192" t="s">
        <v>47</v>
      </c>
      <c r="AL1192" t="s">
        <v>66</v>
      </c>
      <c r="AM1192" t="s">
        <v>118</v>
      </c>
      <c r="AN1192">
        <v>69</v>
      </c>
      <c r="AO1192" t="s">
        <v>46</v>
      </c>
    </row>
    <row r="1193" spans="1:41">
      <c r="A1193" t="s">
        <v>1345</v>
      </c>
      <c r="B1193">
        <v>2025</v>
      </c>
      <c r="C1193" s="1">
        <v>45782</v>
      </c>
      <c r="D1193" t="s">
        <v>110</v>
      </c>
      <c r="E1193" t="s">
        <v>294</v>
      </c>
      <c r="F1193">
        <v>63</v>
      </c>
      <c r="G1193" t="s">
        <v>44</v>
      </c>
      <c r="H1193" t="s">
        <v>70</v>
      </c>
      <c r="I1193">
        <v>0</v>
      </c>
      <c r="J1193">
        <v>0</v>
      </c>
      <c r="K1193" t="s">
        <v>47</v>
      </c>
      <c r="L1193" t="s">
        <v>46</v>
      </c>
      <c r="M1193" t="s">
        <v>47</v>
      </c>
      <c r="N1193" t="s">
        <v>62</v>
      </c>
      <c r="O1193" t="s">
        <v>63</v>
      </c>
      <c r="P1193">
        <v>22.6</v>
      </c>
      <c r="Q1193" t="s">
        <v>50</v>
      </c>
      <c r="R1193" t="s">
        <v>47</v>
      </c>
      <c r="S1193" t="s">
        <v>47</v>
      </c>
      <c r="T1193" t="s">
        <v>47</v>
      </c>
      <c r="U1193" t="s">
        <v>47</v>
      </c>
      <c r="V1193" t="s">
        <v>86</v>
      </c>
      <c r="W1193" t="s">
        <v>47</v>
      </c>
      <c r="X1193" t="s">
        <v>47</v>
      </c>
      <c r="Y1193" t="s">
        <v>46</v>
      </c>
      <c r="Z1193" t="s">
        <v>47</v>
      </c>
      <c r="AA1193" t="s">
        <v>47</v>
      </c>
      <c r="AB1193" t="s">
        <v>47</v>
      </c>
      <c r="AC1193" t="s">
        <v>46</v>
      </c>
      <c r="AD1193" t="s">
        <v>46</v>
      </c>
      <c r="AE1193" t="s">
        <v>47</v>
      </c>
      <c r="AF1193" t="s">
        <v>47</v>
      </c>
      <c r="AG1193" t="s">
        <v>121</v>
      </c>
      <c r="AH1193" t="s">
        <v>122</v>
      </c>
      <c r="AI1193" t="s">
        <v>80</v>
      </c>
      <c r="AJ1193">
        <v>5.4</v>
      </c>
      <c r="AK1193" t="s">
        <v>46</v>
      </c>
      <c r="AL1193" t="s">
        <v>100</v>
      </c>
      <c r="AM1193" t="s">
        <v>82</v>
      </c>
      <c r="AN1193">
        <v>25</v>
      </c>
      <c r="AO1193" t="s">
        <v>47</v>
      </c>
    </row>
    <row r="1194" spans="1:41">
      <c r="A1194" t="s">
        <v>1346</v>
      </c>
      <c r="B1194">
        <v>2022</v>
      </c>
      <c r="C1194" s="1">
        <v>44739</v>
      </c>
      <c r="D1194" t="s">
        <v>84</v>
      </c>
      <c r="E1194" t="s">
        <v>571</v>
      </c>
      <c r="F1194">
        <v>57</v>
      </c>
      <c r="G1194" t="s">
        <v>44</v>
      </c>
      <c r="H1194" t="s">
        <v>70</v>
      </c>
      <c r="I1194">
        <v>0</v>
      </c>
      <c r="J1194">
        <v>0</v>
      </c>
      <c r="K1194" t="s">
        <v>46</v>
      </c>
      <c r="L1194" t="s">
        <v>47</v>
      </c>
      <c r="M1194" t="s">
        <v>47</v>
      </c>
      <c r="N1194" t="s">
        <v>62</v>
      </c>
      <c r="O1194" t="s">
        <v>49</v>
      </c>
      <c r="P1194">
        <v>29.4</v>
      </c>
      <c r="Q1194" t="s">
        <v>48</v>
      </c>
      <c r="R1194" t="s">
        <v>47</v>
      </c>
      <c r="S1194" t="s">
        <v>47</v>
      </c>
      <c r="T1194" t="s">
        <v>46</v>
      </c>
      <c r="U1194" t="s">
        <v>47</v>
      </c>
      <c r="V1194" t="s">
        <v>92</v>
      </c>
      <c r="W1194" t="s">
        <v>46</v>
      </c>
      <c r="X1194" t="s">
        <v>46</v>
      </c>
      <c r="Y1194" t="s">
        <v>46</v>
      </c>
      <c r="Z1194" t="s">
        <v>47</v>
      </c>
      <c r="AA1194" t="s">
        <v>46</v>
      </c>
      <c r="AB1194" t="s">
        <v>47</v>
      </c>
      <c r="AC1194" t="s">
        <v>47</v>
      </c>
      <c r="AD1194" t="s">
        <v>47</v>
      </c>
      <c r="AE1194" t="s">
        <v>47</v>
      </c>
      <c r="AF1194" t="s">
        <v>47</v>
      </c>
      <c r="AG1194" t="s">
        <v>52</v>
      </c>
      <c r="AH1194" t="s">
        <v>90</v>
      </c>
      <c r="AI1194" t="s">
        <v>65</v>
      </c>
      <c r="AJ1194">
        <v>1.6</v>
      </c>
      <c r="AK1194" t="s">
        <v>47</v>
      </c>
      <c r="AL1194" t="s">
        <v>72</v>
      </c>
      <c r="AM1194" t="s">
        <v>82</v>
      </c>
      <c r="AN1194">
        <v>54</v>
      </c>
      <c r="AO1194" t="s">
        <v>47</v>
      </c>
    </row>
    <row r="1195" spans="1:41">
      <c r="A1195" t="s">
        <v>1347</v>
      </c>
      <c r="B1195">
        <v>2019</v>
      </c>
      <c r="C1195" s="1">
        <v>43740</v>
      </c>
      <c r="D1195" t="s">
        <v>42</v>
      </c>
      <c r="E1195" t="s">
        <v>136</v>
      </c>
      <c r="F1195">
        <v>65</v>
      </c>
      <c r="G1195" t="s">
        <v>60</v>
      </c>
      <c r="H1195" t="s">
        <v>70</v>
      </c>
      <c r="I1195">
        <v>0</v>
      </c>
      <c r="J1195">
        <v>0</v>
      </c>
      <c r="K1195" t="s">
        <v>47</v>
      </c>
      <c r="L1195" t="s">
        <v>47</v>
      </c>
      <c r="M1195" t="s">
        <v>46</v>
      </c>
      <c r="N1195" t="s">
        <v>62</v>
      </c>
      <c r="O1195" t="s">
        <v>48</v>
      </c>
      <c r="P1195">
        <v>24.8</v>
      </c>
      <c r="Q1195" t="s">
        <v>50</v>
      </c>
      <c r="R1195" t="s">
        <v>47</v>
      </c>
      <c r="S1195" t="s">
        <v>47</v>
      </c>
      <c r="T1195" t="s">
        <v>47</v>
      </c>
      <c r="U1195" t="s">
        <v>47</v>
      </c>
      <c r="V1195" t="s">
        <v>151</v>
      </c>
      <c r="W1195" t="s">
        <v>46</v>
      </c>
      <c r="X1195" t="s">
        <v>47</v>
      </c>
      <c r="Y1195" t="s">
        <v>47</v>
      </c>
      <c r="Z1195" t="s">
        <v>47</v>
      </c>
      <c r="AA1195" t="s">
        <v>46</v>
      </c>
      <c r="AB1195" t="s">
        <v>47</v>
      </c>
      <c r="AC1195" t="s">
        <v>47</v>
      </c>
      <c r="AD1195" t="s">
        <v>47</v>
      </c>
      <c r="AE1195" t="s">
        <v>47</v>
      </c>
      <c r="AF1195" t="s">
        <v>47</v>
      </c>
      <c r="AG1195" t="s">
        <v>52</v>
      </c>
      <c r="AH1195" t="s">
        <v>53</v>
      </c>
      <c r="AI1195" t="s">
        <v>65</v>
      </c>
      <c r="AJ1195">
        <v>2</v>
      </c>
      <c r="AK1195" t="s">
        <v>47</v>
      </c>
      <c r="AL1195" t="s">
        <v>76</v>
      </c>
      <c r="AM1195" t="s">
        <v>73</v>
      </c>
      <c r="AN1195">
        <v>60</v>
      </c>
      <c r="AO1195" t="s">
        <v>46</v>
      </c>
    </row>
    <row r="1196" spans="1:41">
      <c r="A1196" t="s">
        <v>1348</v>
      </c>
      <c r="B1196">
        <v>2018</v>
      </c>
      <c r="C1196" s="1">
        <v>43116</v>
      </c>
      <c r="D1196" t="s">
        <v>58</v>
      </c>
      <c r="E1196" t="s">
        <v>142</v>
      </c>
      <c r="F1196">
        <v>61</v>
      </c>
      <c r="G1196" t="s">
        <v>60</v>
      </c>
      <c r="H1196" t="s">
        <v>61</v>
      </c>
      <c r="I1196">
        <v>3</v>
      </c>
      <c r="J1196">
        <v>3</v>
      </c>
      <c r="K1196" t="s">
        <v>47</v>
      </c>
      <c r="L1196" t="s">
        <v>47</v>
      </c>
      <c r="M1196" t="s">
        <v>47</v>
      </c>
      <c r="N1196" t="s">
        <v>50</v>
      </c>
      <c r="O1196" t="s">
        <v>49</v>
      </c>
      <c r="P1196">
        <v>29.5</v>
      </c>
      <c r="Q1196" t="s">
        <v>50</v>
      </c>
      <c r="R1196" t="s">
        <v>46</v>
      </c>
      <c r="S1196" t="s">
        <v>47</v>
      </c>
      <c r="T1196" t="s">
        <v>47</v>
      </c>
      <c r="U1196" t="s">
        <v>47</v>
      </c>
      <c r="V1196" t="s">
        <v>51</v>
      </c>
      <c r="W1196" t="s">
        <v>46</v>
      </c>
      <c r="X1196" t="s">
        <v>46</v>
      </c>
      <c r="Y1196" t="s">
        <v>47</v>
      </c>
      <c r="Z1196" t="s">
        <v>46</v>
      </c>
      <c r="AA1196" t="s">
        <v>47</v>
      </c>
      <c r="AB1196" t="s">
        <v>47</v>
      </c>
      <c r="AC1196" t="s">
        <v>47</v>
      </c>
      <c r="AD1196" t="s">
        <v>46</v>
      </c>
      <c r="AE1196" t="s">
        <v>47</v>
      </c>
      <c r="AF1196" t="s">
        <v>47</v>
      </c>
      <c r="AG1196" t="s">
        <v>121</v>
      </c>
      <c r="AH1196" t="s">
        <v>122</v>
      </c>
      <c r="AI1196" t="s">
        <v>54</v>
      </c>
      <c r="AJ1196">
        <v>5</v>
      </c>
      <c r="AK1196" t="s">
        <v>46</v>
      </c>
      <c r="AL1196" t="s">
        <v>76</v>
      </c>
      <c r="AM1196" t="s">
        <v>265</v>
      </c>
      <c r="AN1196">
        <v>5</v>
      </c>
      <c r="AO1196" t="s">
        <v>47</v>
      </c>
    </row>
    <row r="1197" spans="1:41">
      <c r="A1197" t="s">
        <v>1349</v>
      </c>
      <c r="B1197">
        <v>2019</v>
      </c>
      <c r="C1197" s="1">
        <v>43582</v>
      </c>
      <c r="D1197" t="s">
        <v>42</v>
      </c>
      <c r="E1197" t="s">
        <v>79</v>
      </c>
      <c r="F1197">
        <v>58</v>
      </c>
      <c r="G1197" t="s">
        <v>60</v>
      </c>
      <c r="H1197" t="s">
        <v>70</v>
      </c>
      <c r="I1197">
        <v>0</v>
      </c>
      <c r="J1197">
        <v>0</v>
      </c>
      <c r="K1197" t="s">
        <v>46</v>
      </c>
      <c r="L1197" t="s">
        <v>47</v>
      </c>
      <c r="M1197" t="s">
        <v>46</v>
      </c>
      <c r="N1197" t="s">
        <v>62</v>
      </c>
      <c r="O1197" t="s">
        <v>48</v>
      </c>
      <c r="P1197">
        <v>30.4</v>
      </c>
      <c r="Q1197" t="s">
        <v>62</v>
      </c>
      <c r="R1197" t="s">
        <v>47</v>
      </c>
      <c r="S1197" t="s">
        <v>46</v>
      </c>
      <c r="T1197" t="s">
        <v>47</v>
      </c>
      <c r="U1197" t="s">
        <v>47</v>
      </c>
      <c r="V1197" t="s">
        <v>117</v>
      </c>
      <c r="W1197" t="s">
        <v>46</v>
      </c>
      <c r="X1197" t="s">
        <v>46</v>
      </c>
      <c r="Y1197" t="s">
        <v>47</v>
      </c>
      <c r="Z1197" t="s">
        <v>47</v>
      </c>
      <c r="AA1197" t="s">
        <v>46</v>
      </c>
      <c r="AB1197" t="s">
        <v>46</v>
      </c>
      <c r="AC1197" t="s">
        <v>47</v>
      </c>
      <c r="AD1197" t="s">
        <v>47</v>
      </c>
      <c r="AE1197" t="s">
        <v>47</v>
      </c>
      <c r="AF1197" t="s">
        <v>46</v>
      </c>
      <c r="AG1197" t="s">
        <v>52</v>
      </c>
      <c r="AH1197" t="s">
        <v>53</v>
      </c>
      <c r="AI1197" t="s">
        <v>54</v>
      </c>
      <c r="AJ1197">
        <v>5</v>
      </c>
      <c r="AK1197" t="s">
        <v>46</v>
      </c>
      <c r="AL1197" t="s">
        <v>156</v>
      </c>
      <c r="AM1197" t="s">
        <v>265</v>
      </c>
      <c r="AN1197">
        <v>7</v>
      </c>
      <c r="AO1197" t="s">
        <v>47</v>
      </c>
    </row>
    <row r="1198" spans="1:41">
      <c r="A1198" t="s">
        <v>1350</v>
      </c>
      <c r="B1198">
        <v>2022</v>
      </c>
      <c r="C1198" s="1">
        <v>44821</v>
      </c>
      <c r="D1198" t="s">
        <v>110</v>
      </c>
      <c r="E1198" t="s">
        <v>225</v>
      </c>
      <c r="F1198">
        <v>67</v>
      </c>
      <c r="G1198" t="s">
        <v>44</v>
      </c>
      <c r="H1198" t="s">
        <v>70</v>
      </c>
      <c r="I1198">
        <v>0</v>
      </c>
      <c r="J1198">
        <v>0</v>
      </c>
      <c r="K1198" t="s">
        <v>46</v>
      </c>
      <c r="L1198" t="s">
        <v>47</v>
      </c>
      <c r="M1198" t="s">
        <v>47</v>
      </c>
      <c r="N1198" t="s">
        <v>62</v>
      </c>
      <c r="O1198" t="s">
        <v>48</v>
      </c>
      <c r="P1198">
        <v>34.1</v>
      </c>
      <c r="Q1198" t="s">
        <v>48</v>
      </c>
      <c r="R1198" t="s">
        <v>47</v>
      </c>
      <c r="S1198" t="s">
        <v>47</v>
      </c>
      <c r="T1198" t="s">
        <v>47</v>
      </c>
      <c r="U1198" t="s">
        <v>47</v>
      </c>
      <c r="V1198" t="s">
        <v>151</v>
      </c>
      <c r="W1198" t="s">
        <v>46</v>
      </c>
      <c r="X1198" t="s">
        <v>47</v>
      </c>
      <c r="Y1198" t="s">
        <v>46</v>
      </c>
      <c r="Z1198" t="s">
        <v>47</v>
      </c>
      <c r="AA1198" t="s">
        <v>46</v>
      </c>
      <c r="AB1198" t="s">
        <v>47</v>
      </c>
      <c r="AC1198" t="s">
        <v>46</v>
      </c>
      <c r="AD1198" t="s">
        <v>47</v>
      </c>
      <c r="AE1198" t="s">
        <v>47</v>
      </c>
      <c r="AF1198" t="s">
        <v>47</v>
      </c>
      <c r="AG1198" t="s">
        <v>52</v>
      </c>
      <c r="AH1198" t="s">
        <v>53</v>
      </c>
      <c r="AI1198" t="s">
        <v>54</v>
      </c>
      <c r="AJ1198">
        <v>6.5</v>
      </c>
      <c r="AK1198" t="s">
        <v>46</v>
      </c>
      <c r="AL1198" t="s">
        <v>81</v>
      </c>
      <c r="AM1198" t="s">
        <v>56</v>
      </c>
      <c r="AN1198">
        <v>2</v>
      </c>
      <c r="AO1198" t="s">
        <v>47</v>
      </c>
    </row>
    <row r="1199" spans="1:41">
      <c r="A1199" t="s">
        <v>1351</v>
      </c>
      <c r="B1199">
        <v>2022</v>
      </c>
      <c r="C1199" s="1">
        <v>44764</v>
      </c>
      <c r="D1199" t="s">
        <v>42</v>
      </c>
      <c r="E1199" t="s">
        <v>210</v>
      </c>
      <c r="F1199">
        <v>48</v>
      </c>
      <c r="G1199" t="s">
        <v>44</v>
      </c>
      <c r="H1199" t="s">
        <v>45</v>
      </c>
      <c r="I1199">
        <v>13</v>
      </c>
      <c r="J1199">
        <v>15</v>
      </c>
      <c r="K1199" t="s">
        <v>47</v>
      </c>
      <c r="L1199" t="s">
        <v>47</v>
      </c>
      <c r="M1199" t="s">
        <v>47</v>
      </c>
      <c r="N1199" t="s">
        <v>50</v>
      </c>
      <c r="O1199" t="s">
        <v>49</v>
      </c>
      <c r="P1199">
        <v>30.1</v>
      </c>
      <c r="Q1199" t="s">
        <v>62</v>
      </c>
      <c r="R1199" t="s">
        <v>47</v>
      </c>
      <c r="S1199" t="s">
        <v>47</v>
      </c>
      <c r="T1199" t="s">
        <v>47</v>
      </c>
      <c r="U1199" t="s">
        <v>47</v>
      </c>
      <c r="V1199" t="s">
        <v>51</v>
      </c>
      <c r="W1199" t="s">
        <v>47</v>
      </c>
      <c r="X1199" t="s">
        <v>46</v>
      </c>
      <c r="Y1199" t="s">
        <v>46</v>
      </c>
      <c r="Z1199" t="s">
        <v>46</v>
      </c>
      <c r="AA1199" t="s">
        <v>47</v>
      </c>
      <c r="AB1199" t="s">
        <v>46</v>
      </c>
      <c r="AC1199" t="s">
        <v>46</v>
      </c>
      <c r="AD1199" t="s">
        <v>46</v>
      </c>
      <c r="AE1199" t="s">
        <v>47</v>
      </c>
      <c r="AF1199" t="s">
        <v>47</v>
      </c>
      <c r="AG1199" t="s">
        <v>121</v>
      </c>
      <c r="AH1199" t="s">
        <v>122</v>
      </c>
      <c r="AI1199" t="s">
        <v>80</v>
      </c>
      <c r="AJ1199">
        <v>7.1</v>
      </c>
      <c r="AK1199" t="s">
        <v>46</v>
      </c>
      <c r="AL1199" t="s">
        <v>55</v>
      </c>
      <c r="AM1199" t="s">
        <v>77</v>
      </c>
      <c r="AN1199">
        <v>16</v>
      </c>
      <c r="AO1199" t="s">
        <v>47</v>
      </c>
    </row>
    <row r="1200" spans="1:41">
      <c r="A1200" t="s">
        <v>1352</v>
      </c>
      <c r="B1200">
        <v>2015</v>
      </c>
      <c r="C1200" s="1">
        <v>42208</v>
      </c>
      <c r="D1200" t="s">
        <v>110</v>
      </c>
      <c r="E1200" t="s">
        <v>225</v>
      </c>
      <c r="F1200">
        <v>51</v>
      </c>
      <c r="G1200" t="s">
        <v>60</v>
      </c>
      <c r="H1200" t="s">
        <v>45</v>
      </c>
      <c r="I1200">
        <v>24</v>
      </c>
      <c r="J1200">
        <v>23</v>
      </c>
      <c r="K1200" t="s">
        <v>47</v>
      </c>
      <c r="L1200" t="s">
        <v>47</v>
      </c>
      <c r="M1200" t="s">
        <v>47</v>
      </c>
      <c r="N1200" t="s">
        <v>48</v>
      </c>
      <c r="O1200" t="s">
        <v>49</v>
      </c>
      <c r="P1200">
        <v>27</v>
      </c>
      <c r="Q1200" t="s">
        <v>50</v>
      </c>
      <c r="R1200" t="s">
        <v>47</v>
      </c>
      <c r="S1200" t="s">
        <v>47</v>
      </c>
      <c r="T1200" t="s">
        <v>47</v>
      </c>
      <c r="U1200" t="s">
        <v>46</v>
      </c>
      <c r="V1200" t="s">
        <v>64</v>
      </c>
      <c r="W1200" t="s">
        <v>46</v>
      </c>
      <c r="X1200" t="s">
        <v>46</v>
      </c>
      <c r="Y1200" t="s">
        <v>46</v>
      </c>
      <c r="Z1200" t="s">
        <v>46</v>
      </c>
      <c r="AA1200" t="s">
        <v>46</v>
      </c>
      <c r="AB1200" t="s">
        <v>47</v>
      </c>
      <c r="AC1200" t="s">
        <v>47</v>
      </c>
      <c r="AD1200" t="s">
        <v>46</v>
      </c>
      <c r="AE1200" t="s">
        <v>47</v>
      </c>
      <c r="AF1200" t="s">
        <v>47</v>
      </c>
      <c r="AG1200" t="s">
        <v>52</v>
      </c>
      <c r="AH1200" t="s">
        <v>71</v>
      </c>
      <c r="AI1200" t="s">
        <v>87</v>
      </c>
      <c r="AJ1200">
        <v>2.8</v>
      </c>
      <c r="AK1200" t="s">
        <v>47</v>
      </c>
      <c r="AL1200" t="s">
        <v>81</v>
      </c>
      <c r="AM1200" t="s">
        <v>73</v>
      </c>
      <c r="AN1200">
        <v>44</v>
      </c>
      <c r="AO1200" t="s">
        <v>47</v>
      </c>
    </row>
    <row r="1201" spans="1:41">
      <c r="A1201" t="s">
        <v>1353</v>
      </c>
      <c r="B1201">
        <v>2025</v>
      </c>
      <c r="C1201" s="1">
        <v>45875</v>
      </c>
      <c r="D1201" t="s">
        <v>95</v>
      </c>
      <c r="E1201" t="s">
        <v>120</v>
      </c>
      <c r="F1201">
        <v>63</v>
      </c>
      <c r="G1201" t="s">
        <v>60</v>
      </c>
      <c r="H1201" t="s">
        <v>45</v>
      </c>
      <c r="I1201">
        <v>33</v>
      </c>
      <c r="J1201">
        <v>34</v>
      </c>
      <c r="K1201" t="s">
        <v>46</v>
      </c>
      <c r="L1201" t="s">
        <v>47</v>
      </c>
      <c r="M1201" t="s">
        <v>47</v>
      </c>
      <c r="N1201" t="s">
        <v>50</v>
      </c>
      <c r="O1201" t="s">
        <v>63</v>
      </c>
      <c r="P1201">
        <v>32.4</v>
      </c>
      <c r="Q1201" t="s">
        <v>50</v>
      </c>
      <c r="R1201" t="s">
        <v>46</v>
      </c>
      <c r="S1201" t="s">
        <v>47</v>
      </c>
      <c r="T1201" t="s">
        <v>47</v>
      </c>
      <c r="U1201" t="s">
        <v>47</v>
      </c>
      <c r="V1201" t="s">
        <v>64</v>
      </c>
      <c r="W1201" t="s">
        <v>47</v>
      </c>
      <c r="X1201" t="s">
        <v>46</v>
      </c>
      <c r="Y1201" t="s">
        <v>46</v>
      </c>
      <c r="Z1201" t="s">
        <v>47</v>
      </c>
      <c r="AA1201" t="s">
        <v>46</v>
      </c>
      <c r="AB1201" t="s">
        <v>47</v>
      </c>
      <c r="AC1201" t="s">
        <v>47</v>
      </c>
      <c r="AD1201" t="s">
        <v>47</v>
      </c>
      <c r="AE1201" t="s">
        <v>47</v>
      </c>
      <c r="AF1201" t="s">
        <v>47</v>
      </c>
      <c r="AG1201" t="s">
        <v>52</v>
      </c>
      <c r="AH1201" t="s">
        <v>71</v>
      </c>
      <c r="AI1201" t="s">
        <v>80</v>
      </c>
      <c r="AJ1201">
        <v>5.5</v>
      </c>
      <c r="AK1201" t="s">
        <v>47</v>
      </c>
      <c r="AL1201" t="s">
        <v>72</v>
      </c>
      <c r="AM1201" t="s">
        <v>56</v>
      </c>
      <c r="AN1201">
        <v>30</v>
      </c>
      <c r="AO1201" t="s">
        <v>47</v>
      </c>
    </row>
    <row r="1202" spans="1:41">
      <c r="A1202" t="s">
        <v>1354</v>
      </c>
      <c r="B1202">
        <v>2024</v>
      </c>
      <c r="C1202" s="1">
        <v>45566</v>
      </c>
      <c r="D1202" t="s">
        <v>58</v>
      </c>
      <c r="E1202" t="s">
        <v>59</v>
      </c>
      <c r="F1202">
        <v>64</v>
      </c>
      <c r="G1202" t="s">
        <v>44</v>
      </c>
      <c r="H1202" t="s">
        <v>70</v>
      </c>
      <c r="I1202">
        <v>0</v>
      </c>
      <c r="J1202">
        <v>0</v>
      </c>
      <c r="K1202" t="s">
        <v>47</v>
      </c>
      <c r="L1202" t="s">
        <v>47</v>
      </c>
      <c r="M1202" t="s">
        <v>47</v>
      </c>
      <c r="N1202" t="s">
        <v>50</v>
      </c>
      <c r="O1202" t="s">
        <v>49</v>
      </c>
      <c r="P1202">
        <v>35.299999999999997</v>
      </c>
      <c r="Q1202" t="s">
        <v>62</v>
      </c>
      <c r="R1202" t="s">
        <v>47</v>
      </c>
      <c r="S1202" t="s">
        <v>47</v>
      </c>
      <c r="T1202" t="s">
        <v>47</v>
      </c>
      <c r="U1202" t="s">
        <v>47</v>
      </c>
      <c r="V1202" t="s">
        <v>86</v>
      </c>
      <c r="W1202" t="s">
        <v>47</v>
      </c>
      <c r="X1202" t="s">
        <v>47</v>
      </c>
      <c r="Y1202" t="s">
        <v>47</v>
      </c>
      <c r="Z1202" t="s">
        <v>47</v>
      </c>
      <c r="AA1202" t="s">
        <v>46</v>
      </c>
      <c r="AB1202" t="s">
        <v>47</v>
      </c>
      <c r="AC1202" t="s">
        <v>46</v>
      </c>
      <c r="AD1202" t="s">
        <v>47</v>
      </c>
      <c r="AE1202" t="s">
        <v>47</v>
      </c>
      <c r="AF1202" t="s">
        <v>47</v>
      </c>
      <c r="AG1202" t="s">
        <v>52</v>
      </c>
      <c r="AH1202" t="s">
        <v>90</v>
      </c>
      <c r="AI1202" t="s">
        <v>65</v>
      </c>
      <c r="AJ1202">
        <v>1.5</v>
      </c>
      <c r="AK1202" t="s">
        <v>47</v>
      </c>
      <c r="AL1202" t="s">
        <v>156</v>
      </c>
      <c r="AM1202" t="s">
        <v>73</v>
      </c>
      <c r="AN1202">
        <v>45</v>
      </c>
      <c r="AO1202" t="s">
        <v>47</v>
      </c>
    </row>
    <row r="1203" spans="1:41">
      <c r="A1203" t="s">
        <v>1355</v>
      </c>
      <c r="B1203">
        <v>2022</v>
      </c>
      <c r="C1203" s="1">
        <v>44683</v>
      </c>
      <c r="D1203" t="s">
        <v>42</v>
      </c>
      <c r="E1203" t="s">
        <v>247</v>
      </c>
      <c r="F1203">
        <v>54</v>
      </c>
      <c r="G1203" t="s">
        <v>60</v>
      </c>
      <c r="H1203" t="s">
        <v>70</v>
      </c>
      <c r="I1203">
        <v>0</v>
      </c>
      <c r="J1203">
        <v>0</v>
      </c>
      <c r="K1203" t="s">
        <v>46</v>
      </c>
      <c r="L1203" t="s">
        <v>47</v>
      </c>
      <c r="M1203" t="s">
        <v>47</v>
      </c>
      <c r="N1203" t="s">
        <v>48</v>
      </c>
      <c r="O1203" t="s">
        <v>49</v>
      </c>
      <c r="P1203">
        <v>28.6</v>
      </c>
      <c r="Q1203" t="s">
        <v>50</v>
      </c>
      <c r="R1203" t="s">
        <v>47</v>
      </c>
      <c r="S1203" t="s">
        <v>47</v>
      </c>
      <c r="T1203" t="s">
        <v>47</v>
      </c>
      <c r="U1203" t="s">
        <v>47</v>
      </c>
      <c r="V1203" t="s">
        <v>51</v>
      </c>
      <c r="W1203" t="s">
        <v>47</v>
      </c>
      <c r="X1203" t="s">
        <v>46</v>
      </c>
      <c r="Y1203" t="s">
        <v>47</v>
      </c>
      <c r="Z1203" t="s">
        <v>47</v>
      </c>
      <c r="AA1203" t="s">
        <v>46</v>
      </c>
      <c r="AB1203" t="s">
        <v>47</v>
      </c>
      <c r="AC1203" t="s">
        <v>47</v>
      </c>
      <c r="AD1203" t="s">
        <v>46</v>
      </c>
      <c r="AE1203" t="s">
        <v>47</v>
      </c>
      <c r="AF1203" t="s">
        <v>47</v>
      </c>
      <c r="AG1203" t="s">
        <v>52</v>
      </c>
      <c r="AH1203" t="s">
        <v>90</v>
      </c>
      <c r="AI1203" t="s">
        <v>80</v>
      </c>
      <c r="AJ1203">
        <v>9.1999999999999993</v>
      </c>
      <c r="AK1203" t="s">
        <v>46</v>
      </c>
      <c r="AL1203" t="s">
        <v>76</v>
      </c>
      <c r="AM1203" t="s">
        <v>118</v>
      </c>
      <c r="AN1203">
        <v>10</v>
      </c>
      <c r="AO1203" t="s">
        <v>47</v>
      </c>
    </row>
    <row r="1204" spans="1:41">
      <c r="A1204" t="s">
        <v>1356</v>
      </c>
      <c r="B1204">
        <v>2016</v>
      </c>
      <c r="C1204" s="1">
        <v>42478</v>
      </c>
      <c r="D1204" t="s">
        <v>95</v>
      </c>
      <c r="E1204" t="s">
        <v>130</v>
      </c>
      <c r="F1204">
        <v>42</v>
      </c>
      <c r="G1204" t="s">
        <v>60</v>
      </c>
      <c r="H1204" t="s">
        <v>70</v>
      </c>
      <c r="I1204">
        <v>0</v>
      </c>
      <c r="J1204">
        <v>0</v>
      </c>
      <c r="K1204" t="s">
        <v>47</v>
      </c>
      <c r="L1204" t="s">
        <v>47</v>
      </c>
      <c r="M1204" t="s">
        <v>47</v>
      </c>
      <c r="N1204" t="s">
        <v>62</v>
      </c>
      <c r="O1204" t="s">
        <v>48</v>
      </c>
      <c r="P1204">
        <v>29.1</v>
      </c>
      <c r="Q1204" t="s">
        <v>62</v>
      </c>
      <c r="R1204" t="s">
        <v>47</v>
      </c>
      <c r="S1204" t="s">
        <v>47</v>
      </c>
      <c r="T1204" t="s">
        <v>47</v>
      </c>
      <c r="U1204" t="s">
        <v>47</v>
      </c>
      <c r="V1204" t="s">
        <v>51</v>
      </c>
      <c r="W1204" t="s">
        <v>47</v>
      </c>
      <c r="X1204" t="s">
        <v>46</v>
      </c>
      <c r="Y1204" t="s">
        <v>47</v>
      </c>
      <c r="Z1204" t="s">
        <v>47</v>
      </c>
      <c r="AA1204" t="s">
        <v>47</v>
      </c>
      <c r="AB1204" t="s">
        <v>47</v>
      </c>
      <c r="AC1204" t="s">
        <v>47</v>
      </c>
      <c r="AD1204" t="s">
        <v>47</v>
      </c>
      <c r="AE1204" t="s">
        <v>47</v>
      </c>
      <c r="AF1204" t="s">
        <v>47</v>
      </c>
      <c r="AG1204" t="s">
        <v>52</v>
      </c>
      <c r="AH1204" t="s">
        <v>53</v>
      </c>
      <c r="AI1204" t="s">
        <v>65</v>
      </c>
      <c r="AJ1204">
        <v>2.7</v>
      </c>
      <c r="AK1204" t="s">
        <v>47</v>
      </c>
      <c r="AL1204" t="s">
        <v>66</v>
      </c>
      <c r="AM1204" t="s">
        <v>118</v>
      </c>
      <c r="AN1204">
        <v>58</v>
      </c>
      <c r="AO1204" t="s">
        <v>46</v>
      </c>
    </row>
    <row r="1205" spans="1:41">
      <c r="A1205" t="s">
        <v>1357</v>
      </c>
      <c r="B1205">
        <v>2025</v>
      </c>
      <c r="C1205" s="1">
        <v>45741</v>
      </c>
      <c r="D1205" t="s">
        <v>110</v>
      </c>
      <c r="E1205" t="s">
        <v>225</v>
      </c>
      <c r="F1205">
        <v>54</v>
      </c>
      <c r="G1205" t="s">
        <v>60</v>
      </c>
      <c r="H1205" t="s">
        <v>45</v>
      </c>
      <c r="I1205">
        <v>31</v>
      </c>
      <c r="J1205">
        <v>35</v>
      </c>
      <c r="K1205" t="s">
        <v>47</v>
      </c>
      <c r="L1205" t="s">
        <v>47</v>
      </c>
      <c r="M1205" t="s">
        <v>46</v>
      </c>
      <c r="N1205" t="s">
        <v>62</v>
      </c>
      <c r="O1205" t="s">
        <v>49</v>
      </c>
      <c r="P1205">
        <v>21.4</v>
      </c>
      <c r="Q1205" t="s">
        <v>50</v>
      </c>
      <c r="R1205" t="s">
        <v>47</v>
      </c>
      <c r="S1205" t="s">
        <v>47</v>
      </c>
      <c r="T1205" t="s">
        <v>47</v>
      </c>
      <c r="U1205" t="s">
        <v>47</v>
      </c>
      <c r="V1205" t="s">
        <v>51</v>
      </c>
      <c r="W1205" t="s">
        <v>47</v>
      </c>
      <c r="X1205" t="s">
        <v>47</v>
      </c>
      <c r="Y1205" t="s">
        <v>47</v>
      </c>
      <c r="Z1205" t="s">
        <v>46</v>
      </c>
      <c r="AA1205" t="s">
        <v>46</v>
      </c>
      <c r="AB1205" t="s">
        <v>46</v>
      </c>
      <c r="AC1205" t="s">
        <v>47</v>
      </c>
      <c r="AD1205" t="s">
        <v>47</v>
      </c>
      <c r="AE1205" t="s">
        <v>47</v>
      </c>
      <c r="AF1205" t="s">
        <v>47</v>
      </c>
      <c r="AG1205" t="s">
        <v>52</v>
      </c>
      <c r="AH1205" t="s">
        <v>90</v>
      </c>
      <c r="AI1205" t="s">
        <v>87</v>
      </c>
      <c r="AJ1205">
        <v>4.4000000000000004</v>
      </c>
      <c r="AK1205" t="s">
        <v>47</v>
      </c>
      <c r="AL1205" t="s">
        <v>81</v>
      </c>
      <c r="AM1205" t="s">
        <v>77</v>
      </c>
      <c r="AN1205">
        <v>36</v>
      </c>
      <c r="AO1205" t="s">
        <v>47</v>
      </c>
    </row>
    <row r="1206" spans="1:41">
      <c r="A1206" t="s">
        <v>1358</v>
      </c>
      <c r="B1206">
        <v>2016</v>
      </c>
      <c r="C1206" s="1">
        <v>42667</v>
      </c>
      <c r="D1206" t="s">
        <v>110</v>
      </c>
      <c r="E1206" t="s">
        <v>225</v>
      </c>
      <c r="F1206">
        <v>48</v>
      </c>
      <c r="G1206" t="s">
        <v>60</v>
      </c>
      <c r="H1206" t="s">
        <v>70</v>
      </c>
      <c r="I1206">
        <v>0</v>
      </c>
      <c r="J1206">
        <v>0</v>
      </c>
      <c r="K1206" t="s">
        <v>47</v>
      </c>
      <c r="L1206" t="s">
        <v>47</v>
      </c>
      <c r="M1206" t="s">
        <v>46</v>
      </c>
      <c r="N1206" t="s">
        <v>62</v>
      </c>
      <c r="O1206" t="s">
        <v>48</v>
      </c>
      <c r="P1206">
        <v>25.5</v>
      </c>
      <c r="Q1206" t="s">
        <v>50</v>
      </c>
      <c r="R1206" t="s">
        <v>47</v>
      </c>
      <c r="S1206" t="s">
        <v>47</v>
      </c>
      <c r="T1206" t="s">
        <v>47</v>
      </c>
      <c r="U1206" t="s">
        <v>47</v>
      </c>
      <c r="V1206" t="s">
        <v>51</v>
      </c>
      <c r="W1206" t="s">
        <v>47</v>
      </c>
      <c r="X1206" t="s">
        <v>46</v>
      </c>
      <c r="Y1206" t="s">
        <v>46</v>
      </c>
      <c r="Z1206" t="s">
        <v>47</v>
      </c>
      <c r="AA1206" t="s">
        <v>46</v>
      </c>
      <c r="AB1206" t="s">
        <v>46</v>
      </c>
      <c r="AC1206" t="s">
        <v>47</v>
      </c>
      <c r="AD1206" t="s">
        <v>47</v>
      </c>
      <c r="AE1206" t="s">
        <v>47</v>
      </c>
      <c r="AF1206" t="s">
        <v>47</v>
      </c>
      <c r="AG1206" t="s">
        <v>52</v>
      </c>
      <c r="AH1206" t="s">
        <v>53</v>
      </c>
      <c r="AI1206" t="s">
        <v>80</v>
      </c>
      <c r="AJ1206">
        <v>5.4</v>
      </c>
      <c r="AK1206" t="s">
        <v>47</v>
      </c>
      <c r="AL1206" t="s">
        <v>66</v>
      </c>
      <c r="AM1206" t="s">
        <v>82</v>
      </c>
      <c r="AN1206">
        <v>15</v>
      </c>
      <c r="AO1206" t="s">
        <v>47</v>
      </c>
    </row>
    <row r="1207" spans="1:41">
      <c r="A1207" t="s">
        <v>1359</v>
      </c>
      <c r="B1207">
        <v>2016</v>
      </c>
      <c r="C1207" s="1">
        <v>42630</v>
      </c>
      <c r="D1207" t="s">
        <v>95</v>
      </c>
      <c r="E1207" t="s">
        <v>120</v>
      </c>
      <c r="F1207">
        <v>76</v>
      </c>
      <c r="G1207" t="s">
        <v>60</v>
      </c>
      <c r="H1207" t="s">
        <v>70</v>
      </c>
      <c r="I1207">
        <v>0</v>
      </c>
      <c r="J1207">
        <v>0</v>
      </c>
      <c r="K1207" t="s">
        <v>46</v>
      </c>
      <c r="L1207" t="s">
        <v>46</v>
      </c>
      <c r="M1207" t="s">
        <v>47</v>
      </c>
      <c r="N1207" t="s">
        <v>50</v>
      </c>
      <c r="O1207" t="s">
        <v>49</v>
      </c>
      <c r="P1207">
        <v>28.5</v>
      </c>
      <c r="Q1207" t="s">
        <v>48</v>
      </c>
      <c r="R1207" t="s">
        <v>47</v>
      </c>
      <c r="S1207" t="s">
        <v>47</v>
      </c>
      <c r="T1207" t="s">
        <v>47</v>
      </c>
      <c r="U1207" t="s">
        <v>47</v>
      </c>
      <c r="V1207" t="s">
        <v>117</v>
      </c>
      <c r="W1207" t="s">
        <v>47</v>
      </c>
      <c r="X1207" t="s">
        <v>47</v>
      </c>
      <c r="Y1207" t="s">
        <v>47</v>
      </c>
      <c r="Z1207" t="s">
        <v>47</v>
      </c>
      <c r="AA1207" t="s">
        <v>46</v>
      </c>
      <c r="AB1207" t="s">
        <v>46</v>
      </c>
      <c r="AC1207" t="s">
        <v>47</v>
      </c>
      <c r="AD1207" t="s">
        <v>47</v>
      </c>
      <c r="AE1207" t="s">
        <v>47</v>
      </c>
      <c r="AF1207" t="s">
        <v>47</v>
      </c>
      <c r="AG1207" t="s">
        <v>52</v>
      </c>
      <c r="AH1207" t="s">
        <v>53</v>
      </c>
      <c r="AI1207" t="s">
        <v>65</v>
      </c>
      <c r="AJ1207">
        <v>2.9</v>
      </c>
      <c r="AK1207" t="s">
        <v>47</v>
      </c>
      <c r="AL1207" t="s">
        <v>72</v>
      </c>
      <c r="AM1207" t="s">
        <v>73</v>
      </c>
      <c r="AN1207">
        <v>52</v>
      </c>
      <c r="AO1207" t="s">
        <v>46</v>
      </c>
    </row>
    <row r="1208" spans="1:41">
      <c r="A1208" t="s">
        <v>1360</v>
      </c>
      <c r="B1208">
        <v>2017</v>
      </c>
      <c r="C1208" s="1">
        <v>43012</v>
      </c>
      <c r="D1208" t="s">
        <v>42</v>
      </c>
      <c r="E1208" t="s">
        <v>247</v>
      </c>
      <c r="F1208">
        <v>57</v>
      </c>
      <c r="G1208" t="s">
        <v>60</v>
      </c>
      <c r="H1208" t="s">
        <v>45</v>
      </c>
      <c r="I1208">
        <v>33</v>
      </c>
      <c r="J1208">
        <v>9</v>
      </c>
      <c r="K1208" t="s">
        <v>47</v>
      </c>
      <c r="L1208" t="s">
        <v>46</v>
      </c>
      <c r="M1208" t="s">
        <v>47</v>
      </c>
      <c r="N1208" t="s">
        <v>50</v>
      </c>
      <c r="O1208" t="s">
        <v>49</v>
      </c>
      <c r="P1208">
        <v>32.5</v>
      </c>
      <c r="Q1208" t="s">
        <v>48</v>
      </c>
      <c r="R1208" t="s">
        <v>46</v>
      </c>
      <c r="S1208" t="s">
        <v>47</v>
      </c>
      <c r="T1208" t="s">
        <v>47</v>
      </c>
      <c r="U1208" t="s">
        <v>46</v>
      </c>
      <c r="V1208" t="s">
        <v>64</v>
      </c>
      <c r="W1208" t="s">
        <v>46</v>
      </c>
      <c r="X1208" t="s">
        <v>46</v>
      </c>
      <c r="Y1208" t="s">
        <v>46</v>
      </c>
      <c r="Z1208" t="s">
        <v>47</v>
      </c>
      <c r="AA1208" t="s">
        <v>46</v>
      </c>
      <c r="AB1208" t="s">
        <v>46</v>
      </c>
      <c r="AC1208" t="s">
        <v>46</v>
      </c>
      <c r="AD1208" t="s">
        <v>47</v>
      </c>
      <c r="AE1208" t="s">
        <v>47</v>
      </c>
      <c r="AF1208" t="s">
        <v>46</v>
      </c>
      <c r="AG1208" t="s">
        <v>121</v>
      </c>
      <c r="AH1208" t="s">
        <v>122</v>
      </c>
      <c r="AI1208" t="s">
        <v>54</v>
      </c>
      <c r="AJ1208">
        <v>6.6</v>
      </c>
      <c r="AK1208" t="s">
        <v>46</v>
      </c>
      <c r="AL1208" t="s">
        <v>76</v>
      </c>
      <c r="AM1208" t="s">
        <v>103</v>
      </c>
      <c r="AN1208">
        <v>13</v>
      </c>
      <c r="AO1208" t="s">
        <v>47</v>
      </c>
    </row>
    <row r="1209" spans="1:41">
      <c r="A1209" t="s">
        <v>1361</v>
      </c>
      <c r="B1209">
        <v>2021</v>
      </c>
      <c r="C1209" s="1">
        <v>44466</v>
      </c>
      <c r="D1209" t="s">
        <v>110</v>
      </c>
      <c r="E1209" t="s">
        <v>111</v>
      </c>
      <c r="F1209">
        <v>47</v>
      </c>
      <c r="G1209" t="s">
        <v>44</v>
      </c>
      <c r="H1209" t="s">
        <v>45</v>
      </c>
      <c r="I1209">
        <v>17</v>
      </c>
      <c r="J1209">
        <v>19</v>
      </c>
      <c r="K1209" t="s">
        <v>47</v>
      </c>
      <c r="L1209" t="s">
        <v>46</v>
      </c>
      <c r="M1209" t="s">
        <v>47</v>
      </c>
      <c r="N1209" t="s">
        <v>62</v>
      </c>
      <c r="O1209" t="s">
        <v>48</v>
      </c>
      <c r="P1209">
        <v>25.1</v>
      </c>
      <c r="Q1209" t="s">
        <v>62</v>
      </c>
      <c r="R1209" t="s">
        <v>47</v>
      </c>
      <c r="S1209" t="s">
        <v>47</v>
      </c>
      <c r="T1209" t="s">
        <v>47</v>
      </c>
      <c r="U1209" t="s">
        <v>46</v>
      </c>
      <c r="V1209" t="s">
        <v>51</v>
      </c>
      <c r="W1209" t="s">
        <v>46</v>
      </c>
      <c r="X1209" t="s">
        <v>46</v>
      </c>
      <c r="Y1209" t="s">
        <v>47</v>
      </c>
      <c r="Z1209" t="s">
        <v>47</v>
      </c>
      <c r="AA1209" t="s">
        <v>46</v>
      </c>
      <c r="AB1209" t="s">
        <v>46</v>
      </c>
      <c r="AC1209" t="s">
        <v>46</v>
      </c>
      <c r="AD1209" t="s">
        <v>47</v>
      </c>
      <c r="AE1209" t="s">
        <v>46</v>
      </c>
      <c r="AF1209" t="s">
        <v>47</v>
      </c>
      <c r="AG1209" t="s">
        <v>52</v>
      </c>
      <c r="AH1209" t="s">
        <v>53</v>
      </c>
      <c r="AI1209" t="s">
        <v>80</v>
      </c>
      <c r="AJ1209">
        <v>6.6</v>
      </c>
      <c r="AK1209" t="s">
        <v>47</v>
      </c>
      <c r="AL1209" t="s">
        <v>81</v>
      </c>
      <c r="AM1209" t="s">
        <v>103</v>
      </c>
      <c r="AN1209">
        <v>20</v>
      </c>
      <c r="AO1209" t="s">
        <v>46</v>
      </c>
    </row>
    <row r="1210" spans="1:41">
      <c r="A1210" t="s">
        <v>1362</v>
      </c>
      <c r="B1210">
        <v>2024</v>
      </c>
      <c r="C1210" s="1">
        <v>45562</v>
      </c>
      <c r="D1210" t="s">
        <v>42</v>
      </c>
      <c r="E1210" t="s">
        <v>43</v>
      </c>
      <c r="F1210">
        <v>69</v>
      </c>
      <c r="G1210" t="s">
        <v>60</v>
      </c>
      <c r="H1210" t="s">
        <v>45</v>
      </c>
      <c r="I1210">
        <v>34</v>
      </c>
      <c r="J1210">
        <v>34</v>
      </c>
      <c r="K1210" t="s">
        <v>46</v>
      </c>
      <c r="L1210" t="s">
        <v>46</v>
      </c>
      <c r="M1210" t="s">
        <v>47</v>
      </c>
      <c r="N1210" t="s">
        <v>62</v>
      </c>
      <c r="O1210" t="s">
        <v>48</v>
      </c>
      <c r="P1210">
        <v>23.9</v>
      </c>
      <c r="Q1210" t="s">
        <v>62</v>
      </c>
      <c r="R1210" t="s">
        <v>46</v>
      </c>
      <c r="S1210" t="s">
        <v>47</v>
      </c>
      <c r="T1210" t="s">
        <v>47</v>
      </c>
      <c r="U1210" t="s">
        <v>47</v>
      </c>
      <c r="V1210" t="s">
        <v>151</v>
      </c>
      <c r="W1210" t="s">
        <v>46</v>
      </c>
      <c r="X1210" t="s">
        <v>46</v>
      </c>
      <c r="Y1210" t="s">
        <v>47</v>
      </c>
      <c r="Z1210" t="s">
        <v>46</v>
      </c>
      <c r="AA1210" t="s">
        <v>46</v>
      </c>
      <c r="AB1210" t="s">
        <v>46</v>
      </c>
      <c r="AC1210" t="s">
        <v>46</v>
      </c>
      <c r="AD1210" t="s">
        <v>47</v>
      </c>
      <c r="AE1210" t="s">
        <v>46</v>
      </c>
      <c r="AF1210" t="s">
        <v>47</v>
      </c>
      <c r="AG1210" t="s">
        <v>52</v>
      </c>
      <c r="AH1210" t="s">
        <v>53</v>
      </c>
      <c r="AI1210" t="s">
        <v>65</v>
      </c>
      <c r="AJ1210">
        <v>2.5</v>
      </c>
      <c r="AK1210" t="s">
        <v>47</v>
      </c>
      <c r="AL1210" t="s">
        <v>66</v>
      </c>
      <c r="AM1210" t="s">
        <v>73</v>
      </c>
      <c r="AN1210">
        <v>77</v>
      </c>
      <c r="AO1210" t="s">
        <v>46</v>
      </c>
    </row>
    <row r="1211" spans="1:41">
      <c r="A1211" t="s">
        <v>1363</v>
      </c>
      <c r="B1211">
        <v>2023</v>
      </c>
      <c r="C1211" s="1">
        <v>45275</v>
      </c>
      <c r="D1211" t="s">
        <v>110</v>
      </c>
      <c r="E1211" t="s">
        <v>116</v>
      </c>
      <c r="F1211">
        <v>61</v>
      </c>
      <c r="G1211" t="s">
        <v>60</v>
      </c>
      <c r="H1211" t="s">
        <v>70</v>
      </c>
      <c r="I1211">
        <v>0</v>
      </c>
      <c r="J1211">
        <v>0</v>
      </c>
      <c r="K1211" t="s">
        <v>47</v>
      </c>
      <c r="L1211" t="s">
        <v>46</v>
      </c>
      <c r="M1211" t="s">
        <v>46</v>
      </c>
      <c r="N1211" t="s">
        <v>62</v>
      </c>
      <c r="O1211" t="s">
        <v>63</v>
      </c>
      <c r="P1211">
        <v>27.1</v>
      </c>
      <c r="Q1211" t="s">
        <v>50</v>
      </c>
      <c r="R1211" t="s">
        <v>47</v>
      </c>
      <c r="S1211" t="s">
        <v>46</v>
      </c>
      <c r="T1211" t="s">
        <v>47</v>
      </c>
      <c r="U1211" t="s">
        <v>46</v>
      </c>
      <c r="V1211" t="s">
        <v>92</v>
      </c>
      <c r="W1211" t="s">
        <v>47</v>
      </c>
      <c r="X1211" t="s">
        <v>47</v>
      </c>
      <c r="Y1211" t="s">
        <v>47</v>
      </c>
      <c r="Z1211" t="s">
        <v>47</v>
      </c>
      <c r="AA1211" t="s">
        <v>46</v>
      </c>
      <c r="AB1211" t="s">
        <v>46</v>
      </c>
      <c r="AC1211" t="s">
        <v>47</v>
      </c>
      <c r="AD1211" t="s">
        <v>47</v>
      </c>
      <c r="AE1211" t="s">
        <v>47</v>
      </c>
      <c r="AF1211" t="s">
        <v>46</v>
      </c>
      <c r="AG1211" t="s">
        <v>52</v>
      </c>
      <c r="AH1211" t="s">
        <v>53</v>
      </c>
      <c r="AI1211" t="s">
        <v>87</v>
      </c>
      <c r="AJ1211">
        <v>4.7</v>
      </c>
      <c r="AK1211" t="s">
        <v>47</v>
      </c>
      <c r="AL1211" t="s">
        <v>76</v>
      </c>
      <c r="AM1211" t="s">
        <v>118</v>
      </c>
      <c r="AN1211">
        <v>41</v>
      </c>
      <c r="AO1211" t="s">
        <v>47</v>
      </c>
    </row>
    <row r="1212" spans="1:41">
      <c r="A1212" t="s">
        <v>1364</v>
      </c>
      <c r="B1212">
        <v>2023</v>
      </c>
      <c r="C1212" s="1">
        <v>45030</v>
      </c>
      <c r="D1212" t="s">
        <v>42</v>
      </c>
      <c r="E1212" t="s">
        <v>69</v>
      </c>
      <c r="F1212">
        <v>45</v>
      </c>
      <c r="G1212" t="s">
        <v>60</v>
      </c>
      <c r="H1212" t="s">
        <v>61</v>
      </c>
      <c r="I1212">
        <v>26</v>
      </c>
      <c r="J1212">
        <v>11</v>
      </c>
      <c r="K1212" t="s">
        <v>46</v>
      </c>
      <c r="L1212" t="s">
        <v>47</v>
      </c>
      <c r="M1212" t="s">
        <v>46</v>
      </c>
      <c r="N1212" t="s">
        <v>62</v>
      </c>
      <c r="O1212" t="s">
        <v>63</v>
      </c>
      <c r="P1212">
        <v>30</v>
      </c>
      <c r="Q1212" t="s">
        <v>62</v>
      </c>
      <c r="R1212" t="s">
        <v>47</v>
      </c>
      <c r="S1212" t="s">
        <v>47</v>
      </c>
      <c r="T1212" t="s">
        <v>47</v>
      </c>
      <c r="U1212" t="s">
        <v>47</v>
      </c>
      <c r="V1212" t="s">
        <v>64</v>
      </c>
      <c r="W1212" t="s">
        <v>46</v>
      </c>
      <c r="X1212" t="s">
        <v>47</v>
      </c>
      <c r="Y1212" t="s">
        <v>47</v>
      </c>
      <c r="Z1212" t="s">
        <v>47</v>
      </c>
      <c r="AA1212" t="s">
        <v>47</v>
      </c>
      <c r="AB1212" t="s">
        <v>47</v>
      </c>
      <c r="AC1212" t="s">
        <v>47</v>
      </c>
      <c r="AD1212" t="s">
        <v>46</v>
      </c>
      <c r="AE1212" t="s">
        <v>47</v>
      </c>
      <c r="AF1212" t="s">
        <v>47</v>
      </c>
      <c r="AG1212" t="s">
        <v>52</v>
      </c>
      <c r="AH1212" t="s">
        <v>53</v>
      </c>
      <c r="AI1212" t="s">
        <v>54</v>
      </c>
      <c r="AJ1212">
        <v>7.4</v>
      </c>
      <c r="AK1212" t="s">
        <v>46</v>
      </c>
      <c r="AL1212" t="s">
        <v>76</v>
      </c>
      <c r="AM1212" t="s">
        <v>77</v>
      </c>
      <c r="AN1212">
        <v>10</v>
      </c>
      <c r="AO1212" t="s">
        <v>47</v>
      </c>
    </row>
    <row r="1213" spans="1:41">
      <c r="A1213" t="s">
        <v>1365</v>
      </c>
      <c r="B1213">
        <v>2023</v>
      </c>
      <c r="C1213" s="1">
        <v>45287</v>
      </c>
      <c r="D1213" t="s">
        <v>42</v>
      </c>
      <c r="E1213" t="s">
        <v>160</v>
      </c>
      <c r="F1213">
        <v>45</v>
      </c>
      <c r="G1213" t="s">
        <v>60</v>
      </c>
      <c r="H1213" t="s">
        <v>45</v>
      </c>
      <c r="I1213">
        <v>32</v>
      </c>
      <c r="J1213">
        <v>23</v>
      </c>
      <c r="K1213" t="s">
        <v>47</v>
      </c>
      <c r="L1213" t="s">
        <v>47</v>
      </c>
      <c r="M1213" t="s">
        <v>47</v>
      </c>
      <c r="N1213" t="s">
        <v>48</v>
      </c>
      <c r="O1213" t="s">
        <v>48</v>
      </c>
      <c r="P1213">
        <v>21.3</v>
      </c>
      <c r="Q1213" t="s">
        <v>62</v>
      </c>
      <c r="R1213" t="s">
        <v>46</v>
      </c>
      <c r="S1213" t="s">
        <v>47</v>
      </c>
      <c r="T1213" t="s">
        <v>47</v>
      </c>
      <c r="U1213" t="s">
        <v>47</v>
      </c>
      <c r="V1213" t="s">
        <v>51</v>
      </c>
      <c r="W1213" t="s">
        <v>46</v>
      </c>
      <c r="X1213" t="s">
        <v>46</v>
      </c>
      <c r="Y1213" t="s">
        <v>46</v>
      </c>
      <c r="Z1213" t="s">
        <v>47</v>
      </c>
      <c r="AA1213" t="s">
        <v>46</v>
      </c>
      <c r="AB1213" t="s">
        <v>46</v>
      </c>
      <c r="AC1213" t="s">
        <v>47</v>
      </c>
      <c r="AD1213" t="s">
        <v>47</v>
      </c>
      <c r="AE1213" t="s">
        <v>47</v>
      </c>
      <c r="AF1213" t="s">
        <v>47</v>
      </c>
      <c r="AG1213" t="s">
        <v>121</v>
      </c>
      <c r="AH1213" t="s">
        <v>122</v>
      </c>
      <c r="AI1213" t="s">
        <v>65</v>
      </c>
      <c r="AJ1213">
        <v>1.7</v>
      </c>
      <c r="AK1213" t="s">
        <v>47</v>
      </c>
      <c r="AL1213" t="s">
        <v>76</v>
      </c>
      <c r="AM1213" t="s">
        <v>103</v>
      </c>
      <c r="AN1213">
        <v>58</v>
      </c>
      <c r="AO1213" t="s">
        <v>47</v>
      </c>
    </row>
    <row r="1214" spans="1:41">
      <c r="A1214" t="s">
        <v>1366</v>
      </c>
      <c r="B1214">
        <v>2025</v>
      </c>
      <c r="C1214" s="1">
        <v>45805</v>
      </c>
      <c r="D1214" t="s">
        <v>84</v>
      </c>
      <c r="E1214" t="s">
        <v>218</v>
      </c>
      <c r="F1214">
        <v>64</v>
      </c>
      <c r="G1214" t="s">
        <v>44</v>
      </c>
      <c r="H1214" t="s">
        <v>70</v>
      </c>
      <c r="I1214">
        <v>0</v>
      </c>
      <c r="J1214">
        <v>0</v>
      </c>
      <c r="K1214" t="s">
        <v>47</v>
      </c>
      <c r="L1214" t="s">
        <v>47</v>
      </c>
      <c r="M1214" t="s">
        <v>47</v>
      </c>
      <c r="N1214" t="s">
        <v>48</v>
      </c>
      <c r="O1214" t="s">
        <v>63</v>
      </c>
      <c r="P1214">
        <v>30.4</v>
      </c>
      <c r="Q1214" t="s">
        <v>50</v>
      </c>
      <c r="R1214" t="s">
        <v>47</v>
      </c>
      <c r="S1214" t="s">
        <v>47</v>
      </c>
      <c r="T1214" t="s">
        <v>47</v>
      </c>
      <c r="U1214" t="s">
        <v>47</v>
      </c>
      <c r="V1214" t="s">
        <v>51</v>
      </c>
      <c r="W1214" t="s">
        <v>47</v>
      </c>
      <c r="X1214" t="s">
        <v>47</v>
      </c>
      <c r="Y1214" t="s">
        <v>47</v>
      </c>
      <c r="Z1214" t="s">
        <v>47</v>
      </c>
      <c r="AA1214" t="s">
        <v>46</v>
      </c>
      <c r="AB1214" t="s">
        <v>47</v>
      </c>
      <c r="AC1214" t="s">
        <v>47</v>
      </c>
      <c r="AD1214" t="s">
        <v>47</v>
      </c>
      <c r="AE1214" t="s">
        <v>47</v>
      </c>
      <c r="AF1214" t="s">
        <v>47</v>
      </c>
      <c r="AG1214" t="s">
        <v>52</v>
      </c>
      <c r="AH1214" t="s">
        <v>53</v>
      </c>
      <c r="AI1214" t="s">
        <v>87</v>
      </c>
      <c r="AJ1214">
        <v>2.9</v>
      </c>
      <c r="AK1214" t="s">
        <v>47</v>
      </c>
      <c r="AL1214" t="s">
        <v>100</v>
      </c>
      <c r="AM1214" t="s">
        <v>77</v>
      </c>
      <c r="AN1214">
        <v>50</v>
      </c>
      <c r="AO1214" t="s">
        <v>47</v>
      </c>
    </row>
    <row r="1215" spans="1:41">
      <c r="A1215" t="s">
        <v>1367</v>
      </c>
      <c r="B1215">
        <v>2017</v>
      </c>
      <c r="C1215" s="1">
        <v>42956</v>
      </c>
      <c r="D1215" t="s">
        <v>84</v>
      </c>
      <c r="E1215" t="s">
        <v>189</v>
      </c>
      <c r="F1215">
        <v>84</v>
      </c>
      <c r="G1215" t="s">
        <v>60</v>
      </c>
      <c r="H1215" t="s">
        <v>70</v>
      </c>
      <c r="I1215">
        <v>0</v>
      </c>
      <c r="J1215">
        <v>0</v>
      </c>
      <c r="K1215" t="s">
        <v>47</v>
      </c>
      <c r="L1215" t="s">
        <v>47</v>
      </c>
      <c r="M1215" t="s">
        <v>47</v>
      </c>
      <c r="N1215" t="s">
        <v>62</v>
      </c>
      <c r="O1215" t="s">
        <v>49</v>
      </c>
      <c r="P1215">
        <v>28.7</v>
      </c>
      <c r="Q1215" t="s">
        <v>50</v>
      </c>
      <c r="R1215" t="s">
        <v>47</v>
      </c>
      <c r="S1215" t="s">
        <v>47</v>
      </c>
      <c r="T1215" t="s">
        <v>47</v>
      </c>
      <c r="U1215" t="s">
        <v>47</v>
      </c>
      <c r="V1215" t="s">
        <v>86</v>
      </c>
      <c r="W1215" t="s">
        <v>47</v>
      </c>
      <c r="X1215" t="s">
        <v>47</v>
      </c>
      <c r="Y1215" t="s">
        <v>47</v>
      </c>
      <c r="Z1215" t="s">
        <v>47</v>
      </c>
      <c r="AA1215" t="s">
        <v>47</v>
      </c>
      <c r="AB1215" t="s">
        <v>47</v>
      </c>
      <c r="AC1215" t="s">
        <v>47</v>
      </c>
      <c r="AD1215" t="s">
        <v>47</v>
      </c>
      <c r="AE1215" t="s">
        <v>47</v>
      </c>
      <c r="AF1215" t="s">
        <v>47</v>
      </c>
      <c r="AG1215" t="s">
        <v>52</v>
      </c>
      <c r="AH1215" t="s">
        <v>90</v>
      </c>
      <c r="AI1215" t="s">
        <v>80</v>
      </c>
      <c r="AJ1215">
        <v>5</v>
      </c>
      <c r="AK1215" t="s">
        <v>47</v>
      </c>
      <c r="AL1215" t="s">
        <v>156</v>
      </c>
      <c r="AM1215" t="s">
        <v>82</v>
      </c>
      <c r="AN1215">
        <v>11</v>
      </c>
      <c r="AO1215" t="s">
        <v>47</v>
      </c>
    </row>
    <row r="1216" spans="1:41">
      <c r="A1216" t="s">
        <v>1368</v>
      </c>
      <c r="B1216">
        <v>2020</v>
      </c>
      <c r="C1216" s="1">
        <v>43876</v>
      </c>
      <c r="D1216" t="s">
        <v>95</v>
      </c>
      <c r="E1216" t="s">
        <v>120</v>
      </c>
      <c r="F1216">
        <v>73</v>
      </c>
      <c r="G1216" t="s">
        <v>60</v>
      </c>
      <c r="H1216" t="s">
        <v>45</v>
      </c>
      <c r="I1216">
        <v>10</v>
      </c>
      <c r="J1216">
        <v>33</v>
      </c>
      <c r="K1216" t="s">
        <v>47</v>
      </c>
      <c r="L1216" t="s">
        <v>46</v>
      </c>
      <c r="M1216" t="s">
        <v>46</v>
      </c>
      <c r="N1216" t="s">
        <v>62</v>
      </c>
      <c r="O1216" t="s">
        <v>49</v>
      </c>
      <c r="P1216">
        <v>22</v>
      </c>
      <c r="Q1216" t="s">
        <v>50</v>
      </c>
      <c r="R1216" t="s">
        <v>46</v>
      </c>
      <c r="S1216" t="s">
        <v>47</v>
      </c>
      <c r="T1216" t="s">
        <v>47</v>
      </c>
      <c r="U1216" t="s">
        <v>47</v>
      </c>
      <c r="V1216" t="s">
        <v>151</v>
      </c>
      <c r="W1216" t="s">
        <v>46</v>
      </c>
      <c r="X1216" t="s">
        <v>47</v>
      </c>
      <c r="Y1216" t="s">
        <v>46</v>
      </c>
      <c r="Z1216" t="s">
        <v>47</v>
      </c>
      <c r="AA1216" t="s">
        <v>46</v>
      </c>
      <c r="AB1216" t="s">
        <v>46</v>
      </c>
      <c r="AC1216" t="s">
        <v>47</v>
      </c>
      <c r="AD1216" t="s">
        <v>47</v>
      </c>
      <c r="AE1216" t="s">
        <v>47</v>
      </c>
      <c r="AF1216" t="s">
        <v>46</v>
      </c>
      <c r="AG1216" t="s">
        <v>52</v>
      </c>
      <c r="AH1216" t="s">
        <v>53</v>
      </c>
      <c r="AI1216" t="s">
        <v>65</v>
      </c>
      <c r="AJ1216">
        <v>3</v>
      </c>
      <c r="AK1216" t="s">
        <v>47</v>
      </c>
      <c r="AL1216" t="s">
        <v>66</v>
      </c>
      <c r="AM1216" t="s">
        <v>73</v>
      </c>
      <c r="AN1216">
        <v>38</v>
      </c>
      <c r="AO1216" t="s">
        <v>47</v>
      </c>
    </row>
    <row r="1217" spans="1:41">
      <c r="A1217" t="s">
        <v>1369</v>
      </c>
      <c r="B1217">
        <v>2024</v>
      </c>
      <c r="C1217" s="1">
        <v>45389</v>
      </c>
      <c r="D1217" t="s">
        <v>95</v>
      </c>
      <c r="E1217" t="s">
        <v>255</v>
      </c>
      <c r="F1217">
        <v>51</v>
      </c>
      <c r="G1217" t="s">
        <v>60</v>
      </c>
      <c r="H1217" t="s">
        <v>70</v>
      </c>
      <c r="I1217">
        <v>0</v>
      </c>
      <c r="J1217">
        <v>0</v>
      </c>
      <c r="K1217" t="s">
        <v>47</v>
      </c>
      <c r="L1217" t="s">
        <v>47</v>
      </c>
      <c r="M1217" t="s">
        <v>47</v>
      </c>
      <c r="N1217" t="s">
        <v>48</v>
      </c>
      <c r="O1217" t="s">
        <v>48</v>
      </c>
      <c r="P1217">
        <v>18.899999999999999</v>
      </c>
      <c r="Q1217" t="s">
        <v>50</v>
      </c>
      <c r="R1217" t="s">
        <v>46</v>
      </c>
      <c r="S1217" t="s">
        <v>47</v>
      </c>
      <c r="T1217" t="s">
        <v>47</v>
      </c>
      <c r="U1217" t="s">
        <v>47</v>
      </c>
      <c r="V1217" t="s">
        <v>151</v>
      </c>
      <c r="W1217" t="s">
        <v>46</v>
      </c>
      <c r="X1217" t="s">
        <v>47</v>
      </c>
      <c r="Y1217" t="s">
        <v>46</v>
      </c>
      <c r="Z1217" t="s">
        <v>47</v>
      </c>
      <c r="AA1217" t="s">
        <v>46</v>
      </c>
      <c r="AB1217" t="s">
        <v>47</v>
      </c>
      <c r="AC1217" t="s">
        <v>46</v>
      </c>
      <c r="AD1217" t="s">
        <v>47</v>
      </c>
      <c r="AE1217" t="s">
        <v>47</v>
      </c>
      <c r="AF1217" t="s">
        <v>47</v>
      </c>
      <c r="AG1217" t="s">
        <v>52</v>
      </c>
      <c r="AH1217" t="s">
        <v>53</v>
      </c>
      <c r="AI1217" t="s">
        <v>65</v>
      </c>
      <c r="AJ1217">
        <v>3.2</v>
      </c>
      <c r="AK1217" t="s">
        <v>47</v>
      </c>
      <c r="AL1217" t="s">
        <v>66</v>
      </c>
      <c r="AM1217" t="s">
        <v>73</v>
      </c>
      <c r="AN1217">
        <v>87</v>
      </c>
      <c r="AO1217" t="s">
        <v>46</v>
      </c>
    </row>
    <row r="1218" spans="1:41">
      <c r="A1218" t="s">
        <v>1370</v>
      </c>
      <c r="B1218">
        <v>2024</v>
      </c>
      <c r="C1218" s="1">
        <v>45638</v>
      </c>
      <c r="D1218" t="s">
        <v>42</v>
      </c>
      <c r="E1218" t="s">
        <v>154</v>
      </c>
      <c r="F1218">
        <v>55</v>
      </c>
      <c r="G1218" t="s">
        <v>60</v>
      </c>
      <c r="H1218" t="s">
        <v>45</v>
      </c>
      <c r="I1218">
        <v>27</v>
      </c>
      <c r="J1218">
        <v>32</v>
      </c>
      <c r="K1218" t="s">
        <v>47</v>
      </c>
      <c r="L1218" t="s">
        <v>47</v>
      </c>
      <c r="M1218" t="s">
        <v>46</v>
      </c>
      <c r="N1218" t="s">
        <v>48</v>
      </c>
      <c r="O1218" t="s">
        <v>48</v>
      </c>
      <c r="P1218">
        <v>26.3</v>
      </c>
      <c r="Q1218" t="s">
        <v>62</v>
      </c>
      <c r="R1218" t="s">
        <v>46</v>
      </c>
      <c r="S1218" t="s">
        <v>47</v>
      </c>
      <c r="T1218" t="s">
        <v>47</v>
      </c>
      <c r="U1218" t="s">
        <v>47</v>
      </c>
      <c r="V1218" t="s">
        <v>51</v>
      </c>
      <c r="W1218" t="s">
        <v>46</v>
      </c>
      <c r="X1218" t="s">
        <v>47</v>
      </c>
      <c r="Y1218" t="s">
        <v>47</v>
      </c>
      <c r="Z1218" t="s">
        <v>47</v>
      </c>
      <c r="AA1218" t="s">
        <v>47</v>
      </c>
      <c r="AB1218" t="s">
        <v>47</v>
      </c>
      <c r="AC1218" t="s">
        <v>46</v>
      </c>
      <c r="AD1218" t="s">
        <v>46</v>
      </c>
      <c r="AE1218" t="s">
        <v>47</v>
      </c>
      <c r="AF1218" t="s">
        <v>47</v>
      </c>
      <c r="AG1218" t="s">
        <v>52</v>
      </c>
      <c r="AH1218" t="s">
        <v>71</v>
      </c>
      <c r="AI1218" t="s">
        <v>65</v>
      </c>
      <c r="AJ1218">
        <v>1.3</v>
      </c>
      <c r="AK1218" t="s">
        <v>47</v>
      </c>
      <c r="AL1218" t="s">
        <v>72</v>
      </c>
      <c r="AM1218" t="s">
        <v>73</v>
      </c>
      <c r="AN1218">
        <v>71</v>
      </c>
      <c r="AO1218" t="s">
        <v>47</v>
      </c>
    </row>
    <row r="1219" spans="1:41">
      <c r="A1219" t="s">
        <v>1371</v>
      </c>
      <c r="B1219">
        <v>2023</v>
      </c>
      <c r="C1219" s="1">
        <v>45244</v>
      </c>
      <c r="D1219" t="s">
        <v>98</v>
      </c>
      <c r="E1219" t="s">
        <v>465</v>
      </c>
      <c r="F1219">
        <v>68</v>
      </c>
      <c r="G1219" t="s">
        <v>60</v>
      </c>
      <c r="H1219" t="s">
        <v>61</v>
      </c>
      <c r="I1219">
        <v>23</v>
      </c>
      <c r="J1219">
        <v>11</v>
      </c>
      <c r="K1219" t="s">
        <v>46</v>
      </c>
      <c r="L1219" t="s">
        <v>46</v>
      </c>
      <c r="M1219" t="s">
        <v>47</v>
      </c>
      <c r="N1219" t="s">
        <v>62</v>
      </c>
      <c r="O1219" t="s">
        <v>48</v>
      </c>
      <c r="P1219">
        <v>23.8</v>
      </c>
      <c r="Q1219" t="s">
        <v>62</v>
      </c>
      <c r="R1219" t="s">
        <v>47</v>
      </c>
      <c r="S1219" t="s">
        <v>47</v>
      </c>
      <c r="T1219" t="s">
        <v>47</v>
      </c>
      <c r="U1219" t="s">
        <v>47</v>
      </c>
      <c r="V1219" t="s">
        <v>51</v>
      </c>
      <c r="W1219" t="s">
        <v>46</v>
      </c>
      <c r="X1219" t="s">
        <v>46</v>
      </c>
      <c r="Y1219" t="s">
        <v>46</v>
      </c>
      <c r="Z1219" t="s">
        <v>47</v>
      </c>
      <c r="AA1219" t="s">
        <v>46</v>
      </c>
      <c r="AB1219" t="s">
        <v>46</v>
      </c>
      <c r="AC1219" t="s">
        <v>47</v>
      </c>
      <c r="AD1219" t="s">
        <v>47</v>
      </c>
      <c r="AE1219" t="s">
        <v>47</v>
      </c>
      <c r="AF1219" t="s">
        <v>47</v>
      </c>
      <c r="AG1219" t="s">
        <v>52</v>
      </c>
      <c r="AH1219" t="s">
        <v>53</v>
      </c>
      <c r="AI1219" t="s">
        <v>65</v>
      </c>
      <c r="AJ1219">
        <v>3.7</v>
      </c>
      <c r="AK1219" t="s">
        <v>47</v>
      </c>
      <c r="AL1219" t="s">
        <v>72</v>
      </c>
      <c r="AM1219" t="s">
        <v>73</v>
      </c>
      <c r="AN1219">
        <v>44</v>
      </c>
      <c r="AO1219" t="s">
        <v>46</v>
      </c>
    </row>
    <row r="1220" spans="1:41">
      <c r="A1220" t="s">
        <v>1372</v>
      </c>
      <c r="B1220">
        <v>2021</v>
      </c>
      <c r="C1220" s="1">
        <v>44474</v>
      </c>
      <c r="D1220" t="s">
        <v>95</v>
      </c>
      <c r="E1220" t="s">
        <v>132</v>
      </c>
      <c r="F1220">
        <v>54</v>
      </c>
      <c r="G1220" t="s">
        <v>60</v>
      </c>
      <c r="H1220" t="s">
        <v>45</v>
      </c>
      <c r="I1220">
        <v>37</v>
      </c>
      <c r="J1220">
        <v>36</v>
      </c>
      <c r="K1220" t="s">
        <v>47</v>
      </c>
      <c r="L1220" t="s">
        <v>46</v>
      </c>
      <c r="M1220" t="s">
        <v>47</v>
      </c>
      <c r="N1220" t="s">
        <v>48</v>
      </c>
      <c r="O1220" t="s">
        <v>49</v>
      </c>
      <c r="P1220">
        <v>29.4</v>
      </c>
      <c r="Q1220" t="s">
        <v>50</v>
      </c>
      <c r="R1220" t="s">
        <v>46</v>
      </c>
      <c r="S1220" t="s">
        <v>47</v>
      </c>
      <c r="T1220" t="s">
        <v>47</v>
      </c>
      <c r="U1220" t="s">
        <v>47</v>
      </c>
      <c r="V1220" t="s">
        <v>64</v>
      </c>
      <c r="W1220" t="s">
        <v>47</v>
      </c>
      <c r="X1220" t="s">
        <v>46</v>
      </c>
      <c r="Y1220" t="s">
        <v>46</v>
      </c>
      <c r="Z1220" t="s">
        <v>47</v>
      </c>
      <c r="AA1220" t="s">
        <v>46</v>
      </c>
      <c r="AB1220" t="s">
        <v>46</v>
      </c>
      <c r="AC1220" t="s">
        <v>47</v>
      </c>
      <c r="AD1220" t="s">
        <v>47</v>
      </c>
      <c r="AE1220" t="s">
        <v>47</v>
      </c>
      <c r="AF1220" t="s">
        <v>47</v>
      </c>
      <c r="AG1220" t="s">
        <v>121</v>
      </c>
      <c r="AH1220" t="s">
        <v>122</v>
      </c>
      <c r="AI1220" t="s">
        <v>54</v>
      </c>
      <c r="AJ1220">
        <v>5.5</v>
      </c>
      <c r="AK1220" t="s">
        <v>46</v>
      </c>
      <c r="AL1220" t="s">
        <v>100</v>
      </c>
      <c r="AM1220" t="s">
        <v>77</v>
      </c>
      <c r="AN1220">
        <v>6</v>
      </c>
      <c r="AO1220" t="s">
        <v>47</v>
      </c>
    </row>
    <row r="1221" spans="1:41">
      <c r="A1221" t="s">
        <v>1373</v>
      </c>
      <c r="B1221">
        <v>2024</v>
      </c>
      <c r="C1221" s="1">
        <v>45408</v>
      </c>
      <c r="D1221" t="s">
        <v>95</v>
      </c>
      <c r="E1221" t="s">
        <v>114</v>
      </c>
      <c r="F1221">
        <v>77</v>
      </c>
      <c r="G1221" t="s">
        <v>60</v>
      </c>
      <c r="H1221" t="s">
        <v>70</v>
      </c>
      <c r="I1221">
        <v>0</v>
      </c>
      <c r="J1221">
        <v>0</v>
      </c>
      <c r="K1221" t="s">
        <v>46</v>
      </c>
      <c r="L1221" t="s">
        <v>46</v>
      </c>
      <c r="M1221" t="s">
        <v>47</v>
      </c>
      <c r="N1221" t="s">
        <v>50</v>
      </c>
      <c r="O1221" t="s">
        <v>49</v>
      </c>
      <c r="P1221">
        <v>31</v>
      </c>
      <c r="Q1221" t="s">
        <v>62</v>
      </c>
      <c r="R1221" t="s">
        <v>47</v>
      </c>
      <c r="S1221" t="s">
        <v>47</v>
      </c>
      <c r="T1221" t="s">
        <v>47</v>
      </c>
      <c r="U1221" t="s">
        <v>47</v>
      </c>
      <c r="V1221" t="s">
        <v>86</v>
      </c>
      <c r="W1221" t="s">
        <v>46</v>
      </c>
      <c r="X1221" t="s">
        <v>46</v>
      </c>
      <c r="Y1221" t="s">
        <v>47</v>
      </c>
      <c r="Z1221" t="s">
        <v>47</v>
      </c>
      <c r="AA1221" t="s">
        <v>46</v>
      </c>
      <c r="AB1221" t="s">
        <v>46</v>
      </c>
      <c r="AC1221" t="s">
        <v>46</v>
      </c>
      <c r="AD1221" t="s">
        <v>47</v>
      </c>
      <c r="AE1221" t="s">
        <v>47</v>
      </c>
      <c r="AF1221" t="s">
        <v>46</v>
      </c>
      <c r="AG1221" t="s">
        <v>52</v>
      </c>
      <c r="AH1221" t="s">
        <v>53</v>
      </c>
      <c r="AI1221" t="s">
        <v>65</v>
      </c>
      <c r="AJ1221">
        <v>1.9</v>
      </c>
      <c r="AK1221" t="s">
        <v>47</v>
      </c>
      <c r="AL1221" t="s">
        <v>72</v>
      </c>
      <c r="AM1221" t="s">
        <v>67</v>
      </c>
      <c r="AN1221">
        <v>82</v>
      </c>
      <c r="AO1221" t="s">
        <v>46</v>
      </c>
    </row>
    <row r="1222" spans="1:41">
      <c r="A1222" t="s">
        <v>1374</v>
      </c>
      <c r="B1222">
        <v>2016</v>
      </c>
      <c r="C1222" s="1">
        <v>42655</v>
      </c>
      <c r="D1222" t="s">
        <v>58</v>
      </c>
      <c r="E1222" t="s">
        <v>220</v>
      </c>
      <c r="F1222">
        <v>68</v>
      </c>
      <c r="G1222" t="s">
        <v>60</v>
      </c>
      <c r="H1222" t="s">
        <v>45</v>
      </c>
      <c r="I1222">
        <v>35</v>
      </c>
      <c r="J1222">
        <v>41</v>
      </c>
      <c r="K1222" t="s">
        <v>46</v>
      </c>
      <c r="L1222" t="s">
        <v>47</v>
      </c>
      <c r="M1222" t="s">
        <v>47</v>
      </c>
      <c r="N1222" t="s">
        <v>48</v>
      </c>
      <c r="O1222" t="s">
        <v>48</v>
      </c>
      <c r="P1222">
        <v>24.1</v>
      </c>
      <c r="Q1222" t="s">
        <v>48</v>
      </c>
      <c r="R1222" t="s">
        <v>46</v>
      </c>
      <c r="S1222" t="s">
        <v>47</v>
      </c>
      <c r="T1222" t="s">
        <v>47</v>
      </c>
      <c r="U1222" t="s">
        <v>47</v>
      </c>
      <c r="V1222" t="s">
        <v>51</v>
      </c>
      <c r="W1222" t="s">
        <v>46</v>
      </c>
      <c r="X1222" t="s">
        <v>46</v>
      </c>
      <c r="Y1222" t="s">
        <v>46</v>
      </c>
      <c r="Z1222" t="s">
        <v>47</v>
      </c>
      <c r="AA1222" t="s">
        <v>46</v>
      </c>
      <c r="AB1222" t="s">
        <v>47</v>
      </c>
      <c r="AC1222" t="s">
        <v>46</v>
      </c>
      <c r="AD1222" t="s">
        <v>47</v>
      </c>
      <c r="AE1222" t="s">
        <v>47</v>
      </c>
      <c r="AF1222" t="s">
        <v>47</v>
      </c>
      <c r="AG1222" t="s">
        <v>52</v>
      </c>
      <c r="AH1222" t="s">
        <v>71</v>
      </c>
      <c r="AI1222" t="s">
        <v>54</v>
      </c>
      <c r="AJ1222">
        <v>12.9</v>
      </c>
      <c r="AK1222" t="s">
        <v>46</v>
      </c>
      <c r="AL1222" t="s">
        <v>66</v>
      </c>
      <c r="AM1222" t="s">
        <v>82</v>
      </c>
      <c r="AN1222">
        <v>11</v>
      </c>
      <c r="AO1222" t="s">
        <v>47</v>
      </c>
    </row>
    <row r="1223" spans="1:41">
      <c r="A1223" t="s">
        <v>1375</v>
      </c>
      <c r="B1223">
        <v>2022</v>
      </c>
      <c r="C1223" s="1">
        <v>44701</v>
      </c>
      <c r="D1223" t="s">
        <v>42</v>
      </c>
      <c r="E1223" t="s">
        <v>75</v>
      </c>
      <c r="F1223">
        <v>53</v>
      </c>
      <c r="G1223" t="s">
        <v>60</v>
      </c>
      <c r="H1223" t="s">
        <v>45</v>
      </c>
      <c r="I1223">
        <v>34</v>
      </c>
      <c r="J1223">
        <v>27</v>
      </c>
      <c r="K1223" t="s">
        <v>47</v>
      </c>
      <c r="L1223" t="s">
        <v>47</v>
      </c>
      <c r="M1223" t="s">
        <v>46</v>
      </c>
      <c r="N1223" t="s">
        <v>50</v>
      </c>
      <c r="O1223" t="s">
        <v>49</v>
      </c>
      <c r="P1223">
        <v>29.8</v>
      </c>
      <c r="Q1223" t="s">
        <v>50</v>
      </c>
      <c r="R1223" t="s">
        <v>47</v>
      </c>
      <c r="S1223" t="s">
        <v>47</v>
      </c>
      <c r="T1223" t="s">
        <v>47</v>
      </c>
      <c r="U1223" t="s">
        <v>47</v>
      </c>
      <c r="V1223" t="s">
        <v>51</v>
      </c>
      <c r="W1223" t="s">
        <v>46</v>
      </c>
      <c r="X1223" t="s">
        <v>46</v>
      </c>
      <c r="Y1223" t="s">
        <v>46</v>
      </c>
      <c r="Z1223" t="s">
        <v>47</v>
      </c>
      <c r="AA1223" t="s">
        <v>46</v>
      </c>
      <c r="AB1223" t="s">
        <v>47</v>
      </c>
      <c r="AC1223" t="s">
        <v>46</v>
      </c>
      <c r="AD1223" t="s">
        <v>47</v>
      </c>
      <c r="AE1223" t="s">
        <v>47</v>
      </c>
      <c r="AF1223" t="s">
        <v>46</v>
      </c>
      <c r="AG1223" t="s">
        <v>52</v>
      </c>
      <c r="AH1223" t="s">
        <v>71</v>
      </c>
      <c r="AI1223" t="s">
        <v>87</v>
      </c>
      <c r="AJ1223">
        <v>4.5</v>
      </c>
      <c r="AK1223" t="s">
        <v>47</v>
      </c>
      <c r="AL1223" t="s">
        <v>76</v>
      </c>
      <c r="AM1223" t="s">
        <v>67</v>
      </c>
      <c r="AN1223">
        <v>67</v>
      </c>
      <c r="AO1223" t="s">
        <v>46</v>
      </c>
    </row>
    <row r="1224" spans="1:41">
      <c r="A1224" t="s">
        <v>1376</v>
      </c>
      <c r="B1224">
        <v>2022</v>
      </c>
      <c r="C1224" s="1">
        <v>44631</v>
      </c>
      <c r="D1224" t="s">
        <v>42</v>
      </c>
      <c r="E1224" t="s">
        <v>247</v>
      </c>
      <c r="F1224">
        <v>52</v>
      </c>
      <c r="G1224" t="s">
        <v>44</v>
      </c>
      <c r="H1224" t="s">
        <v>70</v>
      </c>
      <c r="I1224">
        <v>0</v>
      </c>
      <c r="J1224">
        <v>0</v>
      </c>
      <c r="K1224" t="s">
        <v>46</v>
      </c>
      <c r="L1224" t="s">
        <v>46</v>
      </c>
      <c r="M1224" t="s">
        <v>47</v>
      </c>
      <c r="N1224" t="s">
        <v>50</v>
      </c>
      <c r="O1224" t="s">
        <v>49</v>
      </c>
      <c r="P1224">
        <v>16</v>
      </c>
      <c r="Q1224" t="s">
        <v>50</v>
      </c>
      <c r="R1224" t="s">
        <v>47</v>
      </c>
      <c r="S1224" t="s">
        <v>47</v>
      </c>
      <c r="T1224" t="s">
        <v>47</v>
      </c>
      <c r="U1224" t="s">
        <v>47</v>
      </c>
      <c r="V1224" t="s">
        <v>51</v>
      </c>
      <c r="W1224" t="s">
        <v>46</v>
      </c>
      <c r="X1224" t="s">
        <v>46</v>
      </c>
      <c r="Y1224" t="s">
        <v>47</v>
      </c>
      <c r="Z1224" t="s">
        <v>47</v>
      </c>
      <c r="AA1224" t="s">
        <v>46</v>
      </c>
      <c r="AB1224" t="s">
        <v>47</v>
      </c>
      <c r="AC1224" t="s">
        <v>47</v>
      </c>
      <c r="AD1224" t="s">
        <v>47</v>
      </c>
      <c r="AE1224" t="s">
        <v>47</v>
      </c>
      <c r="AF1224" t="s">
        <v>47</v>
      </c>
      <c r="AG1224" t="s">
        <v>52</v>
      </c>
      <c r="AH1224" t="s">
        <v>53</v>
      </c>
      <c r="AI1224" t="s">
        <v>80</v>
      </c>
      <c r="AJ1224">
        <v>3.3</v>
      </c>
      <c r="AK1224" t="s">
        <v>47</v>
      </c>
      <c r="AL1224" t="s">
        <v>76</v>
      </c>
      <c r="AM1224" t="s">
        <v>82</v>
      </c>
      <c r="AN1224">
        <v>17</v>
      </c>
      <c r="AO1224" t="s">
        <v>47</v>
      </c>
    </row>
    <row r="1225" spans="1:41">
      <c r="A1225" t="s">
        <v>1377</v>
      </c>
      <c r="B1225">
        <v>2022</v>
      </c>
      <c r="C1225" s="1">
        <v>44700</v>
      </c>
      <c r="D1225" t="s">
        <v>58</v>
      </c>
      <c r="E1225" t="s">
        <v>134</v>
      </c>
      <c r="F1225">
        <v>61</v>
      </c>
      <c r="G1225" t="s">
        <v>60</v>
      </c>
      <c r="H1225" t="s">
        <v>45</v>
      </c>
      <c r="I1225">
        <v>23</v>
      </c>
      <c r="J1225">
        <v>25</v>
      </c>
      <c r="K1225" t="s">
        <v>47</v>
      </c>
      <c r="L1225" t="s">
        <v>47</v>
      </c>
      <c r="M1225" t="s">
        <v>47</v>
      </c>
      <c r="N1225" t="s">
        <v>50</v>
      </c>
      <c r="O1225" t="s">
        <v>63</v>
      </c>
      <c r="P1225">
        <v>32.5</v>
      </c>
      <c r="Q1225" t="s">
        <v>62</v>
      </c>
      <c r="R1225" t="s">
        <v>46</v>
      </c>
      <c r="S1225" t="s">
        <v>47</v>
      </c>
      <c r="T1225" t="s">
        <v>46</v>
      </c>
      <c r="U1225" t="s">
        <v>46</v>
      </c>
      <c r="V1225" t="s">
        <v>64</v>
      </c>
      <c r="W1225" t="s">
        <v>47</v>
      </c>
      <c r="X1225" t="s">
        <v>46</v>
      </c>
      <c r="Y1225" t="s">
        <v>46</v>
      </c>
      <c r="Z1225" t="s">
        <v>47</v>
      </c>
      <c r="AA1225" t="s">
        <v>46</v>
      </c>
      <c r="AB1225" t="s">
        <v>46</v>
      </c>
      <c r="AC1225" t="s">
        <v>47</v>
      </c>
      <c r="AD1225" t="s">
        <v>47</v>
      </c>
      <c r="AE1225" t="s">
        <v>47</v>
      </c>
      <c r="AF1225" t="s">
        <v>47</v>
      </c>
      <c r="AG1225" t="s">
        <v>121</v>
      </c>
      <c r="AH1225" t="s">
        <v>122</v>
      </c>
      <c r="AI1225" t="s">
        <v>54</v>
      </c>
      <c r="AJ1225">
        <v>6.7</v>
      </c>
      <c r="AK1225" t="s">
        <v>46</v>
      </c>
      <c r="AL1225" t="s">
        <v>76</v>
      </c>
      <c r="AM1225" t="s">
        <v>82</v>
      </c>
      <c r="AN1225">
        <v>4</v>
      </c>
      <c r="AO1225" t="s">
        <v>47</v>
      </c>
    </row>
    <row r="1226" spans="1:41">
      <c r="A1226" t="s">
        <v>1378</v>
      </c>
      <c r="B1226">
        <v>2019</v>
      </c>
      <c r="C1226" s="1">
        <v>43730</v>
      </c>
      <c r="D1226" t="s">
        <v>84</v>
      </c>
      <c r="E1226" t="s">
        <v>85</v>
      </c>
      <c r="F1226">
        <v>53</v>
      </c>
      <c r="G1226" t="s">
        <v>60</v>
      </c>
      <c r="H1226" t="s">
        <v>70</v>
      </c>
      <c r="I1226">
        <v>0</v>
      </c>
      <c r="J1226">
        <v>0</v>
      </c>
      <c r="K1226" t="s">
        <v>46</v>
      </c>
      <c r="L1226" t="s">
        <v>46</v>
      </c>
      <c r="M1226" t="s">
        <v>47</v>
      </c>
      <c r="N1226" t="s">
        <v>62</v>
      </c>
      <c r="O1226" t="s">
        <v>48</v>
      </c>
      <c r="P1226">
        <v>21.3</v>
      </c>
      <c r="Q1226" t="s">
        <v>50</v>
      </c>
      <c r="R1226" t="s">
        <v>47</v>
      </c>
      <c r="S1226" t="s">
        <v>46</v>
      </c>
      <c r="T1226" t="s">
        <v>47</v>
      </c>
      <c r="U1226" t="s">
        <v>47</v>
      </c>
      <c r="V1226" t="s">
        <v>151</v>
      </c>
      <c r="W1226" t="s">
        <v>46</v>
      </c>
      <c r="X1226" t="s">
        <v>46</v>
      </c>
      <c r="Y1226" t="s">
        <v>47</v>
      </c>
      <c r="Z1226" t="s">
        <v>47</v>
      </c>
      <c r="AA1226" t="s">
        <v>46</v>
      </c>
      <c r="AB1226" t="s">
        <v>46</v>
      </c>
      <c r="AC1226" t="s">
        <v>47</v>
      </c>
      <c r="AD1226" t="s">
        <v>47</v>
      </c>
      <c r="AE1226" t="s">
        <v>47</v>
      </c>
      <c r="AF1226" t="s">
        <v>46</v>
      </c>
      <c r="AG1226" t="s">
        <v>52</v>
      </c>
      <c r="AH1226" t="s">
        <v>53</v>
      </c>
      <c r="AI1226" t="s">
        <v>54</v>
      </c>
      <c r="AJ1226">
        <v>7.9</v>
      </c>
      <c r="AK1226" t="s">
        <v>46</v>
      </c>
      <c r="AL1226" t="s">
        <v>100</v>
      </c>
      <c r="AM1226" t="s">
        <v>56</v>
      </c>
      <c r="AN1226">
        <v>12</v>
      </c>
      <c r="AO1226" t="s">
        <v>47</v>
      </c>
    </row>
    <row r="1227" spans="1:41">
      <c r="A1227" t="s">
        <v>1379</v>
      </c>
      <c r="B1227">
        <v>2020</v>
      </c>
      <c r="C1227" s="1">
        <v>43915</v>
      </c>
      <c r="D1227" t="s">
        <v>84</v>
      </c>
      <c r="E1227" t="s">
        <v>102</v>
      </c>
      <c r="F1227">
        <v>50</v>
      </c>
      <c r="G1227" t="s">
        <v>44</v>
      </c>
      <c r="H1227" t="s">
        <v>70</v>
      </c>
      <c r="I1227">
        <v>0</v>
      </c>
      <c r="J1227">
        <v>0</v>
      </c>
      <c r="K1227" t="s">
        <v>47</v>
      </c>
      <c r="L1227" t="s">
        <v>47</v>
      </c>
      <c r="M1227" t="s">
        <v>47</v>
      </c>
      <c r="N1227" t="s">
        <v>62</v>
      </c>
      <c r="O1227" t="s">
        <v>49</v>
      </c>
      <c r="P1227">
        <v>27.5</v>
      </c>
      <c r="Q1227" t="s">
        <v>48</v>
      </c>
      <c r="R1227" t="s">
        <v>47</v>
      </c>
      <c r="S1227" t="s">
        <v>47</v>
      </c>
      <c r="T1227" t="s">
        <v>47</v>
      </c>
      <c r="U1227" t="s">
        <v>47</v>
      </c>
      <c r="V1227" t="s">
        <v>117</v>
      </c>
      <c r="W1227" t="s">
        <v>46</v>
      </c>
      <c r="X1227" t="s">
        <v>46</v>
      </c>
      <c r="Y1227" t="s">
        <v>47</v>
      </c>
      <c r="Z1227" t="s">
        <v>47</v>
      </c>
      <c r="AA1227" t="s">
        <v>46</v>
      </c>
      <c r="AB1227" t="s">
        <v>47</v>
      </c>
      <c r="AC1227" t="s">
        <v>46</v>
      </c>
      <c r="AD1227" t="s">
        <v>47</v>
      </c>
      <c r="AE1227" t="s">
        <v>47</v>
      </c>
      <c r="AF1227" t="s">
        <v>47</v>
      </c>
      <c r="AG1227" t="s">
        <v>52</v>
      </c>
      <c r="AH1227" t="s">
        <v>53</v>
      </c>
      <c r="AI1227" t="s">
        <v>80</v>
      </c>
      <c r="AJ1227">
        <v>9.1</v>
      </c>
      <c r="AK1227" t="s">
        <v>47</v>
      </c>
      <c r="AL1227" t="s">
        <v>55</v>
      </c>
      <c r="AM1227" t="s">
        <v>56</v>
      </c>
      <c r="AN1227">
        <v>5</v>
      </c>
      <c r="AO1227" t="s">
        <v>47</v>
      </c>
    </row>
    <row r="1228" spans="1:41">
      <c r="A1228" t="s">
        <v>1380</v>
      </c>
      <c r="B1228">
        <v>2020</v>
      </c>
      <c r="C1228" s="1">
        <v>43839</v>
      </c>
      <c r="D1228" t="s">
        <v>95</v>
      </c>
      <c r="E1228" t="s">
        <v>105</v>
      </c>
      <c r="F1228">
        <v>69</v>
      </c>
      <c r="G1228" t="s">
        <v>60</v>
      </c>
      <c r="H1228" t="s">
        <v>70</v>
      </c>
      <c r="I1228">
        <v>0</v>
      </c>
      <c r="J1228">
        <v>0</v>
      </c>
      <c r="K1228" t="s">
        <v>47</v>
      </c>
      <c r="L1228" t="s">
        <v>47</v>
      </c>
      <c r="M1228" t="s">
        <v>47</v>
      </c>
      <c r="N1228" t="s">
        <v>48</v>
      </c>
      <c r="O1228" t="s">
        <v>49</v>
      </c>
      <c r="P1228">
        <v>28.4</v>
      </c>
      <c r="Q1228" t="s">
        <v>48</v>
      </c>
      <c r="R1228" t="s">
        <v>46</v>
      </c>
      <c r="S1228" t="s">
        <v>46</v>
      </c>
      <c r="T1228" t="s">
        <v>47</v>
      </c>
      <c r="U1228" t="s">
        <v>47</v>
      </c>
      <c r="V1228" t="s">
        <v>112</v>
      </c>
      <c r="W1228" t="s">
        <v>47</v>
      </c>
      <c r="X1228" t="s">
        <v>47</v>
      </c>
      <c r="Y1228" t="s">
        <v>47</v>
      </c>
      <c r="Z1228" t="s">
        <v>46</v>
      </c>
      <c r="AA1228" t="s">
        <v>47</v>
      </c>
      <c r="AB1228" t="s">
        <v>47</v>
      </c>
      <c r="AC1228" t="s">
        <v>47</v>
      </c>
      <c r="AD1228" t="s">
        <v>46</v>
      </c>
      <c r="AE1228" t="s">
        <v>47</v>
      </c>
      <c r="AF1228" t="s">
        <v>47</v>
      </c>
      <c r="AG1228" t="s">
        <v>52</v>
      </c>
      <c r="AH1228" t="s">
        <v>53</v>
      </c>
      <c r="AI1228" t="s">
        <v>54</v>
      </c>
      <c r="AJ1228">
        <v>7.4</v>
      </c>
      <c r="AK1228" t="s">
        <v>46</v>
      </c>
      <c r="AL1228" t="s">
        <v>76</v>
      </c>
      <c r="AM1228" t="s">
        <v>77</v>
      </c>
      <c r="AN1228">
        <v>1</v>
      </c>
      <c r="AO1228" t="s">
        <v>47</v>
      </c>
    </row>
    <row r="1229" spans="1:41">
      <c r="A1229" t="s">
        <v>1381</v>
      </c>
      <c r="B1229">
        <v>2019</v>
      </c>
      <c r="C1229" s="1">
        <v>43827</v>
      </c>
      <c r="D1229" t="s">
        <v>110</v>
      </c>
      <c r="E1229" t="s">
        <v>294</v>
      </c>
      <c r="F1229">
        <v>39</v>
      </c>
      <c r="G1229" t="s">
        <v>44</v>
      </c>
      <c r="H1229" t="s">
        <v>70</v>
      </c>
      <c r="I1229">
        <v>0</v>
      </c>
      <c r="J1229">
        <v>0</v>
      </c>
      <c r="K1229" t="s">
        <v>46</v>
      </c>
      <c r="L1229" t="s">
        <v>46</v>
      </c>
      <c r="M1229" t="s">
        <v>47</v>
      </c>
      <c r="N1229" t="s">
        <v>48</v>
      </c>
      <c r="O1229" t="s">
        <v>48</v>
      </c>
      <c r="P1229">
        <v>26.5</v>
      </c>
      <c r="Q1229" t="s">
        <v>62</v>
      </c>
      <c r="R1229" t="s">
        <v>47</v>
      </c>
      <c r="S1229" t="s">
        <v>47</v>
      </c>
      <c r="T1229" t="s">
        <v>47</v>
      </c>
      <c r="U1229" t="s">
        <v>47</v>
      </c>
      <c r="V1229" t="s">
        <v>51</v>
      </c>
      <c r="W1229" t="s">
        <v>47</v>
      </c>
      <c r="X1229" t="s">
        <v>47</v>
      </c>
      <c r="Y1229" t="s">
        <v>47</v>
      </c>
      <c r="Z1229" t="s">
        <v>47</v>
      </c>
      <c r="AA1229" t="s">
        <v>46</v>
      </c>
      <c r="AB1229" t="s">
        <v>46</v>
      </c>
      <c r="AC1229" t="s">
        <v>47</v>
      </c>
      <c r="AD1229" t="s">
        <v>46</v>
      </c>
      <c r="AE1229" t="s">
        <v>47</v>
      </c>
      <c r="AF1229" t="s">
        <v>47</v>
      </c>
      <c r="AG1229" t="s">
        <v>52</v>
      </c>
      <c r="AH1229" t="s">
        <v>53</v>
      </c>
      <c r="AI1229" t="s">
        <v>80</v>
      </c>
      <c r="AJ1229">
        <v>6</v>
      </c>
      <c r="AK1229" t="s">
        <v>47</v>
      </c>
      <c r="AL1229" t="s">
        <v>100</v>
      </c>
      <c r="AM1229" t="s">
        <v>118</v>
      </c>
      <c r="AN1229">
        <v>35</v>
      </c>
      <c r="AO1229" t="s">
        <v>47</v>
      </c>
    </row>
    <row r="1230" spans="1:41">
      <c r="A1230" t="s">
        <v>1382</v>
      </c>
      <c r="B1230">
        <v>2022</v>
      </c>
      <c r="C1230" s="1">
        <v>44656</v>
      </c>
      <c r="D1230" t="s">
        <v>42</v>
      </c>
      <c r="E1230" t="s">
        <v>136</v>
      </c>
      <c r="F1230">
        <v>54</v>
      </c>
      <c r="G1230" t="s">
        <v>60</v>
      </c>
      <c r="H1230" t="s">
        <v>45</v>
      </c>
      <c r="I1230">
        <v>22</v>
      </c>
      <c r="J1230">
        <v>31</v>
      </c>
      <c r="K1230" t="s">
        <v>47</v>
      </c>
      <c r="L1230" t="s">
        <v>47</v>
      </c>
      <c r="M1230" t="s">
        <v>47</v>
      </c>
      <c r="N1230" t="s">
        <v>50</v>
      </c>
      <c r="O1230" t="s">
        <v>49</v>
      </c>
      <c r="P1230">
        <v>25.6</v>
      </c>
      <c r="Q1230" t="s">
        <v>48</v>
      </c>
      <c r="R1230" t="s">
        <v>47</v>
      </c>
      <c r="S1230" t="s">
        <v>47</v>
      </c>
      <c r="T1230" t="s">
        <v>47</v>
      </c>
      <c r="U1230" t="s">
        <v>47</v>
      </c>
      <c r="V1230" t="s">
        <v>51</v>
      </c>
      <c r="W1230" t="s">
        <v>47</v>
      </c>
      <c r="X1230" t="s">
        <v>46</v>
      </c>
      <c r="Y1230" t="s">
        <v>47</v>
      </c>
      <c r="Z1230" t="s">
        <v>46</v>
      </c>
      <c r="AA1230" t="s">
        <v>46</v>
      </c>
      <c r="AB1230" t="s">
        <v>47</v>
      </c>
      <c r="AC1230" t="s">
        <v>47</v>
      </c>
      <c r="AD1230" t="s">
        <v>47</v>
      </c>
      <c r="AE1230" t="s">
        <v>47</v>
      </c>
      <c r="AF1230" t="s">
        <v>47</v>
      </c>
      <c r="AG1230" t="s">
        <v>52</v>
      </c>
      <c r="AH1230" t="s">
        <v>71</v>
      </c>
      <c r="AI1230" t="s">
        <v>54</v>
      </c>
      <c r="AJ1230">
        <v>6.7</v>
      </c>
      <c r="AK1230" t="s">
        <v>46</v>
      </c>
      <c r="AL1230" t="s">
        <v>100</v>
      </c>
      <c r="AM1230" t="s">
        <v>77</v>
      </c>
      <c r="AN1230">
        <v>4</v>
      </c>
      <c r="AO1230" t="s">
        <v>47</v>
      </c>
    </row>
    <row r="1231" spans="1:41">
      <c r="A1231" t="s">
        <v>1383</v>
      </c>
      <c r="B1231">
        <v>2018</v>
      </c>
      <c r="C1231" s="1">
        <v>43215</v>
      </c>
      <c r="D1231" t="s">
        <v>95</v>
      </c>
      <c r="E1231" t="s">
        <v>145</v>
      </c>
      <c r="F1231">
        <v>77</v>
      </c>
      <c r="G1231" t="s">
        <v>60</v>
      </c>
      <c r="H1231" t="s">
        <v>61</v>
      </c>
      <c r="I1231">
        <v>29</v>
      </c>
      <c r="J1231">
        <v>15</v>
      </c>
      <c r="K1231" t="s">
        <v>47</v>
      </c>
      <c r="L1231" t="s">
        <v>46</v>
      </c>
      <c r="M1231" t="s">
        <v>47</v>
      </c>
      <c r="N1231" t="s">
        <v>50</v>
      </c>
      <c r="O1231" t="s">
        <v>48</v>
      </c>
      <c r="P1231">
        <v>24.9</v>
      </c>
      <c r="Q1231" t="s">
        <v>50</v>
      </c>
      <c r="R1231" t="s">
        <v>47</v>
      </c>
      <c r="S1231" t="s">
        <v>47</v>
      </c>
      <c r="T1231" t="s">
        <v>47</v>
      </c>
      <c r="U1231" t="s">
        <v>47</v>
      </c>
      <c r="V1231" t="s">
        <v>64</v>
      </c>
      <c r="W1231" t="s">
        <v>46</v>
      </c>
      <c r="X1231" t="s">
        <v>46</v>
      </c>
      <c r="Y1231" t="s">
        <v>47</v>
      </c>
      <c r="Z1231" t="s">
        <v>46</v>
      </c>
      <c r="AA1231" t="s">
        <v>47</v>
      </c>
      <c r="AB1231" t="s">
        <v>46</v>
      </c>
      <c r="AC1231" t="s">
        <v>46</v>
      </c>
      <c r="AD1231" t="s">
        <v>47</v>
      </c>
      <c r="AE1231" t="s">
        <v>46</v>
      </c>
      <c r="AF1231" t="s">
        <v>47</v>
      </c>
      <c r="AG1231" t="s">
        <v>52</v>
      </c>
      <c r="AH1231" t="s">
        <v>71</v>
      </c>
      <c r="AI1231" t="s">
        <v>80</v>
      </c>
      <c r="AJ1231">
        <v>4</v>
      </c>
      <c r="AK1231" t="s">
        <v>47</v>
      </c>
      <c r="AL1231" t="s">
        <v>66</v>
      </c>
      <c r="AM1231" t="s">
        <v>77</v>
      </c>
      <c r="AN1231">
        <v>20</v>
      </c>
      <c r="AO1231" t="s">
        <v>47</v>
      </c>
    </row>
    <row r="1232" spans="1:41">
      <c r="A1232" t="s">
        <v>1384</v>
      </c>
      <c r="B1232">
        <v>2021</v>
      </c>
      <c r="C1232" s="1">
        <v>44413</v>
      </c>
      <c r="D1232" t="s">
        <v>58</v>
      </c>
      <c r="E1232" t="s">
        <v>163</v>
      </c>
      <c r="F1232">
        <v>56</v>
      </c>
      <c r="G1232" t="s">
        <v>44</v>
      </c>
      <c r="H1232" t="s">
        <v>70</v>
      </c>
      <c r="I1232">
        <v>0</v>
      </c>
      <c r="J1232">
        <v>0</v>
      </c>
      <c r="K1232" t="s">
        <v>47</v>
      </c>
      <c r="L1232" t="s">
        <v>46</v>
      </c>
      <c r="M1232" t="s">
        <v>46</v>
      </c>
      <c r="N1232" t="s">
        <v>48</v>
      </c>
      <c r="O1232" t="s">
        <v>48</v>
      </c>
      <c r="P1232">
        <v>29.2</v>
      </c>
      <c r="Q1232" t="s">
        <v>50</v>
      </c>
      <c r="R1232" t="s">
        <v>47</v>
      </c>
      <c r="S1232" t="s">
        <v>47</v>
      </c>
      <c r="T1232" t="s">
        <v>47</v>
      </c>
      <c r="U1232" t="s">
        <v>47</v>
      </c>
      <c r="V1232" t="s">
        <v>51</v>
      </c>
      <c r="W1232" t="s">
        <v>47</v>
      </c>
      <c r="X1232" t="s">
        <v>47</v>
      </c>
      <c r="Y1232" t="s">
        <v>46</v>
      </c>
      <c r="Z1232" t="s">
        <v>46</v>
      </c>
      <c r="AA1232" t="s">
        <v>46</v>
      </c>
      <c r="AB1232" t="s">
        <v>47</v>
      </c>
      <c r="AC1232" t="s">
        <v>47</v>
      </c>
      <c r="AD1232" t="s">
        <v>47</v>
      </c>
      <c r="AE1232" t="s">
        <v>46</v>
      </c>
      <c r="AF1232" t="s">
        <v>47</v>
      </c>
      <c r="AG1232" t="s">
        <v>52</v>
      </c>
      <c r="AH1232" t="s">
        <v>90</v>
      </c>
      <c r="AI1232" t="s">
        <v>80</v>
      </c>
      <c r="AJ1232">
        <v>6.3</v>
      </c>
      <c r="AK1232" t="s">
        <v>47</v>
      </c>
      <c r="AL1232" t="s">
        <v>66</v>
      </c>
      <c r="AM1232" t="s">
        <v>82</v>
      </c>
      <c r="AN1232">
        <v>19</v>
      </c>
      <c r="AO1232" t="s">
        <v>47</v>
      </c>
    </row>
    <row r="1233" spans="1:41">
      <c r="A1233" t="s">
        <v>1385</v>
      </c>
      <c r="B1233">
        <v>2025</v>
      </c>
      <c r="C1233" s="1">
        <v>45970</v>
      </c>
      <c r="D1233" t="s">
        <v>95</v>
      </c>
      <c r="E1233" t="s">
        <v>145</v>
      </c>
      <c r="F1233">
        <v>71</v>
      </c>
      <c r="G1233" t="s">
        <v>60</v>
      </c>
      <c r="H1233" t="s">
        <v>45</v>
      </c>
      <c r="I1233">
        <v>37</v>
      </c>
      <c r="J1233">
        <v>26</v>
      </c>
      <c r="K1233" t="s">
        <v>47</v>
      </c>
      <c r="L1233" t="s">
        <v>47</v>
      </c>
      <c r="M1233" t="s">
        <v>47</v>
      </c>
      <c r="N1233" t="s">
        <v>62</v>
      </c>
      <c r="O1233" t="s">
        <v>49</v>
      </c>
      <c r="P1233">
        <v>32.799999999999997</v>
      </c>
      <c r="Q1233" t="s">
        <v>48</v>
      </c>
      <c r="R1233" t="s">
        <v>46</v>
      </c>
      <c r="S1233" t="s">
        <v>47</v>
      </c>
      <c r="T1233" t="s">
        <v>47</v>
      </c>
      <c r="U1233" t="s">
        <v>47</v>
      </c>
      <c r="V1233" t="s">
        <v>151</v>
      </c>
      <c r="W1233" t="s">
        <v>46</v>
      </c>
      <c r="X1233" t="s">
        <v>46</v>
      </c>
      <c r="Y1233" t="s">
        <v>47</v>
      </c>
      <c r="Z1233" t="s">
        <v>46</v>
      </c>
      <c r="AA1233" t="s">
        <v>46</v>
      </c>
      <c r="AB1233" t="s">
        <v>47</v>
      </c>
      <c r="AC1233" t="s">
        <v>47</v>
      </c>
      <c r="AD1233" t="s">
        <v>46</v>
      </c>
      <c r="AE1233" t="s">
        <v>47</v>
      </c>
      <c r="AF1233" t="s">
        <v>47</v>
      </c>
      <c r="AG1233" t="s">
        <v>52</v>
      </c>
      <c r="AH1233" t="s">
        <v>71</v>
      </c>
      <c r="AI1233" t="s">
        <v>54</v>
      </c>
      <c r="AJ1233">
        <v>8.1999999999999993</v>
      </c>
      <c r="AK1233" t="s">
        <v>46</v>
      </c>
      <c r="AL1233" t="s">
        <v>76</v>
      </c>
      <c r="AM1233" t="s">
        <v>82</v>
      </c>
      <c r="AN1233">
        <v>4</v>
      </c>
      <c r="AO1233" t="s">
        <v>47</v>
      </c>
    </row>
    <row r="1234" spans="1:41">
      <c r="A1234" t="s">
        <v>1386</v>
      </c>
      <c r="B1234">
        <v>2016</v>
      </c>
      <c r="C1234" s="1">
        <v>42566</v>
      </c>
      <c r="D1234" t="s">
        <v>110</v>
      </c>
      <c r="E1234" t="s">
        <v>227</v>
      </c>
      <c r="F1234">
        <v>51</v>
      </c>
      <c r="G1234" t="s">
        <v>60</v>
      </c>
      <c r="H1234" t="s">
        <v>61</v>
      </c>
      <c r="I1234">
        <v>15</v>
      </c>
      <c r="J1234">
        <v>18</v>
      </c>
      <c r="K1234" t="s">
        <v>47</v>
      </c>
      <c r="L1234" t="s">
        <v>46</v>
      </c>
      <c r="M1234" t="s">
        <v>47</v>
      </c>
      <c r="N1234" t="s">
        <v>62</v>
      </c>
      <c r="O1234" t="s">
        <v>48</v>
      </c>
      <c r="P1234">
        <v>23.1</v>
      </c>
      <c r="Q1234" t="s">
        <v>48</v>
      </c>
      <c r="R1234" t="s">
        <v>46</v>
      </c>
      <c r="S1234" t="s">
        <v>47</v>
      </c>
      <c r="T1234" t="s">
        <v>46</v>
      </c>
      <c r="U1234" t="s">
        <v>47</v>
      </c>
      <c r="V1234" t="s">
        <v>151</v>
      </c>
      <c r="W1234" t="s">
        <v>47</v>
      </c>
      <c r="X1234" t="s">
        <v>46</v>
      </c>
      <c r="Y1234" t="s">
        <v>47</v>
      </c>
      <c r="Z1234" t="s">
        <v>47</v>
      </c>
      <c r="AA1234" t="s">
        <v>46</v>
      </c>
      <c r="AB1234" t="s">
        <v>46</v>
      </c>
      <c r="AC1234" t="s">
        <v>46</v>
      </c>
      <c r="AD1234" t="s">
        <v>46</v>
      </c>
      <c r="AE1234" t="s">
        <v>46</v>
      </c>
      <c r="AF1234" t="s">
        <v>47</v>
      </c>
      <c r="AG1234" t="s">
        <v>52</v>
      </c>
      <c r="AH1234" t="s">
        <v>90</v>
      </c>
      <c r="AI1234" t="s">
        <v>80</v>
      </c>
      <c r="AJ1234">
        <v>7.1</v>
      </c>
      <c r="AK1234" t="s">
        <v>47</v>
      </c>
      <c r="AL1234" t="s">
        <v>76</v>
      </c>
      <c r="AM1234" t="s">
        <v>67</v>
      </c>
      <c r="AN1234">
        <v>21</v>
      </c>
      <c r="AO1234" t="s">
        <v>47</v>
      </c>
    </row>
    <row r="1235" spans="1:41">
      <c r="A1235" t="s">
        <v>1387</v>
      </c>
      <c r="B1235">
        <v>2017</v>
      </c>
      <c r="C1235" s="1">
        <v>43065</v>
      </c>
      <c r="D1235" t="s">
        <v>98</v>
      </c>
      <c r="E1235" t="s">
        <v>263</v>
      </c>
      <c r="F1235">
        <v>42</v>
      </c>
      <c r="G1235" t="s">
        <v>44</v>
      </c>
      <c r="H1235" t="s">
        <v>70</v>
      </c>
      <c r="I1235">
        <v>0</v>
      </c>
      <c r="J1235">
        <v>0</v>
      </c>
      <c r="K1235" t="s">
        <v>47</v>
      </c>
      <c r="L1235" t="s">
        <v>47</v>
      </c>
      <c r="M1235" t="s">
        <v>47</v>
      </c>
      <c r="N1235" t="s">
        <v>50</v>
      </c>
      <c r="O1235" t="s">
        <v>48</v>
      </c>
      <c r="P1235">
        <v>28.1</v>
      </c>
      <c r="Q1235" t="s">
        <v>62</v>
      </c>
      <c r="R1235" t="s">
        <v>47</v>
      </c>
      <c r="S1235" t="s">
        <v>47</v>
      </c>
      <c r="T1235" t="s">
        <v>47</v>
      </c>
      <c r="U1235" t="s">
        <v>46</v>
      </c>
      <c r="V1235" t="s">
        <v>51</v>
      </c>
      <c r="W1235" t="s">
        <v>46</v>
      </c>
      <c r="X1235" t="s">
        <v>47</v>
      </c>
      <c r="Y1235" t="s">
        <v>47</v>
      </c>
      <c r="Z1235" t="s">
        <v>47</v>
      </c>
      <c r="AA1235" t="s">
        <v>47</v>
      </c>
      <c r="AB1235" t="s">
        <v>47</v>
      </c>
      <c r="AC1235" t="s">
        <v>47</v>
      </c>
      <c r="AD1235" t="s">
        <v>47</v>
      </c>
      <c r="AE1235" t="s">
        <v>47</v>
      </c>
      <c r="AF1235" t="s">
        <v>47</v>
      </c>
      <c r="AG1235" t="s">
        <v>52</v>
      </c>
      <c r="AH1235" t="s">
        <v>71</v>
      </c>
      <c r="AI1235" t="s">
        <v>87</v>
      </c>
      <c r="AJ1235">
        <v>7</v>
      </c>
      <c r="AK1235" t="s">
        <v>47</v>
      </c>
      <c r="AL1235" t="s">
        <v>76</v>
      </c>
      <c r="AM1235" t="s">
        <v>118</v>
      </c>
      <c r="AN1235">
        <v>33</v>
      </c>
      <c r="AO1235" t="s">
        <v>46</v>
      </c>
    </row>
    <row r="1236" spans="1:41">
      <c r="A1236" t="s">
        <v>1388</v>
      </c>
      <c r="B1236">
        <v>2025</v>
      </c>
      <c r="C1236" s="1">
        <v>45855</v>
      </c>
      <c r="D1236" t="s">
        <v>95</v>
      </c>
      <c r="E1236" t="s">
        <v>130</v>
      </c>
      <c r="F1236">
        <v>49</v>
      </c>
      <c r="G1236" t="s">
        <v>60</v>
      </c>
      <c r="H1236" t="s">
        <v>70</v>
      </c>
      <c r="I1236">
        <v>0</v>
      </c>
      <c r="J1236">
        <v>0</v>
      </c>
      <c r="K1236" t="s">
        <v>46</v>
      </c>
      <c r="L1236" t="s">
        <v>47</v>
      </c>
      <c r="M1236" t="s">
        <v>46</v>
      </c>
      <c r="N1236" t="s">
        <v>48</v>
      </c>
      <c r="O1236" t="s">
        <v>49</v>
      </c>
      <c r="P1236">
        <v>23.3</v>
      </c>
      <c r="Q1236" t="s">
        <v>50</v>
      </c>
      <c r="R1236" t="s">
        <v>47</v>
      </c>
      <c r="S1236" t="s">
        <v>47</v>
      </c>
      <c r="T1236" t="s">
        <v>47</v>
      </c>
      <c r="U1236" t="s">
        <v>47</v>
      </c>
      <c r="V1236" t="s">
        <v>117</v>
      </c>
      <c r="W1236" t="s">
        <v>47</v>
      </c>
      <c r="X1236" t="s">
        <v>47</v>
      </c>
      <c r="Y1236" t="s">
        <v>47</v>
      </c>
      <c r="Z1236" t="s">
        <v>47</v>
      </c>
      <c r="AA1236" t="s">
        <v>47</v>
      </c>
      <c r="AB1236" t="s">
        <v>47</v>
      </c>
      <c r="AC1236" t="s">
        <v>47</v>
      </c>
      <c r="AD1236" t="s">
        <v>46</v>
      </c>
      <c r="AE1236" t="s">
        <v>46</v>
      </c>
      <c r="AF1236" t="s">
        <v>47</v>
      </c>
      <c r="AG1236" t="s">
        <v>52</v>
      </c>
      <c r="AH1236" t="s">
        <v>53</v>
      </c>
      <c r="AI1236" t="s">
        <v>80</v>
      </c>
      <c r="AJ1236">
        <v>3</v>
      </c>
      <c r="AK1236" t="s">
        <v>46</v>
      </c>
      <c r="AL1236" t="s">
        <v>55</v>
      </c>
      <c r="AM1236" t="s">
        <v>77</v>
      </c>
      <c r="AN1236">
        <v>17</v>
      </c>
      <c r="AO1236" t="s">
        <v>46</v>
      </c>
    </row>
    <row r="1237" spans="1:41">
      <c r="A1237" t="s">
        <v>1389</v>
      </c>
      <c r="B1237">
        <v>2021</v>
      </c>
      <c r="C1237" s="1">
        <v>44542</v>
      </c>
      <c r="D1237" t="s">
        <v>95</v>
      </c>
      <c r="E1237" t="s">
        <v>96</v>
      </c>
      <c r="F1237">
        <v>65</v>
      </c>
      <c r="G1237" t="s">
        <v>44</v>
      </c>
      <c r="H1237" t="s">
        <v>70</v>
      </c>
      <c r="I1237">
        <v>0</v>
      </c>
      <c r="J1237">
        <v>0</v>
      </c>
      <c r="K1237" t="s">
        <v>46</v>
      </c>
      <c r="L1237" t="s">
        <v>47</v>
      </c>
      <c r="M1237" t="s">
        <v>47</v>
      </c>
      <c r="N1237" t="s">
        <v>48</v>
      </c>
      <c r="O1237" t="s">
        <v>49</v>
      </c>
      <c r="P1237">
        <v>23.3</v>
      </c>
      <c r="Q1237" t="s">
        <v>62</v>
      </c>
      <c r="R1237" t="s">
        <v>47</v>
      </c>
      <c r="S1237" t="s">
        <v>47</v>
      </c>
      <c r="T1237" t="s">
        <v>47</v>
      </c>
      <c r="U1237" t="s">
        <v>46</v>
      </c>
      <c r="V1237" t="s">
        <v>86</v>
      </c>
      <c r="W1237" t="s">
        <v>47</v>
      </c>
      <c r="X1237" t="s">
        <v>46</v>
      </c>
      <c r="Y1237" t="s">
        <v>47</v>
      </c>
      <c r="Z1237" t="s">
        <v>47</v>
      </c>
      <c r="AA1237" t="s">
        <v>46</v>
      </c>
      <c r="AB1237" t="s">
        <v>47</v>
      </c>
      <c r="AC1237" t="s">
        <v>47</v>
      </c>
      <c r="AD1237" t="s">
        <v>46</v>
      </c>
      <c r="AE1237" t="s">
        <v>46</v>
      </c>
      <c r="AF1237" t="s">
        <v>47</v>
      </c>
      <c r="AG1237" t="s">
        <v>121</v>
      </c>
      <c r="AH1237" t="s">
        <v>122</v>
      </c>
      <c r="AI1237" t="s">
        <v>54</v>
      </c>
      <c r="AJ1237">
        <v>9.3000000000000007</v>
      </c>
      <c r="AK1237" t="s">
        <v>46</v>
      </c>
      <c r="AL1237" t="s">
        <v>81</v>
      </c>
      <c r="AM1237" t="s">
        <v>118</v>
      </c>
      <c r="AN1237">
        <v>8</v>
      </c>
      <c r="AO1237" t="s">
        <v>47</v>
      </c>
    </row>
    <row r="1238" spans="1:41">
      <c r="A1238" t="s">
        <v>1390</v>
      </c>
      <c r="B1238">
        <v>2023</v>
      </c>
      <c r="C1238" s="1">
        <v>45149</v>
      </c>
      <c r="D1238" t="s">
        <v>42</v>
      </c>
      <c r="E1238" t="s">
        <v>154</v>
      </c>
      <c r="F1238">
        <v>54</v>
      </c>
      <c r="G1238" t="s">
        <v>60</v>
      </c>
      <c r="H1238" t="s">
        <v>45</v>
      </c>
      <c r="I1238">
        <v>16</v>
      </c>
      <c r="J1238">
        <v>19</v>
      </c>
      <c r="K1238" t="s">
        <v>47</v>
      </c>
      <c r="L1238" t="s">
        <v>47</v>
      </c>
      <c r="M1238" t="s">
        <v>47</v>
      </c>
      <c r="N1238" t="s">
        <v>50</v>
      </c>
      <c r="O1238" t="s">
        <v>49</v>
      </c>
      <c r="P1238">
        <v>21.2</v>
      </c>
      <c r="Q1238" t="s">
        <v>50</v>
      </c>
      <c r="R1238" t="s">
        <v>47</v>
      </c>
      <c r="S1238" t="s">
        <v>47</v>
      </c>
      <c r="T1238" t="s">
        <v>47</v>
      </c>
      <c r="U1238" t="s">
        <v>47</v>
      </c>
      <c r="V1238" t="s">
        <v>86</v>
      </c>
      <c r="W1238" t="s">
        <v>46</v>
      </c>
      <c r="X1238" t="s">
        <v>47</v>
      </c>
      <c r="Y1238" t="s">
        <v>46</v>
      </c>
      <c r="Z1238" t="s">
        <v>46</v>
      </c>
      <c r="AA1238" t="s">
        <v>46</v>
      </c>
      <c r="AB1238" t="s">
        <v>47</v>
      </c>
      <c r="AC1238" t="s">
        <v>46</v>
      </c>
      <c r="AD1238" t="s">
        <v>47</v>
      </c>
      <c r="AE1238" t="s">
        <v>47</v>
      </c>
      <c r="AF1238" t="s">
        <v>47</v>
      </c>
      <c r="AG1238" t="s">
        <v>52</v>
      </c>
      <c r="AH1238" t="s">
        <v>53</v>
      </c>
      <c r="AI1238" t="s">
        <v>54</v>
      </c>
      <c r="AJ1238">
        <v>6</v>
      </c>
      <c r="AK1238" t="s">
        <v>46</v>
      </c>
      <c r="AL1238" t="s">
        <v>72</v>
      </c>
      <c r="AM1238" t="s">
        <v>56</v>
      </c>
      <c r="AN1238">
        <v>1</v>
      </c>
      <c r="AO1238" t="s">
        <v>47</v>
      </c>
    </row>
    <row r="1239" spans="1:41">
      <c r="A1239" t="s">
        <v>1391</v>
      </c>
      <c r="B1239">
        <v>2020</v>
      </c>
      <c r="C1239" s="1">
        <v>43858</v>
      </c>
      <c r="D1239" t="s">
        <v>42</v>
      </c>
      <c r="E1239" t="s">
        <v>69</v>
      </c>
      <c r="F1239">
        <v>51</v>
      </c>
      <c r="G1239" t="s">
        <v>44</v>
      </c>
      <c r="H1239" t="s">
        <v>70</v>
      </c>
      <c r="I1239">
        <v>0</v>
      </c>
      <c r="J1239">
        <v>0</v>
      </c>
      <c r="K1239" t="s">
        <v>46</v>
      </c>
      <c r="L1239" t="s">
        <v>47</v>
      </c>
      <c r="M1239" t="s">
        <v>47</v>
      </c>
      <c r="N1239" t="s">
        <v>48</v>
      </c>
      <c r="O1239" t="s">
        <v>48</v>
      </c>
      <c r="P1239">
        <v>37</v>
      </c>
      <c r="Q1239" t="s">
        <v>48</v>
      </c>
      <c r="R1239" t="s">
        <v>47</v>
      </c>
      <c r="S1239" t="s">
        <v>47</v>
      </c>
      <c r="T1239" t="s">
        <v>47</v>
      </c>
      <c r="U1239" t="s">
        <v>47</v>
      </c>
      <c r="V1239" t="s">
        <v>117</v>
      </c>
      <c r="W1239" t="s">
        <v>47</v>
      </c>
      <c r="X1239" t="s">
        <v>47</v>
      </c>
      <c r="Y1239" t="s">
        <v>46</v>
      </c>
      <c r="Z1239" t="s">
        <v>47</v>
      </c>
      <c r="AA1239" t="s">
        <v>46</v>
      </c>
      <c r="AB1239" t="s">
        <v>47</v>
      </c>
      <c r="AC1239" t="s">
        <v>47</v>
      </c>
      <c r="AD1239" t="s">
        <v>47</v>
      </c>
      <c r="AE1239" t="s">
        <v>47</v>
      </c>
      <c r="AF1239" t="s">
        <v>47</v>
      </c>
      <c r="AG1239" t="s">
        <v>52</v>
      </c>
      <c r="AH1239" t="s">
        <v>53</v>
      </c>
      <c r="AI1239" t="s">
        <v>87</v>
      </c>
      <c r="AJ1239">
        <v>4.4000000000000004</v>
      </c>
      <c r="AK1239" t="s">
        <v>47</v>
      </c>
      <c r="AL1239" t="s">
        <v>100</v>
      </c>
      <c r="AM1239" t="s">
        <v>67</v>
      </c>
      <c r="AN1239">
        <v>40</v>
      </c>
      <c r="AO1239" t="s">
        <v>46</v>
      </c>
    </row>
    <row r="1240" spans="1:41">
      <c r="A1240" t="s">
        <v>1392</v>
      </c>
      <c r="B1240">
        <v>2025</v>
      </c>
      <c r="C1240" s="1">
        <v>46006</v>
      </c>
      <c r="D1240" t="s">
        <v>42</v>
      </c>
      <c r="E1240" t="s">
        <v>136</v>
      </c>
      <c r="F1240">
        <v>60</v>
      </c>
      <c r="G1240" t="s">
        <v>60</v>
      </c>
      <c r="H1240" t="s">
        <v>45</v>
      </c>
      <c r="I1240">
        <v>24</v>
      </c>
      <c r="J1240">
        <v>34</v>
      </c>
      <c r="K1240" t="s">
        <v>47</v>
      </c>
      <c r="L1240" t="s">
        <v>47</v>
      </c>
      <c r="M1240" t="s">
        <v>47</v>
      </c>
      <c r="N1240" t="s">
        <v>62</v>
      </c>
      <c r="O1240" t="s">
        <v>49</v>
      </c>
      <c r="P1240">
        <v>25.9</v>
      </c>
      <c r="Q1240" t="s">
        <v>48</v>
      </c>
      <c r="R1240" t="s">
        <v>46</v>
      </c>
      <c r="S1240" t="s">
        <v>47</v>
      </c>
      <c r="T1240" t="s">
        <v>46</v>
      </c>
      <c r="U1240" t="s">
        <v>47</v>
      </c>
      <c r="V1240" t="s">
        <v>86</v>
      </c>
      <c r="W1240" t="s">
        <v>46</v>
      </c>
      <c r="X1240" t="s">
        <v>46</v>
      </c>
      <c r="Y1240" t="s">
        <v>47</v>
      </c>
      <c r="Z1240" t="s">
        <v>47</v>
      </c>
      <c r="AA1240" t="s">
        <v>46</v>
      </c>
      <c r="AB1240" t="s">
        <v>46</v>
      </c>
      <c r="AC1240" t="s">
        <v>47</v>
      </c>
      <c r="AD1240" t="s">
        <v>47</v>
      </c>
      <c r="AE1240" t="s">
        <v>47</v>
      </c>
      <c r="AF1240" t="s">
        <v>47</v>
      </c>
      <c r="AG1240" t="s">
        <v>121</v>
      </c>
      <c r="AH1240" t="s">
        <v>122</v>
      </c>
      <c r="AI1240" t="s">
        <v>80</v>
      </c>
      <c r="AJ1240">
        <v>3.7</v>
      </c>
      <c r="AK1240" t="s">
        <v>47</v>
      </c>
      <c r="AL1240" t="s">
        <v>66</v>
      </c>
      <c r="AM1240" t="s">
        <v>118</v>
      </c>
      <c r="AN1240">
        <v>15</v>
      </c>
      <c r="AO1240" t="s">
        <v>47</v>
      </c>
    </row>
    <row r="1241" spans="1:41">
      <c r="A1241" t="s">
        <v>1393</v>
      </c>
      <c r="B1241">
        <v>2023</v>
      </c>
      <c r="C1241" s="1">
        <v>44983</v>
      </c>
      <c r="D1241" t="s">
        <v>110</v>
      </c>
      <c r="E1241" t="s">
        <v>116</v>
      </c>
      <c r="F1241">
        <v>55</v>
      </c>
      <c r="G1241" t="s">
        <v>60</v>
      </c>
      <c r="H1241" t="s">
        <v>45</v>
      </c>
      <c r="I1241">
        <v>13</v>
      </c>
      <c r="J1241">
        <v>29</v>
      </c>
      <c r="K1241" t="s">
        <v>46</v>
      </c>
      <c r="L1241" t="s">
        <v>47</v>
      </c>
      <c r="M1241" t="s">
        <v>47</v>
      </c>
      <c r="N1241" t="s">
        <v>48</v>
      </c>
      <c r="O1241" t="s">
        <v>48</v>
      </c>
      <c r="P1241">
        <v>29.6</v>
      </c>
      <c r="Q1241" t="s">
        <v>50</v>
      </c>
      <c r="R1241" t="s">
        <v>46</v>
      </c>
      <c r="S1241" t="s">
        <v>47</v>
      </c>
      <c r="T1241" t="s">
        <v>47</v>
      </c>
      <c r="U1241" t="s">
        <v>47</v>
      </c>
      <c r="V1241" t="s">
        <v>151</v>
      </c>
      <c r="W1241" t="s">
        <v>47</v>
      </c>
      <c r="X1241" t="s">
        <v>46</v>
      </c>
      <c r="Y1241" t="s">
        <v>47</v>
      </c>
      <c r="Z1241" t="s">
        <v>47</v>
      </c>
      <c r="AA1241" t="s">
        <v>46</v>
      </c>
      <c r="AB1241" t="s">
        <v>47</v>
      </c>
      <c r="AC1241" t="s">
        <v>47</v>
      </c>
      <c r="AD1241" t="s">
        <v>47</v>
      </c>
      <c r="AE1241" t="s">
        <v>47</v>
      </c>
      <c r="AF1241" t="s">
        <v>47</v>
      </c>
      <c r="AG1241" t="s">
        <v>52</v>
      </c>
      <c r="AH1241" t="s">
        <v>53</v>
      </c>
      <c r="AI1241" t="s">
        <v>87</v>
      </c>
      <c r="AJ1241">
        <v>3.1</v>
      </c>
      <c r="AK1241" t="s">
        <v>46</v>
      </c>
      <c r="AL1241" t="s">
        <v>100</v>
      </c>
      <c r="AM1241" t="s">
        <v>67</v>
      </c>
      <c r="AN1241">
        <v>50</v>
      </c>
      <c r="AO1241" t="s">
        <v>47</v>
      </c>
    </row>
    <row r="1242" spans="1:41">
      <c r="A1242" t="s">
        <v>1394</v>
      </c>
      <c r="B1242">
        <v>2015</v>
      </c>
      <c r="C1242" s="1">
        <v>42192</v>
      </c>
      <c r="D1242" t="s">
        <v>58</v>
      </c>
      <c r="E1242" t="s">
        <v>229</v>
      </c>
      <c r="F1242">
        <v>61</v>
      </c>
      <c r="G1242" t="s">
        <v>44</v>
      </c>
      <c r="H1242" t="s">
        <v>70</v>
      </c>
      <c r="I1242">
        <v>0</v>
      </c>
      <c r="J1242">
        <v>0</v>
      </c>
      <c r="K1242" t="s">
        <v>47</v>
      </c>
      <c r="L1242" t="s">
        <v>46</v>
      </c>
      <c r="M1242" t="s">
        <v>47</v>
      </c>
      <c r="N1242" t="s">
        <v>62</v>
      </c>
      <c r="O1242" t="s">
        <v>49</v>
      </c>
      <c r="P1242">
        <v>26.4</v>
      </c>
      <c r="Q1242" t="s">
        <v>48</v>
      </c>
      <c r="R1242" t="s">
        <v>47</v>
      </c>
      <c r="S1242" t="s">
        <v>47</v>
      </c>
      <c r="T1242" t="s">
        <v>47</v>
      </c>
      <c r="U1242" t="s">
        <v>47</v>
      </c>
      <c r="V1242" t="s">
        <v>51</v>
      </c>
      <c r="W1242" t="s">
        <v>47</v>
      </c>
      <c r="X1242" t="s">
        <v>47</v>
      </c>
      <c r="Y1242" t="s">
        <v>47</v>
      </c>
      <c r="Z1242" t="s">
        <v>47</v>
      </c>
      <c r="AA1242" t="s">
        <v>47</v>
      </c>
      <c r="AB1242" t="s">
        <v>47</v>
      </c>
      <c r="AC1242" t="s">
        <v>47</v>
      </c>
      <c r="AD1242" t="s">
        <v>46</v>
      </c>
      <c r="AE1242" t="s">
        <v>46</v>
      </c>
      <c r="AF1242" t="s">
        <v>47</v>
      </c>
      <c r="AG1242" t="s">
        <v>52</v>
      </c>
      <c r="AH1242" t="s">
        <v>53</v>
      </c>
      <c r="AI1242" t="s">
        <v>65</v>
      </c>
      <c r="AJ1242">
        <v>1.5</v>
      </c>
      <c r="AK1242" t="s">
        <v>47</v>
      </c>
      <c r="AL1242" t="s">
        <v>72</v>
      </c>
      <c r="AM1242" t="s">
        <v>73</v>
      </c>
      <c r="AN1242">
        <v>66</v>
      </c>
      <c r="AO1242" t="s">
        <v>46</v>
      </c>
    </row>
    <row r="1243" spans="1:41">
      <c r="A1243" t="s">
        <v>1395</v>
      </c>
      <c r="B1243">
        <v>2025</v>
      </c>
      <c r="C1243" s="1">
        <v>45763</v>
      </c>
      <c r="D1243" t="s">
        <v>58</v>
      </c>
      <c r="E1243" t="s">
        <v>134</v>
      </c>
      <c r="F1243">
        <v>53</v>
      </c>
      <c r="G1243" t="s">
        <v>44</v>
      </c>
      <c r="H1243" t="s">
        <v>70</v>
      </c>
      <c r="I1243">
        <v>0</v>
      </c>
      <c r="J1243">
        <v>0</v>
      </c>
      <c r="K1243" t="s">
        <v>47</v>
      </c>
      <c r="L1243" t="s">
        <v>47</v>
      </c>
      <c r="M1243" t="s">
        <v>47</v>
      </c>
      <c r="N1243" t="s">
        <v>62</v>
      </c>
      <c r="O1243" t="s">
        <v>48</v>
      </c>
      <c r="P1243">
        <v>27.1</v>
      </c>
      <c r="Q1243" t="s">
        <v>48</v>
      </c>
      <c r="R1243" t="s">
        <v>47</v>
      </c>
      <c r="S1243" t="s">
        <v>47</v>
      </c>
      <c r="T1243" t="s">
        <v>47</v>
      </c>
      <c r="U1243" t="s">
        <v>47</v>
      </c>
      <c r="V1243" t="s">
        <v>51</v>
      </c>
      <c r="W1243" t="s">
        <v>46</v>
      </c>
      <c r="X1243" t="s">
        <v>46</v>
      </c>
      <c r="Y1243" t="s">
        <v>46</v>
      </c>
      <c r="Z1243" t="s">
        <v>47</v>
      </c>
      <c r="AA1243" t="s">
        <v>46</v>
      </c>
      <c r="AB1243" t="s">
        <v>47</v>
      </c>
      <c r="AC1243" t="s">
        <v>47</v>
      </c>
      <c r="AD1243" t="s">
        <v>46</v>
      </c>
      <c r="AE1243" t="s">
        <v>47</v>
      </c>
      <c r="AF1243" t="s">
        <v>47</v>
      </c>
      <c r="AG1243" t="s">
        <v>52</v>
      </c>
      <c r="AH1243" t="s">
        <v>53</v>
      </c>
      <c r="AI1243" t="s">
        <v>65</v>
      </c>
      <c r="AJ1243">
        <v>2.2999999999999998</v>
      </c>
      <c r="AK1243" t="s">
        <v>47</v>
      </c>
      <c r="AL1243" t="s">
        <v>156</v>
      </c>
      <c r="AM1243" t="s">
        <v>73</v>
      </c>
      <c r="AN1243">
        <v>63</v>
      </c>
      <c r="AO1243" t="s">
        <v>46</v>
      </c>
    </row>
    <row r="1244" spans="1:41">
      <c r="A1244" t="s">
        <v>1396</v>
      </c>
      <c r="B1244">
        <v>2019</v>
      </c>
      <c r="C1244" s="1">
        <v>43643</v>
      </c>
      <c r="D1244" t="s">
        <v>84</v>
      </c>
      <c r="E1244" t="s">
        <v>184</v>
      </c>
      <c r="F1244">
        <v>71</v>
      </c>
      <c r="G1244" t="s">
        <v>60</v>
      </c>
      <c r="H1244" t="s">
        <v>70</v>
      </c>
      <c r="I1244">
        <v>0</v>
      </c>
      <c r="J1244">
        <v>0</v>
      </c>
      <c r="K1244" t="s">
        <v>46</v>
      </c>
      <c r="L1244" t="s">
        <v>46</v>
      </c>
      <c r="M1244" t="s">
        <v>47</v>
      </c>
      <c r="N1244" t="s">
        <v>62</v>
      </c>
      <c r="O1244" t="s">
        <v>49</v>
      </c>
      <c r="P1244">
        <v>24.6</v>
      </c>
      <c r="Q1244" t="s">
        <v>48</v>
      </c>
      <c r="R1244" t="s">
        <v>47</v>
      </c>
      <c r="S1244" t="s">
        <v>47</v>
      </c>
      <c r="T1244" t="s">
        <v>47</v>
      </c>
      <c r="U1244" t="s">
        <v>46</v>
      </c>
      <c r="V1244" t="s">
        <v>51</v>
      </c>
      <c r="W1244" t="s">
        <v>47</v>
      </c>
      <c r="X1244" t="s">
        <v>47</v>
      </c>
      <c r="Y1244" t="s">
        <v>46</v>
      </c>
      <c r="Z1244" t="s">
        <v>47</v>
      </c>
      <c r="AA1244" t="s">
        <v>46</v>
      </c>
      <c r="AB1244" t="s">
        <v>47</v>
      </c>
      <c r="AC1244" t="s">
        <v>47</v>
      </c>
      <c r="AD1244" t="s">
        <v>47</v>
      </c>
      <c r="AE1244" t="s">
        <v>47</v>
      </c>
      <c r="AF1244" t="s">
        <v>47</v>
      </c>
      <c r="AG1244" t="s">
        <v>52</v>
      </c>
      <c r="AH1244" t="s">
        <v>53</v>
      </c>
      <c r="AI1244" t="s">
        <v>65</v>
      </c>
      <c r="AJ1244">
        <v>2.2999999999999998</v>
      </c>
      <c r="AK1244" t="s">
        <v>47</v>
      </c>
      <c r="AL1244" t="s">
        <v>72</v>
      </c>
      <c r="AM1244" t="s">
        <v>73</v>
      </c>
      <c r="AN1244">
        <v>28</v>
      </c>
      <c r="AO1244" t="s">
        <v>46</v>
      </c>
    </row>
    <row r="1245" spans="1:41">
      <c r="A1245" t="s">
        <v>1397</v>
      </c>
      <c r="B1245">
        <v>2019</v>
      </c>
      <c r="C1245" s="1">
        <v>43634</v>
      </c>
      <c r="D1245" t="s">
        <v>84</v>
      </c>
      <c r="E1245" t="s">
        <v>449</v>
      </c>
      <c r="F1245">
        <v>72</v>
      </c>
      <c r="G1245" t="s">
        <v>44</v>
      </c>
      <c r="H1245" t="s">
        <v>70</v>
      </c>
      <c r="I1245">
        <v>0</v>
      </c>
      <c r="J1245">
        <v>0</v>
      </c>
      <c r="K1245" t="s">
        <v>47</v>
      </c>
      <c r="L1245" t="s">
        <v>47</v>
      </c>
      <c r="M1245" t="s">
        <v>47</v>
      </c>
      <c r="N1245" t="s">
        <v>62</v>
      </c>
      <c r="O1245" t="s">
        <v>49</v>
      </c>
      <c r="P1245">
        <v>26.3</v>
      </c>
      <c r="Q1245" t="s">
        <v>50</v>
      </c>
      <c r="R1245" t="s">
        <v>46</v>
      </c>
      <c r="S1245" t="s">
        <v>47</v>
      </c>
      <c r="T1245" t="s">
        <v>47</v>
      </c>
      <c r="U1245" t="s">
        <v>47</v>
      </c>
      <c r="V1245" t="s">
        <v>117</v>
      </c>
      <c r="W1245" t="s">
        <v>47</v>
      </c>
      <c r="X1245" t="s">
        <v>46</v>
      </c>
      <c r="Y1245" t="s">
        <v>47</v>
      </c>
      <c r="Z1245" t="s">
        <v>47</v>
      </c>
      <c r="AA1245" t="s">
        <v>46</v>
      </c>
      <c r="AB1245" t="s">
        <v>47</v>
      </c>
      <c r="AC1245" t="s">
        <v>47</v>
      </c>
      <c r="AD1245" t="s">
        <v>47</v>
      </c>
      <c r="AE1245" t="s">
        <v>47</v>
      </c>
      <c r="AF1245" t="s">
        <v>46</v>
      </c>
      <c r="AG1245" t="s">
        <v>52</v>
      </c>
      <c r="AH1245" t="s">
        <v>53</v>
      </c>
      <c r="AI1245" t="s">
        <v>54</v>
      </c>
      <c r="AJ1245">
        <v>8.8000000000000007</v>
      </c>
      <c r="AK1245" t="s">
        <v>46</v>
      </c>
      <c r="AL1245" t="s">
        <v>66</v>
      </c>
      <c r="AM1245" t="s">
        <v>118</v>
      </c>
      <c r="AN1245">
        <v>4</v>
      </c>
      <c r="AO1245" t="s">
        <v>47</v>
      </c>
    </row>
    <row r="1246" spans="1:41">
      <c r="A1246" t="s">
        <v>1398</v>
      </c>
      <c r="B1246">
        <v>2021</v>
      </c>
      <c r="C1246" s="1">
        <v>44274</v>
      </c>
      <c r="D1246" t="s">
        <v>95</v>
      </c>
      <c r="E1246" t="s">
        <v>96</v>
      </c>
      <c r="F1246">
        <v>52</v>
      </c>
      <c r="G1246" t="s">
        <v>60</v>
      </c>
      <c r="H1246" t="s">
        <v>70</v>
      </c>
      <c r="I1246">
        <v>0</v>
      </c>
      <c r="J1246">
        <v>0</v>
      </c>
      <c r="K1246" t="s">
        <v>47</v>
      </c>
      <c r="L1246" t="s">
        <v>46</v>
      </c>
      <c r="M1246" t="s">
        <v>46</v>
      </c>
      <c r="N1246" t="s">
        <v>62</v>
      </c>
      <c r="O1246" t="s">
        <v>48</v>
      </c>
      <c r="P1246">
        <v>22.6</v>
      </c>
      <c r="Q1246" t="s">
        <v>62</v>
      </c>
      <c r="R1246" t="s">
        <v>47</v>
      </c>
      <c r="S1246" t="s">
        <v>47</v>
      </c>
      <c r="T1246" t="s">
        <v>47</v>
      </c>
      <c r="U1246" t="s">
        <v>47</v>
      </c>
      <c r="V1246" t="s">
        <v>86</v>
      </c>
      <c r="W1246" t="s">
        <v>46</v>
      </c>
      <c r="X1246" t="s">
        <v>46</v>
      </c>
      <c r="Y1246" t="s">
        <v>47</v>
      </c>
      <c r="Z1246" t="s">
        <v>47</v>
      </c>
      <c r="AA1246" t="s">
        <v>47</v>
      </c>
      <c r="AB1246" t="s">
        <v>47</v>
      </c>
      <c r="AC1246" t="s">
        <v>47</v>
      </c>
      <c r="AD1246" t="s">
        <v>47</v>
      </c>
      <c r="AE1246" t="s">
        <v>46</v>
      </c>
      <c r="AF1246" t="s">
        <v>47</v>
      </c>
      <c r="AG1246" t="s">
        <v>121</v>
      </c>
      <c r="AH1246" t="s">
        <v>122</v>
      </c>
      <c r="AI1246" t="s">
        <v>65</v>
      </c>
      <c r="AJ1246">
        <v>3.2</v>
      </c>
      <c r="AK1246" t="s">
        <v>47</v>
      </c>
      <c r="AL1246" t="s">
        <v>76</v>
      </c>
      <c r="AM1246" t="s">
        <v>67</v>
      </c>
      <c r="AN1246">
        <v>80</v>
      </c>
      <c r="AO1246" t="s">
        <v>47</v>
      </c>
    </row>
    <row r="1247" spans="1:41">
      <c r="A1247" t="s">
        <v>1399</v>
      </c>
      <c r="B1247">
        <v>2024</v>
      </c>
      <c r="C1247" s="1">
        <v>45465</v>
      </c>
      <c r="D1247" t="s">
        <v>42</v>
      </c>
      <c r="E1247" t="s">
        <v>43</v>
      </c>
      <c r="F1247">
        <v>43</v>
      </c>
      <c r="G1247" t="s">
        <v>60</v>
      </c>
      <c r="H1247" t="s">
        <v>45</v>
      </c>
      <c r="I1247">
        <v>32</v>
      </c>
      <c r="J1247">
        <v>25</v>
      </c>
      <c r="K1247" t="s">
        <v>47</v>
      </c>
      <c r="L1247" t="s">
        <v>47</v>
      </c>
      <c r="M1247" t="s">
        <v>47</v>
      </c>
      <c r="N1247" t="s">
        <v>50</v>
      </c>
      <c r="O1247" t="s">
        <v>49</v>
      </c>
      <c r="P1247">
        <v>22.3</v>
      </c>
      <c r="Q1247" t="s">
        <v>62</v>
      </c>
      <c r="R1247" t="s">
        <v>47</v>
      </c>
      <c r="S1247" t="s">
        <v>47</v>
      </c>
      <c r="T1247" t="s">
        <v>47</v>
      </c>
      <c r="U1247" t="s">
        <v>47</v>
      </c>
      <c r="V1247" t="s">
        <v>151</v>
      </c>
      <c r="W1247" t="s">
        <v>47</v>
      </c>
      <c r="X1247" t="s">
        <v>47</v>
      </c>
      <c r="Y1247" t="s">
        <v>46</v>
      </c>
      <c r="Z1247" t="s">
        <v>46</v>
      </c>
      <c r="AA1247" t="s">
        <v>46</v>
      </c>
      <c r="AB1247" t="s">
        <v>47</v>
      </c>
      <c r="AC1247" t="s">
        <v>46</v>
      </c>
      <c r="AD1247" t="s">
        <v>47</v>
      </c>
      <c r="AE1247" t="s">
        <v>47</v>
      </c>
      <c r="AF1247" t="s">
        <v>47</v>
      </c>
      <c r="AG1247" t="s">
        <v>121</v>
      </c>
      <c r="AH1247" t="s">
        <v>122</v>
      </c>
      <c r="AI1247" t="s">
        <v>80</v>
      </c>
      <c r="AJ1247">
        <v>6.2</v>
      </c>
      <c r="AK1247" t="s">
        <v>47</v>
      </c>
      <c r="AL1247" t="s">
        <v>76</v>
      </c>
      <c r="AM1247" t="s">
        <v>56</v>
      </c>
      <c r="AN1247">
        <v>17</v>
      </c>
      <c r="AO1247" t="s">
        <v>47</v>
      </c>
    </row>
    <row r="1248" spans="1:41">
      <c r="A1248" t="s">
        <v>1400</v>
      </c>
      <c r="B1248">
        <v>2020</v>
      </c>
      <c r="C1248" s="1">
        <v>43834</v>
      </c>
      <c r="D1248" t="s">
        <v>42</v>
      </c>
      <c r="E1248" t="s">
        <v>210</v>
      </c>
      <c r="F1248">
        <v>56</v>
      </c>
      <c r="G1248" t="s">
        <v>44</v>
      </c>
      <c r="H1248" t="s">
        <v>70</v>
      </c>
      <c r="I1248">
        <v>0</v>
      </c>
      <c r="J1248">
        <v>0</v>
      </c>
      <c r="K1248" t="s">
        <v>46</v>
      </c>
      <c r="L1248" t="s">
        <v>47</v>
      </c>
      <c r="M1248" t="s">
        <v>46</v>
      </c>
      <c r="N1248" t="s">
        <v>62</v>
      </c>
      <c r="O1248" t="s">
        <v>48</v>
      </c>
      <c r="P1248">
        <v>25.1</v>
      </c>
      <c r="Q1248" t="s">
        <v>50</v>
      </c>
      <c r="R1248" t="s">
        <v>47</v>
      </c>
      <c r="S1248" t="s">
        <v>47</v>
      </c>
      <c r="T1248" t="s">
        <v>47</v>
      </c>
      <c r="U1248" t="s">
        <v>47</v>
      </c>
      <c r="V1248" t="s">
        <v>92</v>
      </c>
      <c r="W1248" t="s">
        <v>47</v>
      </c>
      <c r="X1248" t="s">
        <v>47</v>
      </c>
      <c r="Y1248" t="s">
        <v>46</v>
      </c>
      <c r="Z1248" t="s">
        <v>47</v>
      </c>
      <c r="AA1248" t="s">
        <v>47</v>
      </c>
      <c r="AB1248" t="s">
        <v>47</v>
      </c>
      <c r="AC1248" t="s">
        <v>47</v>
      </c>
      <c r="AD1248" t="s">
        <v>46</v>
      </c>
      <c r="AE1248" t="s">
        <v>46</v>
      </c>
      <c r="AF1248" t="s">
        <v>47</v>
      </c>
      <c r="AG1248" t="s">
        <v>52</v>
      </c>
      <c r="AH1248" t="s">
        <v>71</v>
      </c>
      <c r="AI1248" t="s">
        <v>87</v>
      </c>
      <c r="AJ1248">
        <v>3.6</v>
      </c>
      <c r="AK1248" t="s">
        <v>47</v>
      </c>
      <c r="AL1248" t="s">
        <v>76</v>
      </c>
      <c r="AM1248" t="s">
        <v>77</v>
      </c>
      <c r="AN1248">
        <v>7</v>
      </c>
      <c r="AO1248" t="s">
        <v>47</v>
      </c>
    </row>
    <row r="1249" spans="1:41">
      <c r="A1249" t="s">
        <v>1401</v>
      </c>
      <c r="B1249">
        <v>2025</v>
      </c>
      <c r="C1249" s="1">
        <v>45661</v>
      </c>
      <c r="D1249" t="s">
        <v>110</v>
      </c>
      <c r="E1249" t="s">
        <v>294</v>
      </c>
      <c r="F1249">
        <v>64</v>
      </c>
      <c r="G1249" t="s">
        <v>60</v>
      </c>
      <c r="H1249" t="s">
        <v>61</v>
      </c>
      <c r="I1249">
        <v>9</v>
      </c>
      <c r="J1249">
        <v>26</v>
      </c>
      <c r="K1249" t="s">
        <v>47</v>
      </c>
      <c r="L1249" t="s">
        <v>46</v>
      </c>
      <c r="M1249" t="s">
        <v>47</v>
      </c>
      <c r="N1249" t="s">
        <v>50</v>
      </c>
      <c r="O1249" t="s">
        <v>49</v>
      </c>
      <c r="P1249">
        <v>26.7</v>
      </c>
      <c r="Q1249" t="s">
        <v>48</v>
      </c>
      <c r="R1249" t="s">
        <v>47</v>
      </c>
      <c r="S1249" t="s">
        <v>47</v>
      </c>
      <c r="T1249" t="s">
        <v>47</v>
      </c>
      <c r="U1249" t="s">
        <v>47</v>
      </c>
      <c r="V1249" t="s">
        <v>51</v>
      </c>
      <c r="W1249" t="s">
        <v>46</v>
      </c>
      <c r="X1249" t="s">
        <v>47</v>
      </c>
      <c r="Y1249" t="s">
        <v>47</v>
      </c>
      <c r="Z1249" t="s">
        <v>46</v>
      </c>
      <c r="AA1249" t="s">
        <v>47</v>
      </c>
      <c r="AB1249" t="s">
        <v>47</v>
      </c>
      <c r="AC1249" t="s">
        <v>46</v>
      </c>
      <c r="AD1249" t="s">
        <v>46</v>
      </c>
      <c r="AE1249" t="s">
        <v>47</v>
      </c>
      <c r="AF1249" t="s">
        <v>47</v>
      </c>
      <c r="AG1249" t="s">
        <v>52</v>
      </c>
      <c r="AH1249" t="s">
        <v>53</v>
      </c>
      <c r="AI1249" t="s">
        <v>54</v>
      </c>
      <c r="AJ1249">
        <v>5</v>
      </c>
      <c r="AK1249" t="s">
        <v>46</v>
      </c>
      <c r="AL1249" t="s">
        <v>81</v>
      </c>
      <c r="AM1249" t="s">
        <v>56</v>
      </c>
      <c r="AN1249">
        <v>12</v>
      </c>
      <c r="AO1249" t="s">
        <v>47</v>
      </c>
    </row>
    <row r="1250" spans="1:41">
      <c r="A1250" t="s">
        <v>1402</v>
      </c>
      <c r="B1250">
        <v>2022</v>
      </c>
      <c r="C1250" s="1">
        <v>44788</v>
      </c>
      <c r="D1250" t="s">
        <v>110</v>
      </c>
      <c r="E1250" t="s">
        <v>177</v>
      </c>
      <c r="F1250">
        <v>58</v>
      </c>
      <c r="G1250" t="s">
        <v>44</v>
      </c>
      <c r="H1250" t="s">
        <v>70</v>
      </c>
      <c r="I1250">
        <v>0</v>
      </c>
      <c r="J1250">
        <v>0</v>
      </c>
      <c r="K1250" t="s">
        <v>47</v>
      </c>
      <c r="L1250" t="s">
        <v>46</v>
      </c>
      <c r="M1250" t="s">
        <v>47</v>
      </c>
      <c r="N1250" t="s">
        <v>62</v>
      </c>
      <c r="O1250" t="s">
        <v>49</v>
      </c>
      <c r="P1250">
        <v>26</v>
      </c>
      <c r="Q1250" t="s">
        <v>50</v>
      </c>
      <c r="R1250" t="s">
        <v>46</v>
      </c>
      <c r="S1250" t="s">
        <v>47</v>
      </c>
      <c r="T1250" t="s">
        <v>47</v>
      </c>
      <c r="U1250" t="s">
        <v>47</v>
      </c>
      <c r="V1250" t="s">
        <v>64</v>
      </c>
      <c r="W1250" t="s">
        <v>47</v>
      </c>
      <c r="X1250" t="s">
        <v>46</v>
      </c>
      <c r="Y1250" t="s">
        <v>47</v>
      </c>
      <c r="Z1250" t="s">
        <v>46</v>
      </c>
      <c r="AA1250" t="s">
        <v>46</v>
      </c>
      <c r="AB1250" t="s">
        <v>46</v>
      </c>
      <c r="AC1250" t="s">
        <v>46</v>
      </c>
      <c r="AD1250" t="s">
        <v>47</v>
      </c>
      <c r="AE1250" t="s">
        <v>47</v>
      </c>
      <c r="AF1250" t="s">
        <v>47</v>
      </c>
      <c r="AG1250" t="s">
        <v>52</v>
      </c>
      <c r="AH1250" t="s">
        <v>71</v>
      </c>
      <c r="AI1250" t="s">
        <v>54</v>
      </c>
      <c r="AJ1250">
        <v>5.3</v>
      </c>
      <c r="AK1250" t="s">
        <v>46</v>
      </c>
      <c r="AL1250" t="s">
        <v>76</v>
      </c>
      <c r="AM1250" t="s">
        <v>77</v>
      </c>
      <c r="AN1250">
        <v>6</v>
      </c>
      <c r="AO1250" t="s">
        <v>47</v>
      </c>
    </row>
    <row r="1251" spans="1:41">
      <c r="A1251" t="s">
        <v>1403</v>
      </c>
      <c r="B1251">
        <v>2021</v>
      </c>
      <c r="C1251" s="1">
        <v>44384</v>
      </c>
      <c r="D1251" t="s">
        <v>110</v>
      </c>
      <c r="E1251" t="s">
        <v>294</v>
      </c>
      <c r="F1251">
        <v>46</v>
      </c>
      <c r="G1251" t="s">
        <v>44</v>
      </c>
      <c r="H1251" t="s">
        <v>45</v>
      </c>
      <c r="I1251">
        <v>10</v>
      </c>
      <c r="J1251">
        <v>28</v>
      </c>
      <c r="K1251" t="s">
        <v>47</v>
      </c>
      <c r="L1251" t="s">
        <v>47</v>
      </c>
      <c r="M1251" t="s">
        <v>47</v>
      </c>
      <c r="N1251" t="s">
        <v>48</v>
      </c>
      <c r="O1251" t="s">
        <v>49</v>
      </c>
      <c r="P1251">
        <v>30.6</v>
      </c>
      <c r="Q1251" t="s">
        <v>62</v>
      </c>
      <c r="R1251" t="s">
        <v>47</v>
      </c>
      <c r="S1251" t="s">
        <v>47</v>
      </c>
      <c r="T1251" t="s">
        <v>47</v>
      </c>
      <c r="U1251" t="s">
        <v>47</v>
      </c>
      <c r="V1251" t="s">
        <v>51</v>
      </c>
      <c r="W1251" t="s">
        <v>46</v>
      </c>
      <c r="X1251" t="s">
        <v>46</v>
      </c>
      <c r="Y1251" t="s">
        <v>46</v>
      </c>
      <c r="Z1251" t="s">
        <v>47</v>
      </c>
      <c r="AA1251" t="s">
        <v>46</v>
      </c>
      <c r="AB1251" t="s">
        <v>46</v>
      </c>
      <c r="AC1251" t="s">
        <v>47</v>
      </c>
      <c r="AD1251" t="s">
        <v>47</v>
      </c>
      <c r="AE1251" t="s">
        <v>47</v>
      </c>
      <c r="AF1251" t="s">
        <v>47</v>
      </c>
      <c r="AG1251" t="s">
        <v>121</v>
      </c>
      <c r="AH1251" t="s">
        <v>122</v>
      </c>
      <c r="AI1251" t="s">
        <v>80</v>
      </c>
      <c r="AJ1251">
        <v>4.5</v>
      </c>
      <c r="AK1251" t="s">
        <v>47</v>
      </c>
      <c r="AL1251" t="s">
        <v>66</v>
      </c>
      <c r="AM1251" t="s">
        <v>56</v>
      </c>
      <c r="AN1251">
        <v>17</v>
      </c>
      <c r="AO1251" t="s">
        <v>46</v>
      </c>
    </row>
    <row r="1252" spans="1:41">
      <c r="A1252" t="s">
        <v>1404</v>
      </c>
      <c r="B1252">
        <v>2021</v>
      </c>
      <c r="C1252" s="1">
        <v>44510</v>
      </c>
      <c r="D1252" t="s">
        <v>58</v>
      </c>
      <c r="E1252" t="s">
        <v>142</v>
      </c>
      <c r="F1252">
        <v>60</v>
      </c>
      <c r="G1252" t="s">
        <v>60</v>
      </c>
      <c r="H1252" t="s">
        <v>70</v>
      </c>
      <c r="I1252">
        <v>0</v>
      </c>
      <c r="J1252">
        <v>0</v>
      </c>
      <c r="K1252" t="s">
        <v>47</v>
      </c>
      <c r="L1252" t="s">
        <v>47</v>
      </c>
      <c r="M1252" t="s">
        <v>47</v>
      </c>
      <c r="N1252" t="s">
        <v>48</v>
      </c>
      <c r="O1252" t="s">
        <v>48</v>
      </c>
      <c r="P1252">
        <v>29.4</v>
      </c>
      <c r="Q1252" t="s">
        <v>62</v>
      </c>
      <c r="R1252" t="s">
        <v>47</v>
      </c>
      <c r="S1252" t="s">
        <v>47</v>
      </c>
      <c r="T1252" t="s">
        <v>47</v>
      </c>
      <c r="U1252" t="s">
        <v>47</v>
      </c>
      <c r="V1252" t="s">
        <v>92</v>
      </c>
      <c r="W1252" t="s">
        <v>46</v>
      </c>
      <c r="X1252" t="s">
        <v>47</v>
      </c>
      <c r="Y1252" t="s">
        <v>47</v>
      </c>
      <c r="Z1252" t="s">
        <v>47</v>
      </c>
      <c r="AA1252" t="s">
        <v>46</v>
      </c>
      <c r="AB1252" t="s">
        <v>46</v>
      </c>
      <c r="AC1252" t="s">
        <v>46</v>
      </c>
      <c r="AD1252" t="s">
        <v>47</v>
      </c>
      <c r="AE1252" t="s">
        <v>47</v>
      </c>
      <c r="AF1252" t="s">
        <v>47</v>
      </c>
      <c r="AG1252" t="s">
        <v>52</v>
      </c>
      <c r="AH1252" t="s">
        <v>90</v>
      </c>
      <c r="AI1252" t="s">
        <v>65</v>
      </c>
      <c r="AJ1252">
        <v>1.2</v>
      </c>
      <c r="AK1252" t="s">
        <v>47</v>
      </c>
      <c r="AL1252" t="s">
        <v>72</v>
      </c>
      <c r="AM1252" t="s">
        <v>67</v>
      </c>
      <c r="AN1252">
        <v>74</v>
      </c>
      <c r="AO1252" t="s">
        <v>46</v>
      </c>
    </row>
    <row r="1253" spans="1:41">
      <c r="A1253" t="s">
        <v>1405</v>
      </c>
      <c r="B1253">
        <v>2022</v>
      </c>
      <c r="C1253" s="1">
        <v>44684</v>
      </c>
      <c r="D1253" t="s">
        <v>58</v>
      </c>
      <c r="E1253" t="s">
        <v>138</v>
      </c>
      <c r="F1253">
        <v>42</v>
      </c>
      <c r="G1253" t="s">
        <v>60</v>
      </c>
      <c r="H1253" t="s">
        <v>70</v>
      </c>
      <c r="I1253">
        <v>0</v>
      </c>
      <c r="J1253">
        <v>0</v>
      </c>
      <c r="K1253" t="s">
        <v>47</v>
      </c>
      <c r="L1253" t="s">
        <v>47</v>
      </c>
      <c r="M1253" t="s">
        <v>47</v>
      </c>
      <c r="N1253" t="s">
        <v>48</v>
      </c>
      <c r="O1253" t="s">
        <v>48</v>
      </c>
      <c r="P1253">
        <v>24.9</v>
      </c>
      <c r="Q1253" t="s">
        <v>50</v>
      </c>
      <c r="R1253" t="s">
        <v>47</v>
      </c>
      <c r="S1253" t="s">
        <v>47</v>
      </c>
      <c r="T1253" t="s">
        <v>47</v>
      </c>
      <c r="U1253" t="s">
        <v>47</v>
      </c>
      <c r="V1253" t="s">
        <v>86</v>
      </c>
      <c r="W1253" t="s">
        <v>47</v>
      </c>
      <c r="X1253" t="s">
        <v>46</v>
      </c>
      <c r="Y1253" t="s">
        <v>47</v>
      </c>
      <c r="Z1253" t="s">
        <v>46</v>
      </c>
      <c r="AA1253" t="s">
        <v>47</v>
      </c>
      <c r="AB1253" t="s">
        <v>47</v>
      </c>
      <c r="AC1253" t="s">
        <v>47</v>
      </c>
      <c r="AD1253" t="s">
        <v>47</v>
      </c>
      <c r="AE1253" t="s">
        <v>46</v>
      </c>
      <c r="AF1253" t="s">
        <v>47</v>
      </c>
      <c r="AG1253" t="s">
        <v>52</v>
      </c>
      <c r="AH1253" t="s">
        <v>53</v>
      </c>
      <c r="AI1253" t="s">
        <v>80</v>
      </c>
      <c r="AJ1253">
        <v>4.9000000000000004</v>
      </c>
      <c r="AK1253" t="s">
        <v>47</v>
      </c>
      <c r="AL1253" t="s">
        <v>76</v>
      </c>
      <c r="AM1253" t="s">
        <v>82</v>
      </c>
      <c r="AN1253">
        <v>19</v>
      </c>
      <c r="AO1253" t="s">
        <v>47</v>
      </c>
    </row>
    <row r="1254" spans="1:41">
      <c r="A1254" t="s">
        <v>1406</v>
      </c>
      <c r="B1254">
        <v>2017</v>
      </c>
      <c r="C1254" s="1">
        <v>42858</v>
      </c>
      <c r="D1254" t="s">
        <v>84</v>
      </c>
      <c r="E1254" t="s">
        <v>189</v>
      </c>
      <c r="F1254">
        <v>78</v>
      </c>
      <c r="G1254" t="s">
        <v>60</v>
      </c>
      <c r="H1254" t="s">
        <v>45</v>
      </c>
      <c r="I1254">
        <v>13</v>
      </c>
      <c r="J1254">
        <v>38</v>
      </c>
      <c r="K1254" t="s">
        <v>47</v>
      </c>
      <c r="L1254" t="s">
        <v>46</v>
      </c>
      <c r="M1254" t="s">
        <v>47</v>
      </c>
      <c r="N1254" t="s">
        <v>50</v>
      </c>
      <c r="O1254" t="s">
        <v>63</v>
      </c>
      <c r="P1254">
        <v>29.2</v>
      </c>
      <c r="Q1254" t="s">
        <v>50</v>
      </c>
      <c r="R1254" t="s">
        <v>46</v>
      </c>
      <c r="S1254" t="s">
        <v>47</v>
      </c>
      <c r="T1254" t="s">
        <v>47</v>
      </c>
      <c r="U1254" t="s">
        <v>47</v>
      </c>
      <c r="V1254" t="s">
        <v>64</v>
      </c>
      <c r="W1254" t="s">
        <v>47</v>
      </c>
      <c r="X1254" t="s">
        <v>46</v>
      </c>
      <c r="Y1254" t="s">
        <v>47</v>
      </c>
      <c r="Z1254" t="s">
        <v>47</v>
      </c>
      <c r="AA1254" t="s">
        <v>47</v>
      </c>
      <c r="AB1254" t="s">
        <v>46</v>
      </c>
      <c r="AC1254" t="s">
        <v>46</v>
      </c>
      <c r="AD1254" t="s">
        <v>47</v>
      </c>
      <c r="AE1254" t="s">
        <v>47</v>
      </c>
      <c r="AF1254" t="s">
        <v>46</v>
      </c>
      <c r="AG1254" t="s">
        <v>52</v>
      </c>
      <c r="AH1254" t="s">
        <v>71</v>
      </c>
      <c r="AI1254" t="s">
        <v>80</v>
      </c>
      <c r="AJ1254">
        <v>6.9</v>
      </c>
      <c r="AK1254" t="s">
        <v>47</v>
      </c>
      <c r="AL1254" t="s">
        <v>100</v>
      </c>
      <c r="AM1254" t="s">
        <v>56</v>
      </c>
      <c r="AN1254">
        <v>25</v>
      </c>
      <c r="AO1254" t="s">
        <v>47</v>
      </c>
    </row>
    <row r="1255" spans="1:41">
      <c r="A1255" t="s">
        <v>1407</v>
      </c>
      <c r="B1255">
        <v>2024</v>
      </c>
      <c r="C1255" s="1">
        <v>45617</v>
      </c>
      <c r="D1255" t="s">
        <v>110</v>
      </c>
      <c r="E1255" t="s">
        <v>294</v>
      </c>
      <c r="F1255">
        <v>59</v>
      </c>
      <c r="G1255" t="s">
        <v>60</v>
      </c>
      <c r="H1255" t="s">
        <v>70</v>
      </c>
      <c r="I1255">
        <v>0</v>
      </c>
      <c r="J1255">
        <v>0</v>
      </c>
      <c r="K1255" t="s">
        <v>47</v>
      </c>
      <c r="L1255" t="s">
        <v>47</v>
      </c>
      <c r="M1255" t="s">
        <v>47</v>
      </c>
      <c r="N1255" t="s">
        <v>62</v>
      </c>
      <c r="O1255" t="s">
        <v>48</v>
      </c>
      <c r="P1255">
        <v>27.4</v>
      </c>
      <c r="Q1255" t="s">
        <v>62</v>
      </c>
      <c r="R1255" t="s">
        <v>46</v>
      </c>
      <c r="S1255" t="s">
        <v>47</v>
      </c>
      <c r="T1255" t="s">
        <v>47</v>
      </c>
      <c r="U1255" t="s">
        <v>46</v>
      </c>
      <c r="V1255" t="s">
        <v>117</v>
      </c>
      <c r="W1255" t="s">
        <v>47</v>
      </c>
      <c r="X1255" t="s">
        <v>46</v>
      </c>
      <c r="Y1255" t="s">
        <v>46</v>
      </c>
      <c r="Z1255" t="s">
        <v>46</v>
      </c>
      <c r="AA1255" t="s">
        <v>47</v>
      </c>
      <c r="AB1255" t="s">
        <v>46</v>
      </c>
      <c r="AC1255" t="s">
        <v>47</v>
      </c>
      <c r="AD1255" t="s">
        <v>46</v>
      </c>
      <c r="AE1255" t="s">
        <v>47</v>
      </c>
      <c r="AF1255" t="s">
        <v>47</v>
      </c>
      <c r="AG1255" t="s">
        <v>52</v>
      </c>
      <c r="AH1255" t="s">
        <v>53</v>
      </c>
      <c r="AI1255" t="s">
        <v>87</v>
      </c>
      <c r="AJ1255">
        <v>3.1</v>
      </c>
      <c r="AK1255" t="s">
        <v>47</v>
      </c>
      <c r="AL1255" t="s">
        <v>100</v>
      </c>
      <c r="AM1255" t="s">
        <v>77</v>
      </c>
      <c r="AN1255">
        <v>40</v>
      </c>
      <c r="AO1255" t="s">
        <v>46</v>
      </c>
    </row>
    <row r="1256" spans="1:41">
      <c r="A1256" t="s">
        <v>1408</v>
      </c>
      <c r="B1256">
        <v>2021</v>
      </c>
      <c r="C1256" s="1">
        <v>44209</v>
      </c>
      <c r="D1256" t="s">
        <v>95</v>
      </c>
      <c r="E1256" t="s">
        <v>130</v>
      </c>
      <c r="F1256">
        <v>61</v>
      </c>
      <c r="G1256" t="s">
        <v>60</v>
      </c>
      <c r="H1256" t="s">
        <v>61</v>
      </c>
      <c r="I1256">
        <v>27</v>
      </c>
      <c r="J1256">
        <v>11</v>
      </c>
      <c r="K1256" t="s">
        <v>46</v>
      </c>
      <c r="L1256" t="s">
        <v>46</v>
      </c>
      <c r="M1256" t="s">
        <v>47</v>
      </c>
      <c r="N1256" t="s">
        <v>48</v>
      </c>
      <c r="O1256" t="s">
        <v>49</v>
      </c>
      <c r="P1256">
        <v>24.9</v>
      </c>
      <c r="Q1256" t="s">
        <v>50</v>
      </c>
      <c r="R1256" t="s">
        <v>47</v>
      </c>
      <c r="S1256" t="s">
        <v>47</v>
      </c>
      <c r="T1256" t="s">
        <v>47</v>
      </c>
      <c r="U1256" t="s">
        <v>47</v>
      </c>
      <c r="V1256" t="s">
        <v>51</v>
      </c>
      <c r="W1256" t="s">
        <v>46</v>
      </c>
      <c r="X1256" t="s">
        <v>46</v>
      </c>
      <c r="Y1256" t="s">
        <v>47</v>
      </c>
      <c r="Z1256" t="s">
        <v>46</v>
      </c>
      <c r="AA1256" t="s">
        <v>46</v>
      </c>
      <c r="AB1256" t="s">
        <v>46</v>
      </c>
      <c r="AC1256" t="s">
        <v>47</v>
      </c>
      <c r="AD1256" t="s">
        <v>46</v>
      </c>
      <c r="AE1256" t="s">
        <v>47</v>
      </c>
      <c r="AF1256" t="s">
        <v>47</v>
      </c>
      <c r="AG1256" t="s">
        <v>52</v>
      </c>
      <c r="AH1256" t="s">
        <v>53</v>
      </c>
      <c r="AI1256" t="s">
        <v>54</v>
      </c>
      <c r="AJ1256">
        <v>5.7</v>
      </c>
      <c r="AK1256" t="s">
        <v>46</v>
      </c>
      <c r="AL1256" t="s">
        <v>81</v>
      </c>
      <c r="AM1256" t="s">
        <v>82</v>
      </c>
      <c r="AN1256">
        <v>9</v>
      </c>
      <c r="AO1256" t="s">
        <v>47</v>
      </c>
    </row>
    <row r="1257" spans="1:41">
      <c r="A1257" t="s">
        <v>1409</v>
      </c>
      <c r="B1257">
        <v>2016</v>
      </c>
      <c r="C1257" s="1">
        <v>42727</v>
      </c>
      <c r="D1257" t="s">
        <v>95</v>
      </c>
      <c r="E1257" t="s">
        <v>132</v>
      </c>
      <c r="F1257">
        <v>45</v>
      </c>
      <c r="G1257" t="s">
        <v>44</v>
      </c>
      <c r="H1257" t="s">
        <v>70</v>
      </c>
      <c r="I1257">
        <v>0</v>
      </c>
      <c r="J1257">
        <v>0</v>
      </c>
      <c r="K1257" t="s">
        <v>46</v>
      </c>
      <c r="L1257" t="s">
        <v>47</v>
      </c>
      <c r="M1257" t="s">
        <v>47</v>
      </c>
      <c r="N1257" t="s">
        <v>48</v>
      </c>
      <c r="O1257" t="s">
        <v>49</v>
      </c>
      <c r="P1257">
        <v>22.3</v>
      </c>
      <c r="Q1257" t="s">
        <v>50</v>
      </c>
      <c r="R1257" t="s">
        <v>47</v>
      </c>
      <c r="S1257" t="s">
        <v>47</v>
      </c>
      <c r="T1257" t="s">
        <v>47</v>
      </c>
      <c r="U1257" t="s">
        <v>47</v>
      </c>
      <c r="V1257" t="s">
        <v>51</v>
      </c>
      <c r="W1257" t="s">
        <v>47</v>
      </c>
      <c r="X1257" t="s">
        <v>47</v>
      </c>
      <c r="Y1257" t="s">
        <v>47</v>
      </c>
      <c r="Z1257" t="s">
        <v>47</v>
      </c>
      <c r="AA1257" t="s">
        <v>46</v>
      </c>
      <c r="AB1257" t="s">
        <v>47</v>
      </c>
      <c r="AC1257" t="s">
        <v>47</v>
      </c>
      <c r="AD1257" t="s">
        <v>47</v>
      </c>
      <c r="AE1257" t="s">
        <v>47</v>
      </c>
      <c r="AF1257" t="s">
        <v>47</v>
      </c>
      <c r="AG1257" t="s">
        <v>52</v>
      </c>
      <c r="AH1257" t="s">
        <v>53</v>
      </c>
      <c r="AI1257" t="s">
        <v>65</v>
      </c>
      <c r="AJ1257">
        <v>1.3</v>
      </c>
      <c r="AK1257" t="s">
        <v>47</v>
      </c>
      <c r="AL1257" t="s">
        <v>76</v>
      </c>
      <c r="AM1257" t="s">
        <v>118</v>
      </c>
      <c r="AN1257">
        <v>49</v>
      </c>
      <c r="AO1257" t="s">
        <v>47</v>
      </c>
    </row>
    <row r="1258" spans="1:41">
      <c r="A1258" t="s">
        <v>1410</v>
      </c>
      <c r="B1258">
        <v>2025</v>
      </c>
      <c r="C1258" s="1">
        <v>45859</v>
      </c>
      <c r="D1258" t="s">
        <v>110</v>
      </c>
      <c r="E1258" t="s">
        <v>227</v>
      </c>
      <c r="F1258">
        <v>61</v>
      </c>
      <c r="G1258" t="s">
        <v>60</v>
      </c>
      <c r="H1258" t="s">
        <v>70</v>
      </c>
      <c r="I1258">
        <v>0</v>
      </c>
      <c r="J1258">
        <v>0</v>
      </c>
      <c r="K1258" t="s">
        <v>47</v>
      </c>
      <c r="L1258" t="s">
        <v>47</v>
      </c>
      <c r="M1258" t="s">
        <v>46</v>
      </c>
      <c r="N1258" t="s">
        <v>62</v>
      </c>
      <c r="O1258" t="s">
        <v>48</v>
      </c>
      <c r="P1258">
        <v>29.5</v>
      </c>
      <c r="Q1258" t="s">
        <v>62</v>
      </c>
      <c r="R1258" t="s">
        <v>47</v>
      </c>
      <c r="S1258" t="s">
        <v>46</v>
      </c>
      <c r="T1258" t="s">
        <v>47</v>
      </c>
      <c r="U1258" t="s">
        <v>47</v>
      </c>
      <c r="V1258" t="s">
        <v>86</v>
      </c>
      <c r="W1258" t="s">
        <v>47</v>
      </c>
      <c r="X1258" t="s">
        <v>46</v>
      </c>
      <c r="Y1258" t="s">
        <v>47</v>
      </c>
      <c r="Z1258" t="s">
        <v>47</v>
      </c>
      <c r="AA1258" t="s">
        <v>46</v>
      </c>
      <c r="AB1258" t="s">
        <v>47</v>
      </c>
      <c r="AC1258" t="s">
        <v>47</v>
      </c>
      <c r="AD1258" t="s">
        <v>47</v>
      </c>
      <c r="AE1258" t="s">
        <v>47</v>
      </c>
      <c r="AF1258" t="s">
        <v>47</v>
      </c>
      <c r="AG1258" t="s">
        <v>52</v>
      </c>
      <c r="AH1258" t="s">
        <v>53</v>
      </c>
      <c r="AI1258" t="s">
        <v>54</v>
      </c>
      <c r="AJ1258">
        <v>7</v>
      </c>
      <c r="AK1258" t="s">
        <v>46</v>
      </c>
      <c r="AL1258" t="s">
        <v>81</v>
      </c>
      <c r="AM1258" t="s">
        <v>77</v>
      </c>
      <c r="AN1258">
        <v>12</v>
      </c>
      <c r="AO1258" t="s">
        <v>47</v>
      </c>
    </row>
    <row r="1259" spans="1:41">
      <c r="A1259" t="s">
        <v>1411</v>
      </c>
      <c r="B1259">
        <v>2020</v>
      </c>
      <c r="C1259" s="1">
        <v>44169</v>
      </c>
      <c r="D1259" t="s">
        <v>42</v>
      </c>
      <c r="E1259" t="s">
        <v>43</v>
      </c>
      <c r="F1259">
        <v>63</v>
      </c>
      <c r="G1259" t="s">
        <v>60</v>
      </c>
      <c r="H1259" t="s">
        <v>45</v>
      </c>
      <c r="I1259">
        <v>32</v>
      </c>
      <c r="J1259">
        <v>27</v>
      </c>
      <c r="K1259" t="s">
        <v>46</v>
      </c>
      <c r="L1259" t="s">
        <v>46</v>
      </c>
      <c r="M1259" t="s">
        <v>46</v>
      </c>
      <c r="N1259" t="s">
        <v>62</v>
      </c>
      <c r="O1259" t="s">
        <v>49</v>
      </c>
      <c r="P1259">
        <v>31.9</v>
      </c>
      <c r="Q1259" t="s">
        <v>50</v>
      </c>
      <c r="R1259" t="s">
        <v>47</v>
      </c>
      <c r="S1259" t="s">
        <v>47</v>
      </c>
      <c r="T1259" t="s">
        <v>47</v>
      </c>
      <c r="U1259" t="s">
        <v>47</v>
      </c>
      <c r="V1259" t="s">
        <v>112</v>
      </c>
      <c r="W1259" t="s">
        <v>46</v>
      </c>
      <c r="X1259" t="s">
        <v>46</v>
      </c>
      <c r="Y1259" t="s">
        <v>46</v>
      </c>
      <c r="Z1259" t="s">
        <v>47</v>
      </c>
      <c r="AA1259" t="s">
        <v>47</v>
      </c>
      <c r="AB1259" t="s">
        <v>47</v>
      </c>
      <c r="AC1259" t="s">
        <v>47</v>
      </c>
      <c r="AD1259" t="s">
        <v>47</v>
      </c>
      <c r="AE1259" t="s">
        <v>47</v>
      </c>
      <c r="AF1259" t="s">
        <v>47</v>
      </c>
      <c r="AG1259" t="s">
        <v>52</v>
      </c>
      <c r="AH1259" t="s">
        <v>71</v>
      </c>
      <c r="AI1259" t="s">
        <v>65</v>
      </c>
      <c r="AJ1259">
        <v>1.3</v>
      </c>
      <c r="AK1259" t="s">
        <v>47</v>
      </c>
      <c r="AL1259" t="s">
        <v>72</v>
      </c>
      <c r="AM1259" t="s">
        <v>82</v>
      </c>
      <c r="AN1259">
        <v>37</v>
      </c>
      <c r="AO1259" t="s">
        <v>46</v>
      </c>
    </row>
    <row r="1260" spans="1:41">
      <c r="A1260" t="s">
        <v>1412</v>
      </c>
      <c r="B1260">
        <v>2016</v>
      </c>
      <c r="C1260" s="1">
        <v>42476</v>
      </c>
      <c r="D1260" t="s">
        <v>58</v>
      </c>
      <c r="E1260" t="s">
        <v>169</v>
      </c>
      <c r="F1260">
        <v>64</v>
      </c>
      <c r="G1260" t="s">
        <v>44</v>
      </c>
      <c r="H1260" t="s">
        <v>45</v>
      </c>
      <c r="I1260">
        <v>12</v>
      </c>
      <c r="J1260">
        <v>34</v>
      </c>
      <c r="K1260" t="s">
        <v>46</v>
      </c>
      <c r="L1260" t="s">
        <v>46</v>
      </c>
      <c r="M1260" t="s">
        <v>47</v>
      </c>
      <c r="N1260" t="s">
        <v>50</v>
      </c>
      <c r="O1260" t="s">
        <v>63</v>
      </c>
      <c r="P1260">
        <v>31.2</v>
      </c>
      <c r="Q1260" t="s">
        <v>48</v>
      </c>
      <c r="R1260" t="s">
        <v>47</v>
      </c>
      <c r="S1260" t="s">
        <v>47</v>
      </c>
      <c r="T1260" t="s">
        <v>47</v>
      </c>
      <c r="U1260" t="s">
        <v>47</v>
      </c>
      <c r="V1260" t="s">
        <v>51</v>
      </c>
      <c r="W1260" t="s">
        <v>47</v>
      </c>
      <c r="X1260" t="s">
        <v>46</v>
      </c>
      <c r="Y1260" t="s">
        <v>46</v>
      </c>
      <c r="Z1260" t="s">
        <v>46</v>
      </c>
      <c r="AA1260" t="s">
        <v>46</v>
      </c>
      <c r="AB1260" t="s">
        <v>46</v>
      </c>
      <c r="AC1260" t="s">
        <v>47</v>
      </c>
      <c r="AD1260" t="s">
        <v>47</v>
      </c>
      <c r="AE1260" t="s">
        <v>47</v>
      </c>
      <c r="AF1260" t="s">
        <v>47</v>
      </c>
      <c r="AG1260" t="s">
        <v>52</v>
      </c>
      <c r="AH1260" t="s">
        <v>53</v>
      </c>
      <c r="AI1260" t="s">
        <v>54</v>
      </c>
      <c r="AJ1260">
        <v>8.5</v>
      </c>
      <c r="AK1260" t="s">
        <v>46</v>
      </c>
      <c r="AL1260" t="s">
        <v>66</v>
      </c>
      <c r="AM1260" t="s">
        <v>77</v>
      </c>
      <c r="AN1260">
        <v>7</v>
      </c>
      <c r="AO1260" t="s">
        <v>47</v>
      </c>
    </row>
    <row r="1261" spans="1:41">
      <c r="A1261" t="s">
        <v>1413</v>
      </c>
      <c r="B1261">
        <v>2021</v>
      </c>
      <c r="C1261" s="1">
        <v>44274</v>
      </c>
      <c r="D1261" t="s">
        <v>42</v>
      </c>
      <c r="E1261" t="s">
        <v>160</v>
      </c>
      <c r="F1261">
        <v>49</v>
      </c>
      <c r="G1261" t="s">
        <v>60</v>
      </c>
      <c r="H1261" t="s">
        <v>70</v>
      </c>
      <c r="I1261">
        <v>0</v>
      </c>
      <c r="J1261">
        <v>0</v>
      </c>
      <c r="K1261" t="s">
        <v>47</v>
      </c>
      <c r="L1261" t="s">
        <v>47</v>
      </c>
      <c r="M1261" t="s">
        <v>47</v>
      </c>
      <c r="N1261" t="s">
        <v>48</v>
      </c>
      <c r="O1261" t="s">
        <v>48</v>
      </c>
      <c r="P1261">
        <v>22.2</v>
      </c>
      <c r="Q1261" t="s">
        <v>62</v>
      </c>
      <c r="R1261" t="s">
        <v>47</v>
      </c>
      <c r="S1261" t="s">
        <v>47</v>
      </c>
      <c r="T1261" t="s">
        <v>47</v>
      </c>
      <c r="U1261" t="s">
        <v>47</v>
      </c>
      <c r="V1261" t="s">
        <v>51</v>
      </c>
      <c r="W1261" t="s">
        <v>46</v>
      </c>
      <c r="X1261" t="s">
        <v>47</v>
      </c>
      <c r="Y1261" t="s">
        <v>47</v>
      </c>
      <c r="Z1261" t="s">
        <v>47</v>
      </c>
      <c r="AA1261" t="s">
        <v>46</v>
      </c>
      <c r="AB1261" t="s">
        <v>47</v>
      </c>
      <c r="AC1261" t="s">
        <v>47</v>
      </c>
      <c r="AD1261" t="s">
        <v>46</v>
      </c>
      <c r="AE1261" t="s">
        <v>47</v>
      </c>
      <c r="AF1261" t="s">
        <v>47</v>
      </c>
      <c r="AG1261" t="s">
        <v>52</v>
      </c>
      <c r="AH1261" t="s">
        <v>90</v>
      </c>
      <c r="AI1261" t="s">
        <v>87</v>
      </c>
      <c r="AJ1261">
        <v>2.7</v>
      </c>
      <c r="AK1261" t="s">
        <v>47</v>
      </c>
      <c r="AL1261" t="s">
        <v>66</v>
      </c>
      <c r="AM1261" t="s">
        <v>77</v>
      </c>
      <c r="AN1261">
        <v>45</v>
      </c>
      <c r="AO1261" t="s">
        <v>46</v>
      </c>
    </row>
    <row r="1262" spans="1:41">
      <c r="A1262" t="s">
        <v>1414</v>
      </c>
      <c r="B1262">
        <v>2025</v>
      </c>
      <c r="C1262" s="1">
        <v>45922</v>
      </c>
      <c r="D1262" t="s">
        <v>42</v>
      </c>
      <c r="E1262" t="s">
        <v>210</v>
      </c>
      <c r="F1262">
        <v>60</v>
      </c>
      <c r="G1262" t="s">
        <v>60</v>
      </c>
      <c r="H1262" t="s">
        <v>70</v>
      </c>
      <c r="I1262">
        <v>0</v>
      </c>
      <c r="J1262">
        <v>0</v>
      </c>
      <c r="K1262" t="s">
        <v>46</v>
      </c>
      <c r="L1262" t="s">
        <v>46</v>
      </c>
      <c r="M1262" t="s">
        <v>47</v>
      </c>
      <c r="N1262" t="s">
        <v>48</v>
      </c>
      <c r="O1262" t="s">
        <v>49</v>
      </c>
      <c r="P1262">
        <v>21.7</v>
      </c>
      <c r="Q1262" t="s">
        <v>50</v>
      </c>
      <c r="R1262" t="s">
        <v>47</v>
      </c>
      <c r="S1262" t="s">
        <v>47</v>
      </c>
      <c r="T1262" t="s">
        <v>47</v>
      </c>
      <c r="U1262" t="s">
        <v>47</v>
      </c>
      <c r="V1262" t="s">
        <v>51</v>
      </c>
      <c r="W1262" t="s">
        <v>46</v>
      </c>
      <c r="X1262" t="s">
        <v>47</v>
      </c>
      <c r="Y1262" t="s">
        <v>46</v>
      </c>
      <c r="Z1262" t="s">
        <v>47</v>
      </c>
      <c r="AA1262" t="s">
        <v>46</v>
      </c>
      <c r="AB1262" t="s">
        <v>47</v>
      </c>
      <c r="AC1262" t="s">
        <v>47</v>
      </c>
      <c r="AD1262" t="s">
        <v>47</v>
      </c>
      <c r="AE1262" t="s">
        <v>47</v>
      </c>
      <c r="AF1262" t="s">
        <v>46</v>
      </c>
      <c r="AG1262" t="s">
        <v>121</v>
      </c>
      <c r="AH1262" t="s">
        <v>122</v>
      </c>
      <c r="AI1262" t="s">
        <v>65</v>
      </c>
      <c r="AJ1262">
        <v>2.2000000000000002</v>
      </c>
      <c r="AK1262" t="s">
        <v>47</v>
      </c>
      <c r="AL1262" t="s">
        <v>156</v>
      </c>
      <c r="AM1262" t="s">
        <v>73</v>
      </c>
      <c r="AN1262">
        <v>49</v>
      </c>
      <c r="AO1262" t="s">
        <v>46</v>
      </c>
    </row>
    <row r="1263" spans="1:41">
      <c r="A1263" t="s">
        <v>1415</v>
      </c>
      <c r="B1263">
        <v>2019</v>
      </c>
      <c r="C1263" s="1">
        <v>43466</v>
      </c>
      <c r="D1263" t="s">
        <v>95</v>
      </c>
      <c r="E1263" t="s">
        <v>107</v>
      </c>
      <c r="F1263">
        <v>69</v>
      </c>
      <c r="G1263" t="s">
        <v>60</v>
      </c>
      <c r="H1263" t="s">
        <v>45</v>
      </c>
      <c r="I1263">
        <v>16</v>
      </c>
      <c r="J1263">
        <v>29</v>
      </c>
      <c r="K1263" t="s">
        <v>46</v>
      </c>
      <c r="L1263" t="s">
        <v>46</v>
      </c>
      <c r="M1263" t="s">
        <v>47</v>
      </c>
      <c r="N1263" t="s">
        <v>50</v>
      </c>
      <c r="O1263" t="s">
        <v>63</v>
      </c>
      <c r="P1263">
        <v>25.3</v>
      </c>
      <c r="Q1263" t="s">
        <v>50</v>
      </c>
      <c r="R1263" t="s">
        <v>47</v>
      </c>
      <c r="S1263" t="s">
        <v>47</v>
      </c>
      <c r="T1263" t="s">
        <v>47</v>
      </c>
      <c r="U1263" t="s">
        <v>46</v>
      </c>
      <c r="V1263" t="s">
        <v>86</v>
      </c>
      <c r="W1263" t="s">
        <v>46</v>
      </c>
      <c r="X1263" t="s">
        <v>46</v>
      </c>
      <c r="Y1263" t="s">
        <v>47</v>
      </c>
      <c r="Z1263" t="s">
        <v>47</v>
      </c>
      <c r="AA1263" t="s">
        <v>46</v>
      </c>
      <c r="AB1263" t="s">
        <v>47</v>
      </c>
      <c r="AC1263" t="s">
        <v>46</v>
      </c>
      <c r="AD1263" t="s">
        <v>47</v>
      </c>
      <c r="AE1263" t="s">
        <v>47</v>
      </c>
      <c r="AF1263" t="s">
        <v>47</v>
      </c>
      <c r="AG1263" t="s">
        <v>121</v>
      </c>
      <c r="AH1263" t="s">
        <v>122</v>
      </c>
      <c r="AI1263" t="s">
        <v>80</v>
      </c>
      <c r="AJ1263">
        <v>4.9000000000000004</v>
      </c>
      <c r="AK1263" t="s">
        <v>47</v>
      </c>
      <c r="AL1263" t="s">
        <v>81</v>
      </c>
      <c r="AM1263" t="s">
        <v>56</v>
      </c>
      <c r="AN1263">
        <v>5</v>
      </c>
      <c r="AO1263" t="s">
        <v>47</v>
      </c>
    </row>
    <row r="1264" spans="1:41">
      <c r="A1264" t="s">
        <v>1416</v>
      </c>
      <c r="B1264">
        <v>2022</v>
      </c>
      <c r="C1264" s="1">
        <v>44620</v>
      </c>
      <c r="D1264" t="s">
        <v>42</v>
      </c>
      <c r="E1264" t="s">
        <v>79</v>
      </c>
      <c r="F1264">
        <v>62</v>
      </c>
      <c r="G1264" t="s">
        <v>60</v>
      </c>
      <c r="H1264" t="s">
        <v>70</v>
      </c>
      <c r="I1264">
        <v>0</v>
      </c>
      <c r="J1264">
        <v>0</v>
      </c>
      <c r="K1264" t="s">
        <v>46</v>
      </c>
      <c r="L1264" t="s">
        <v>47</v>
      </c>
      <c r="M1264" t="s">
        <v>47</v>
      </c>
      <c r="N1264" t="s">
        <v>62</v>
      </c>
      <c r="O1264" t="s">
        <v>49</v>
      </c>
      <c r="P1264">
        <v>17.5</v>
      </c>
      <c r="Q1264" t="s">
        <v>50</v>
      </c>
      <c r="R1264" t="s">
        <v>47</v>
      </c>
      <c r="S1264" t="s">
        <v>47</v>
      </c>
      <c r="T1264" t="s">
        <v>47</v>
      </c>
      <c r="U1264" t="s">
        <v>47</v>
      </c>
      <c r="V1264" t="s">
        <v>151</v>
      </c>
      <c r="W1264" t="s">
        <v>47</v>
      </c>
      <c r="X1264" t="s">
        <v>47</v>
      </c>
      <c r="Y1264" t="s">
        <v>47</v>
      </c>
      <c r="Z1264" t="s">
        <v>47</v>
      </c>
      <c r="AA1264" t="s">
        <v>46</v>
      </c>
      <c r="AB1264" t="s">
        <v>47</v>
      </c>
      <c r="AC1264" t="s">
        <v>47</v>
      </c>
      <c r="AD1264" t="s">
        <v>47</v>
      </c>
      <c r="AE1264" t="s">
        <v>46</v>
      </c>
      <c r="AF1264" t="s">
        <v>47</v>
      </c>
      <c r="AG1264" t="s">
        <v>52</v>
      </c>
      <c r="AH1264" t="s">
        <v>90</v>
      </c>
      <c r="AI1264" t="s">
        <v>54</v>
      </c>
      <c r="AJ1264">
        <v>7.6</v>
      </c>
      <c r="AK1264" t="s">
        <v>46</v>
      </c>
      <c r="AL1264" t="s">
        <v>76</v>
      </c>
      <c r="AM1264" t="s">
        <v>77</v>
      </c>
      <c r="AN1264">
        <v>10</v>
      </c>
      <c r="AO1264" t="s">
        <v>47</v>
      </c>
    </row>
    <row r="1265" spans="1:41">
      <c r="A1265" t="s">
        <v>1417</v>
      </c>
      <c r="B1265">
        <v>2025</v>
      </c>
      <c r="C1265" s="1">
        <v>45996</v>
      </c>
      <c r="D1265" t="s">
        <v>58</v>
      </c>
      <c r="E1265" t="s">
        <v>252</v>
      </c>
      <c r="F1265">
        <v>48</v>
      </c>
      <c r="G1265" t="s">
        <v>44</v>
      </c>
      <c r="H1265" t="s">
        <v>70</v>
      </c>
      <c r="I1265">
        <v>0</v>
      </c>
      <c r="J1265">
        <v>0</v>
      </c>
      <c r="K1265" t="s">
        <v>47</v>
      </c>
      <c r="L1265" t="s">
        <v>47</v>
      </c>
      <c r="M1265" t="s">
        <v>47</v>
      </c>
      <c r="N1265" t="s">
        <v>50</v>
      </c>
      <c r="O1265" t="s">
        <v>48</v>
      </c>
      <c r="P1265">
        <v>28.9</v>
      </c>
      <c r="Q1265" t="s">
        <v>50</v>
      </c>
      <c r="R1265" t="s">
        <v>47</v>
      </c>
      <c r="S1265" t="s">
        <v>47</v>
      </c>
      <c r="T1265" t="s">
        <v>47</v>
      </c>
      <c r="U1265" t="s">
        <v>47</v>
      </c>
      <c r="V1265" t="s">
        <v>193</v>
      </c>
      <c r="W1265" t="s">
        <v>46</v>
      </c>
      <c r="X1265" t="s">
        <v>46</v>
      </c>
      <c r="Y1265" t="s">
        <v>47</v>
      </c>
      <c r="Z1265" t="s">
        <v>47</v>
      </c>
      <c r="AA1265" t="s">
        <v>47</v>
      </c>
      <c r="AB1265" t="s">
        <v>46</v>
      </c>
      <c r="AC1265" t="s">
        <v>46</v>
      </c>
      <c r="AD1265" t="s">
        <v>47</v>
      </c>
      <c r="AE1265" t="s">
        <v>47</v>
      </c>
      <c r="AF1265" t="s">
        <v>47</v>
      </c>
      <c r="AG1265" t="s">
        <v>52</v>
      </c>
      <c r="AH1265" t="s">
        <v>53</v>
      </c>
      <c r="AI1265" t="s">
        <v>65</v>
      </c>
      <c r="AJ1265">
        <v>3.2</v>
      </c>
      <c r="AK1265" t="s">
        <v>47</v>
      </c>
      <c r="AL1265" t="s">
        <v>72</v>
      </c>
      <c r="AM1265" t="s">
        <v>103</v>
      </c>
      <c r="AN1265">
        <v>68</v>
      </c>
      <c r="AO1265" t="s">
        <v>47</v>
      </c>
    </row>
    <row r="1266" spans="1:41">
      <c r="A1266" t="s">
        <v>1418</v>
      </c>
      <c r="B1266">
        <v>2024</v>
      </c>
      <c r="C1266" s="1">
        <v>45330</v>
      </c>
      <c r="D1266" t="s">
        <v>84</v>
      </c>
      <c r="E1266" t="s">
        <v>102</v>
      </c>
      <c r="F1266">
        <v>46</v>
      </c>
      <c r="G1266" t="s">
        <v>44</v>
      </c>
      <c r="H1266" t="s">
        <v>70</v>
      </c>
      <c r="I1266">
        <v>0</v>
      </c>
      <c r="J1266">
        <v>0</v>
      </c>
      <c r="K1266" t="s">
        <v>47</v>
      </c>
      <c r="L1266" t="s">
        <v>46</v>
      </c>
      <c r="M1266" t="s">
        <v>47</v>
      </c>
      <c r="N1266" t="s">
        <v>48</v>
      </c>
      <c r="O1266" t="s">
        <v>49</v>
      </c>
      <c r="P1266">
        <v>24.1</v>
      </c>
      <c r="Q1266" t="s">
        <v>48</v>
      </c>
      <c r="R1266" t="s">
        <v>47</v>
      </c>
      <c r="S1266" t="s">
        <v>47</v>
      </c>
      <c r="T1266" t="s">
        <v>47</v>
      </c>
      <c r="U1266" t="s">
        <v>47</v>
      </c>
      <c r="V1266" t="s">
        <v>51</v>
      </c>
      <c r="W1266" t="s">
        <v>46</v>
      </c>
      <c r="X1266" t="s">
        <v>47</v>
      </c>
      <c r="Y1266" t="s">
        <v>46</v>
      </c>
      <c r="Z1266" t="s">
        <v>47</v>
      </c>
      <c r="AA1266" t="s">
        <v>47</v>
      </c>
      <c r="AB1266" t="s">
        <v>47</v>
      </c>
      <c r="AC1266" t="s">
        <v>47</v>
      </c>
      <c r="AD1266" t="s">
        <v>47</v>
      </c>
      <c r="AE1266" t="s">
        <v>47</v>
      </c>
      <c r="AF1266" t="s">
        <v>47</v>
      </c>
      <c r="AG1266" t="s">
        <v>52</v>
      </c>
      <c r="AH1266" t="s">
        <v>53</v>
      </c>
      <c r="AI1266" t="s">
        <v>87</v>
      </c>
      <c r="AJ1266">
        <v>4.8</v>
      </c>
      <c r="AK1266" t="s">
        <v>47</v>
      </c>
      <c r="AL1266" t="s">
        <v>76</v>
      </c>
      <c r="AM1266" t="s">
        <v>67</v>
      </c>
      <c r="AN1266">
        <v>49</v>
      </c>
      <c r="AO1266" t="s">
        <v>46</v>
      </c>
    </row>
    <row r="1267" spans="1:41">
      <c r="A1267" t="s">
        <v>1419</v>
      </c>
      <c r="B1267">
        <v>2020</v>
      </c>
      <c r="C1267" s="1">
        <v>43885</v>
      </c>
      <c r="D1267" t="s">
        <v>58</v>
      </c>
      <c r="E1267" t="s">
        <v>169</v>
      </c>
      <c r="F1267">
        <v>63</v>
      </c>
      <c r="G1267" t="s">
        <v>44</v>
      </c>
      <c r="H1267" t="s">
        <v>61</v>
      </c>
      <c r="I1267">
        <v>9</v>
      </c>
      <c r="J1267">
        <v>15</v>
      </c>
      <c r="K1267" t="s">
        <v>46</v>
      </c>
      <c r="L1267" t="s">
        <v>46</v>
      </c>
      <c r="M1267" t="s">
        <v>47</v>
      </c>
      <c r="N1267" t="s">
        <v>48</v>
      </c>
      <c r="O1267" t="s">
        <v>49</v>
      </c>
      <c r="P1267">
        <v>22.6</v>
      </c>
      <c r="Q1267" t="s">
        <v>62</v>
      </c>
      <c r="R1267" t="s">
        <v>47</v>
      </c>
      <c r="S1267" t="s">
        <v>47</v>
      </c>
      <c r="T1267" t="s">
        <v>47</v>
      </c>
      <c r="U1267" t="s">
        <v>47</v>
      </c>
      <c r="V1267" t="s">
        <v>51</v>
      </c>
      <c r="W1267" t="s">
        <v>46</v>
      </c>
      <c r="X1267" t="s">
        <v>46</v>
      </c>
      <c r="Y1267" t="s">
        <v>46</v>
      </c>
      <c r="Z1267" t="s">
        <v>47</v>
      </c>
      <c r="AA1267" t="s">
        <v>46</v>
      </c>
      <c r="AB1267" t="s">
        <v>47</v>
      </c>
      <c r="AC1267" t="s">
        <v>47</v>
      </c>
      <c r="AD1267" t="s">
        <v>47</v>
      </c>
      <c r="AE1267" t="s">
        <v>47</v>
      </c>
      <c r="AF1267" t="s">
        <v>46</v>
      </c>
      <c r="AG1267" t="s">
        <v>52</v>
      </c>
      <c r="AH1267" t="s">
        <v>71</v>
      </c>
      <c r="AI1267" t="s">
        <v>87</v>
      </c>
      <c r="AJ1267">
        <v>5.2</v>
      </c>
      <c r="AK1267" t="s">
        <v>47</v>
      </c>
      <c r="AL1267" t="s">
        <v>76</v>
      </c>
      <c r="AM1267" t="s">
        <v>67</v>
      </c>
      <c r="AN1267">
        <v>39</v>
      </c>
      <c r="AO1267" t="s">
        <v>46</v>
      </c>
    </row>
    <row r="1268" spans="1:41">
      <c r="A1268" t="s">
        <v>1420</v>
      </c>
      <c r="B1268">
        <v>2024</v>
      </c>
      <c r="C1268" s="1">
        <v>45333</v>
      </c>
      <c r="D1268" t="s">
        <v>110</v>
      </c>
      <c r="E1268" t="s">
        <v>111</v>
      </c>
      <c r="F1268">
        <v>57</v>
      </c>
      <c r="G1268" t="s">
        <v>60</v>
      </c>
      <c r="H1268" t="s">
        <v>70</v>
      </c>
      <c r="I1268">
        <v>0</v>
      </c>
      <c r="J1268">
        <v>0</v>
      </c>
      <c r="K1268" t="s">
        <v>46</v>
      </c>
      <c r="L1268" t="s">
        <v>47</v>
      </c>
      <c r="M1268" t="s">
        <v>46</v>
      </c>
      <c r="N1268" t="s">
        <v>62</v>
      </c>
      <c r="O1268" t="s">
        <v>63</v>
      </c>
      <c r="P1268">
        <v>30.6</v>
      </c>
      <c r="Q1268" t="s">
        <v>48</v>
      </c>
      <c r="R1268" t="s">
        <v>47</v>
      </c>
      <c r="S1268" t="s">
        <v>47</v>
      </c>
      <c r="T1268" t="s">
        <v>47</v>
      </c>
      <c r="U1268" t="s">
        <v>47</v>
      </c>
      <c r="V1268" t="s">
        <v>86</v>
      </c>
      <c r="W1268" t="s">
        <v>47</v>
      </c>
      <c r="X1268" t="s">
        <v>47</v>
      </c>
      <c r="Y1268" t="s">
        <v>46</v>
      </c>
      <c r="Z1268" t="s">
        <v>47</v>
      </c>
      <c r="AA1268" t="s">
        <v>46</v>
      </c>
      <c r="AB1268" t="s">
        <v>47</v>
      </c>
      <c r="AC1268" t="s">
        <v>47</v>
      </c>
      <c r="AD1268" t="s">
        <v>47</v>
      </c>
      <c r="AE1268" t="s">
        <v>47</v>
      </c>
      <c r="AF1268" t="s">
        <v>47</v>
      </c>
      <c r="AG1268" t="s">
        <v>52</v>
      </c>
      <c r="AH1268" t="s">
        <v>90</v>
      </c>
      <c r="AI1268" t="s">
        <v>87</v>
      </c>
      <c r="AJ1268">
        <v>3.8</v>
      </c>
      <c r="AK1268" t="s">
        <v>47</v>
      </c>
      <c r="AL1268" t="s">
        <v>156</v>
      </c>
      <c r="AM1268" t="s">
        <v>67</v>
      </c>
      <c r="AN1268">
        <v>23</v>
      </c>
      <c r="AO1268" t="s">
        <v>46</v>
      </c>
    </row>
    <row r="1269" spans="1:41">
      <c r="A1269" t="s">
        <v>1421</v>
      </c>
      <c r="B1269">
        <v>2025</v>
      </c>
      <c r="C1269" s="1">
        <v>45782</v>
      </c>
      <c r="D1269" t="s">
        <v>84</v>
      </c>
      <c r="E1269" t="s">
        <v>102</v>
      </c>
      <c r="F1269">
        <v>54</v>
      </c>
      <c r="G1269" t="s">
        <v>60</v>
      </c>
      <c r="H1269" t="s">
        <v>70</v>
      </c>
      <c r="I1269">
        <v>0</v>
      </c>
      <c r="J1269">
        <v>0</v>
      </c>
      <c r="K1269" t="s">
        <v>46</v>
      </c>
      <c r="L1269" t="s">
        <v>47</v>
      </c>
      <c r="M1269" t="s">
        <v>47</v>
      </c>
      <c r="N1269" t="s">
        <v>48</v>
      </c>
      <c r="O1269" t="s">
        <v>48</v>
      </c>
      <c r="P1269">
        <v>29.7</v>
      </c>
      <c r="Q1269" t="s">
        <v>50</v>
      </c>
      <c r="R1269" t="s">
        <v>47</v>
      </c>
      <c r="S1269" t="s">
        <v>46</v>
      </c>
      <c r="T1269" t="s">
        <v>47</v>
      </c>
      <c r="U1269" t="s">
        <v>47</v>
      </c>
      <c r="V1269" t="s">
        <v>51</v>
      </c>
      <c r="W1269" t="s">
        <v>47</v>
      </c>
      <c r="X1269" t="s">
        <v>47</v>
      </c>
      <c r="Y1269" t="s">
        <v>47</v>
      </c>
      <c r="Z1269" t="s">
        <v>47</v>
      </c>
      <c r="AA1269" t="s">
        <v>46</v>
      </c>
      <c r="AB1269" t="s">
        <v>46</v>
      </c>
      <c r="AC1269" t="s">
        <v>47</v>
      </c>
      <c r="AD1269" t="s">
        <v>47</v>
      </c>
      <c r="AE1269" t="s">
        <v>47</v>
      </c>
      <c r="AF1269" t="s">
        <v>47</v>
      </c>
      <c r="AG1269" t="s">
        <v>52</v>
      </c>
      <c r="AH1269" t="s">
        <v>71</v>
      </c>
      <c r="AI1269" t="s">
        <v>87</v>
      </c>
      <c r="AJ1269">
        <v>5.2</v>
      </c>
      <c r="AK1269" t="s">
        <v>47</v>
      </c>
      <c r="AL1269" t="s">
        <v>72</v>
      </c>
      <c r="AM1269" t="s">
        <v>73</v>
      </c>
      <c r="AN1269">
        <v>36</v>
      </c>
      <c r="AO1269" t="s">
        <v>47</v>
      </c>
    </row>
    <row r="1270" spans="1:41">
      <c r="A1270" t="s">
        <v>1422</v>
      </c>
      <c r="B1270">
        <v>2020</v>
      </c>
      <c r="C1270" s="1">
        <v>43911</v>
      </c>
      <c r="D1270" t="s">
        <v>42</v>
      </c>
      <c r="E1270" t="s">
        <v>166</v>
      </c>
      <c r="F1270">
        <v>46</v>
      </c>
      <c r="G1270" t="s">
        <v>60</v>
      </c>
      <c r="H1270" t="s">
        <v>61</v>
      </c>
      <c r="I1270">
        <v>19</v>
      </c>
      <c r="J1270">
        <v>26</v>
      </c>
      <c r="K1270" t="s">
        <v>47</v>
      </c>
      <c r="L1270" t="s">
        <v>47</v>
      </c>
      <c r="M1270" t="s">
        <v>47</v>
      </c>
      <c r="N1270" t="s">
        <v>62</v>
      </c>
      <c r="O1270" t="s">
        <v>63</v>
      </c>
      <c r="P1270">
        <v>29.2</v>
      </c>
      <c r="Q1270" t="s">
        <v>50</v>
      </c>
      <c r="R1270" t="s">
        <v>47</v>
      </c>
      <c r="S1270" t="s">
        <v>47</v>
      </c>
      <c r="T1270" t="s">
        <v>47</v>
      </c>
      <c r="U1270" t="s">
        <v>47</v>
      </c>
      <c r="V1270" t="s">
        <v>128</v>
      </c>
      <c r="W1270" t="s">
        <v>47</v>
      </c>
      <c r="X1270" t="s">
        <v>46</v>
      </c>
      <c r="Y1270" t="s">
        <v>47</v>
      </c>
      <c r="Z1270" t="s">
        <v>47</v>
      </c>
      <c r="AA1270" t="s">
        <v>47</v>
      </c>
      <c r="AB1270" t="s">
        <v>47</v>
      </c>
      <c r="AC1270" t="s">
        <v>47</v>
      </c>
      <c r="AD1270" t="s">
        <v>46</v>
      </c>
      <c r="AE1270" t="s">
        <v>47</v>
      </c>
      <c r="AF1270" t="s">
        <v>47</v>
      </c>
      <c r="AG1270" t="s">
        <v>52</v>
      </c>
      <c r="AH1270" t="s">
        <v>53</v>
      </c>
      <c r="AI1270" t="s">
        <v>65</v>
      </c>
      <c r="AJ1270">
        <v>0.9</v>
      </c>
      <c r="AK1270" t="s">
        <v>47</v>
      </c>
      <c r="AL1270" t="s">
        <v>76</v>
      </c>
      <c r="AM1270" t="s">
        <v>73</v>
      </c>
      <c r="AN1270">
        <v>76</v>
      </c>
      <c r="AO1270" t="s">
        <v>46</v>
      </c>
    </row>
    <row r="1271" spans="1:41">
      <c r="A1271" t="s">
        <v>1423</v>
      </c>
      <c r="B1271">
        <v>2023</v>
      </c>
      <c r="C1271" s="1">
        <v>44974</v>
      </c>
      <c r="D1271" t="s">
        <v>95</v>
      </c>
      <c r="E1271" t="s">
        <v>255</v>
      </c>
      <c r="F1271">
        <v>64</v>
      </c>
      <c r="G1271" t="s">
        <v>44</v>
      </c>
      <c r="H1271" t="s">
        <v>45</v>
      </c>
      <c r="I1271">
        <v>31</v>
      </c>
      <c r="J1271">
        <v>29</v>
      </c>
      <c r="K1271" t="s">
        <v>46</v>
      </c>
      <c r="L1271" t="s">
        <v>47</v>
      </c>
      <c r="M1271" t="s">
        <v>47</v>
      </c>
      <c r="N1271" t="s">
        <v>50</v>
      </c>
      <c r="O1271" t="s">
        <v>49</v>
      </c>
      <c r="P1271">
        <v>25.4</v>
      </c>
      <c r="Q1271" t="s">
        <v>62</v>
      </c>
      <c r="R1271" t="s">
        <v>47</v>
      </c>
      <c r="S1271" t="s">
        <v>47</v>
      </c>
      <c r="T1271" t="s">
        <v>47</v>
      </c>
      <c r="U1271" t="s">
        <v>47</v>
      </c>
      <c r="V1271" t="s">
        <v>64</v>
      </c>
      <c r="W1271" t="s">
        <v>47</v>
      </c>
      <c r="X1271" t="s">
        <v>47</v>
      </c>
      <c r="Y1271" t="s">
        <v>47</v>
      </c>
      <c r="Z1271" t="s">
        <v>47</v>
      </c>
      <c r="AA1271" t="s">
        <v>47</v>
      </c>
      <c r="AB1271" t="s">
        <v>47</v>
      </c>
      <c r="AC1271" t="s">
        <v>47</v>
      </c>
      <c r="AD1271" t="s">
        <v>47</v>
      </c>
      <c r="AE1271" t="s">
        <v>47</v>
      </c>
      <c r="AF1271" t="s">
        <v>47</v>
      </c>
      <c r="AG1271" t="s">
        <v>52</v>
      </c>
      <c r="AH1271" t="s">
        <v>90</v>
      </c>
      <c r="AI1271" t="s">
        <v>80</v>
      </c>
      <c r="AJ1271">
        <v>5.6</v>
      </c>
      <c r="AK1271" t="s">
        <v>47</v>
      </c>
      <c r="AL1271" t="s">
        <v>76</v>
      </c>
      <c r="AM1271" t="s">
        <v>77</v>
      </c>
      <c r="AN1271">
        <v>17</v>
      </c>
      <c r="AO1271" t="s">
        <v>46</v>
      </c>
    </row>
    <row r="1272" spans="1:41">
      <c r="A1272" t="s">
        <v>1424</v>
      </c>
      <c r="B1272">
        <v>2025</v>
      </c>
      <c r="C1272" s="1">
        <v>45677</v>
      </c>
      <c r="D1272" t="s">
        <v>42</v>
      </c>
      <c r="E1272" t="s">
        <v>166</v>
      </c>
      <c r="F1272">
        <v>67</v>
      </c>
      <c r="G1272" t="s">
        <v>44</v>
      </c>
      <c r="H1272" t="s">
        <v>70</v>
      </c>
      <c r="I1272">
        <v>0</v>
      </c>
      <c r="J1272">
        <v>0</v>
      </c>
      <c r="K1272" t="s">
        <v>46</v>
      </c>
      <c r="L1272" t="s">
        <v>47</v>
      </c>
      <c r="M1272" t="s">
        <v>46</v>
      </c>
      <c r="N1272" t="s">
        <v>62</v>
      </c>
      <c r="O1272" t="s">
        <v>48</v>
      </c>
      <c r="P1272">
        <v>27.9</v>
      </c>
      <c r="Q1272" t="s">
        <v>50</v>
      </c>
      <c r="R1272" t="s">
        <v>47</v>
      </c>
      <c r="S1272" t="s">
        <v>47</v>
      </c>
      <c r="T1272" t="s">
        <v>47</v>
      </c>
      <c r="U1272" t="s">
        <v>46</v>
      </c>
      <c r="V1272" t="s">
        <v>92</v>
      </c>
      <c r="W1272" t="s">
        <v>47</v>
      </c>
      <c r="X1272" t="s">
        <v>46</v>
      </c>
      <c r="Y1272" t="s">
        <v>46</v>
      </c>
      <c r="Z1272" t="s">
        <v>47</v>
      </c>
      <c r="AA1272" t="s">
        <v>46</v>
      </c>
      <c r="AB1272" t="s">
        <v>47</v>
      </c>
      <c r="AC1272" t="s">
        <v>47</v>
      </c>
      <c r="AD1272" t="s">
        <v>46</v>
      </c>
      <c r="AE1272" t="s">
        <v>47</v>
      </c>
      <c r="AF1272" t="s">
        <v>47</v>
      </c>
      <c r="AG1272" t="s">
        <v>52</v>
      </c>
      <c r="AH1272" t="s">
        <v>90</v>
      </c>
      <c r="AI1272" t="s">
        <v>87</v>
      </c>
      <c r="AJ1272">
        <v>4.8</v>
      </c>
      <c r="AK1272" t="s">
        <v>47</v>
      </c>
      <c r="AL1272" t="s">
        <v>76</v>
      </c>
      <c r="AM1272" t="s">
        <v>67</v>
      </c>
      <c r="AN1272">
        <v>26</v>
      </c>
      <c r="AO1272" t="s">
        <v>47</v>
      </c>
    </row>
    <row r="1273" spans="1:41">
      <c r="A1273" t="s">
        <v>1425</v>
      </c>
      <c r="B1273">
        <v>2019</v>
      </c>
      <c r="C1273" s="1">
        <v>43689</v>
      </c>
      <c r="D1273" t="s">
        <v>42</v>
      </c>
      <c r="E1273" t="s">
        <v>160</v>
      </c>
      <c r="F1273">
        <v>45</v>
      </c>
      <c r="G1273" t="s">
        <v>44</v>
      </c>
      <c r="H1273" t="s">
        <v>61</v>
      </c>
      <c r="I1273">
        <v>26</v>
      </c>
      <c r="J1273">
        <v>19</v>
      </c>
      <c r="K1273" t="s">
        <v>47</v>
      </c>
      <c r="L1273" t="s">
        <v>47</v>
      </c>
      <c r="M1273" t="s">
        <v>46</v>
      </c>
      <c r="N1273" t="s">
        <v>62</v>
      </c>
      <c r="O1273" t="s">
        <v>48</v>
      </c>
      <c r="P1273">
        <v>26.8</v>
      </c>
      <c r="Q1273" t="s">
        <v>62</v>
      </c>
      <c r="R1273" t="s">
        <v>46</v>
      </c>
      <c r="S1273" t="s">
        <v>47</v>
      </c>
      <c r="T1273" t="s">
        <v>47</v>
      </c>
      <c r="U1273" t="s">
        <v>47</v>
      </c>
      <c r="V1273" t="s">
        <v>64</v>
      </c>
      <c r="W1273" t="s">
        <v>46</v>
      </c>
      <c r="X1273" t="s">
        <v>47</v>
      </c>
      <c r="Y1273" t="s">
        <v>47</v>
      </c>
      <c r="Z1273" t="s">
        <v>47</v>
      </c>
      <c r="AA1273" t="s">
        <v>46</v>
      </c>
      <c r="AB1273" t="s">
        <v>47</v>
      </c>
      <c r="AC1273" t="s">
        <v>47</v>
      </c>
      <c r="AD1273" t="s">
        <v>47</v>
      </c>
      <c r="AE1273" t="s">
        <v>46</v>
      </c>
      <c r="AF1273" t="s">
        <v>47</v>
      </c>
      <c r="AG1273" t="s">
        <v>52</v>
      </c>
      <c r="AH1273" t="s">
        <v>53</v>
      </c>
      <c r="AI1273" t="s">
        <v>80</v>
      </c>
      <c r="AJ1273">
        <v>5.2</v>
      </c>
      <c r="AK1273" t="s">
        <v>46</v>
      </c>
      <c r="AL1273" t="s">
        <v>100</v>
      </c>
      <c r="AM1273" t="s">
        <v>56</v>
      </c>
      <c r="AN1273">
        <v>32</v>
      </c>
      <c r="AO1273" t="s">
        <v>47</v>
      </c>
    </row>
    <row r="1274" spans="1:41">
      <c r="A1274" t="s">
        <v>1426</v>
      </c>
      <c r="B1274">
        <v>2020</v>
      </c>
      <c r="C1274" s="1">
        <v>44159</v>
      </c>
      <c r="D1274" t="s">
        <v>98</v>
      </c>
      <c r="E1274" t="s">
        <v>465</v>
      </c>
      <c r="F1274">
        <v>59</v>
      </c>
      <c r="G1274" t="s">
        <v>44</v>
      </c>
      <c r="H1274" t="s">
        <v>70</v>
      </c>
      <c r="I1274">
        <v>0</v>
      </c>
      <c r="J1274">
        <v>0</v>
      </c>
      <c r="K1274" t="s">
        <v>46</v>
      </c>
      <c r="L1274" t="s">
        <v>46</v>
      </c>
      <c r="M1274" t="s">
        <v>47</v>
      </c>
      <c r="N1274" t="s">
        <v>48</v>
      </c>
      <c r="O1274" t="s">
        <v>49</v>
      </c>
      <c r="P1274">
        <v>27.8</v>
      </c>
      <c r="Q1274" t="s">
        <v>62</v>
      </c>
      <c r="R1274" t="s">
        <v>47</v>
      </c>
      <c r="S1274" t="s">
        <v>47</v>
      </c>
      <c r="T1274" t="s">
        <v>46</v>
      </c>
      <c r="U1274" t="s">
        <v>47</v>
      </c>
      <c r="V1274" t="s">
        <v>86</v>
      </c>
      <c r="W1274" t="s">
        <v>46</v>
      </c>
      <c r="X1274" t="s">
        <v>47</v>
      </c>
      <c r="Y1274" t="s">
        <v>47</v>
      </c>
      <c r="Z1274" t="s">
        <v>47</v>
      </c>
      <c r="AA1274" t="s">
        <v>46</v>
      </c>
      <c r="AB1274" t="s">
        <v>46</v>
      </c>
      <c r="AC1274" t="s">
        <v>47</v>
      </c>
      <c r="AD1274" t="s">
        <v>47</v>
      </c>
      <c r="AE1274" t="s">
        <v>47</v>
      </c>
      <c r="AF1274" t="s">
        <v>47</v>
      </c>
      <c r="AG1274" t="s">
        <v>52</v>
      </c>
      <c r="AH1274" t="s">
        <v>53</v>
      </c>
      <c r="AI1274" t="s">
        <v>65</v>
      </c>
      <c r="AJ1274">
        <v>2.5</v>
      </c>
      <c r="AK1274" t="s">
        <v>47</v>
      </c>
      <c r="AL1274" t="s">
        <v>76</v>
      </c>
      <c r="AM1274" t="s">
        <v>103</v>
      </c>
      <c r="AN1274">
        <v>49</v>
      </c>
      <c r="AO1274" t="s">
        <v>46</v>
      </c>
    </row>
    <row r="1275" spans="1:41">
      <c r="A1275" t="s">
        <v>1427</v>
      </c>
      <c r="B1275">
        <v>2023</v>
      </c>
      <c r="C1275" s="1">
        <v>45127</v>
      </c>
      <c r="D1275" t="s">
        <v>42</v>
      </c>
      <c r="E1275" t="s">
        <v>210</v>
      </c>
      <c r="F1275">
        <v>43</v>
      </c>
      <c r="G1275" t="s">
        <v>44</v>
      </c>
      <c r="H1275" t="s">
        <v>70</v>
      </c>
      <c r="I1275">
        <v>0</v>
      </c>
      <c r="J1275">
        <v>0</v>
      </c>
      <c r="K1275" t="s">
        <v>47</v>
      </c>
      <c r="L1275" t="s">
        <v>47</v>
      </c>
      <c r="M1275" t="s">
        <v>47</v>
      </c>
      <c r="N1275" t="s">
        <v>62</v>
      </c>
      <c r="O1275" t="s">
        <v>48</v>
      </c>
      <c r="P1275">
        <v>29.2</v>
      </c>
      <c r="Q1275" t="s">
        <v>48</v>
      </c>
      <c r="R1275" t="s">
        <v>46</v>
      </c>
      <c r="S1275" t="s">
        <v>47</v>
      </c>
      <c r="T1275" t="s">
        <v>47</v>
      </c>
      <c r="U1275" t="s">
        <v>47</v>
      </c>
      <c r="V1275" t="s">
        <v>117</v>
      </c>
      <c r="W1275" t="s">
        <v>46</v>
      </c>
      <c r="X1275" t="s">
        <v>46</v>
      </c>
      <c r="Y1275" t="s">
        <v>46</v>
      </c>
      <c r="Z1275" t="s">
        <v>47</v>
      </c>
      <c r="AA1275" t="s">
        <v>46</v>
      </c>
      <c r="AB1275" t="s">
        <v>47</v>
      </c>
      <c r="AC1275" t="s">
        <v>47</v>
      </c>
      <c r="AD1275" t="s">
        <v>47</v>
      </c>
      <c r="AE1275" t="s">
        <v>47</v>
      </c>
      <c r="AF1275" t="s">
        <v>47</v>
      </c>
      <c r="AG1275" t="s">
        <v>121</v>
      </c>
      <c r="AH1275" t="s">
        <v>122</v>
      </c>
      <c r="AI1275" t="s">
        <v>54</v>
      </c>
      <c r="AJ1275">
        <v>6.1</v>
      </c>
      <c r="AK1275" t="s">
        <v>46</v>
      </c>
      <c r="AL1275" t="s">
        <v>100</v>
      </c>
      <c r="AM1275" t="s">
        <v>82</v>
      </c>
      <c r="AN1275">
        <v>4</v>
      </c>
      <c r="AO1275" t="s">
        <v>47</v>
      </c>
    </row>
    <row r="1276" spans="1:41">
      <c r="A1276" t="s">
        <v>1428</v>
      </c>
      <c r="B1276">
        <v>2019</v>
      </c>
      <c r="C1276" s="1">
        <v>43558</v>
      </c>
      <c r="D1276" t="s">
        <v>42</v>
      </c>
      <c r="E1276" t="s">
        <v>69</v>
      </c>
      <c r="F1276">
        <v>54</v>
      </c>
      <c r="G1276" t="s">
        <v>60</v>
      </c>
      <c r="H1276" t="s">
        <v>70</v>
      </c>
      <c r="I1276">
        <v>0</v>
      </c>
      <c r="J1276">
        <v>0</v>
      </c>
      <c r="K1276" t="s">
        <v>47</v>
      </c>
      <c r="L1276" t="s">
        <v>47</v>
      </c>
      <c r="M1276" t="s">
        <v>46</v>
      </c>
      <c r="N1276" t="s">
        <v>48</v>
      </c>
      <c r="O1276" t="s">
        <v>49</v>
      </c>
      <c r="P1276">
        <v>30.5</v>
      </c>
      <c r="Q1276" t="s">
        <v>48</v>
      </c>
      <c r="R1276" t="s">
        <v>46</v>
      </c>
      <c r="S1276" t="s">
        <v>47</v>
      </c>
      <c r="T1276" t="s">
        <v>47</v>
      </c>
      <c r="U1276" t="s">
        <v>47</v>
      </c>
      <c r="V1276" t="s">
        <v>51</v>
      </c>
      <c r="W1276" t="s">
        <v>47</v>
      </c>
      <c r="X1276" t="s">
        <v>46</v>
      </c>
      <c r="Y1276" t="s">
        <v>47</v>
      </c>
      <c r="Z1276" t="s">
        <v>47</v>
      </c>
      <c r="AA1276" t="s">
        <v>46</v>
      </c>
      <c r="AB1276" t="s">
        <v>47</v>
      </c>
      <c r="AC1276" t="s">
        <v>47</v>
      </c>
      <c r="AD1276" t="s">
        <v>47</v>
      </c>
      <c r="AE1276" t="s">
        <v>47</v>
      </c>
      <c r="AF1276" t="s">
        <v>47</v>
      </c>
      <c r="AG1276" t="s">
        <v>52</v>
      </c>
      <c r="AH1276" t="s">
        <v>53</v>
      </c>
      <c r="AI1276" t="s">
        <v>65</v>
      </c>
      <c r="AJ1276">
        <v>1.4</v>
      </c>
      <c r="AK1276" t="s">
        <v>47</v>
      </c>
      <c r="AL1276" t="s">
        <v>156</v>
      </c>
      <c r="AM1276" t="s">
        <v>73</v>
      </c>
      <c r="AN1276">
        <v>36</v>
      </c>
      <c r="AO1276" t="s">
        <v>46</v>
      </c>
    </row>
    <row r="1277" spans="1:41">
      <c r="A1277" t="s">
        <v>1429</v>
      </c>
      <c r="B1277">
        <v>2023</v>
      </c>
      <c r="C1277" s="1">
        <v>45010</v>
      </c>
      <c r="D1277" t="s">
        <v>42</v>
      </c>
      <c r="E1277" t="s">
        <v>69</v>
      </c>
      <c r="F1277">
        <v>80</v>
      </c>
      <c r="G1277" t="s">
        <v>60</v>
      </c>
      <c r="H1277" t="s">
        <v>70</v>
      </c>
      <c r="I1277">
        <v>0</v>
      </c>
      <c r="J1277">
        <v>0</v>
      </c>
      <c r="K1277" t="s">
        <v>47</v>
      </c>
      <c r="L1277" t="s">
        <v>46</v>
      </c>
      <c r="M1277" t="s">
        <v>46</v>
      </c>
      <c r="N1277" t="s">
        <v>48</v>
      </c>
      <c r="O1277" t="s">
        <v>48</v>
      </c>
      <c r="P1277">
        <v>27.7</v>
      </c>
      <c r="Q1277" t="s">
        <v>62</v>
      </c>
      <c r="R1277" t="s">
        <v>47</v>
      </c>
      <c r="S1277" t="s">
        <v>47</v>
      </c>
      <c r="T1277" t="s">
        <v>47</v>
      </c>
      <c r="U1277" t="s">
        <v>47</v>
      </c>
      <c r="V1277" t="s">
        <v>92</v>
      </c>
      <c r="W1277" t="s">
        <v>47</v>
      </c>
      <c r="X1277" t="s">
        <v>46</v>
      </c>
      <c r="Y1277" t="s">
        <v>46</v>
      </c>
      <c r="Z1277" t="s">
        <v>47</v>
      </c>
      <c r="AA1277" t="s">
        <v>47</v>
      </c>
      <c r="AB1277" t="s">
        <v>47</v>
      </c>
      <c r="AC1277" t="s">
        <v>46</v>
      </c>
      <c r="AD1277" t="s">
        <v>47</v>
      </c>
      <c r="AE1277" t="s">
        <v>47</v>
      </c>
      <c r="AF1277" t="s">
        <v>47</v>
      </c>
      <c r="AG1277" t="s">
        <v>52</v>
      </c>
      <c r="AH1277" t="s">
        <v>71</v>
      </c>
      <c r="AI1277" t="s">
        <v>87</v>
      </c>
      <c r="AJ1277">
        <v>4.5999999999999996</v>
      </c>
      <c r="AK1277" t="s">
        <v>47</v>
      </c>
      <c r="AL1277" t="s">
        <v>76</v>
      </c>
      <c r="AM1277" t="s">
        <v>73</v>
      </c>
      <c r="AN1277">
        <v>26</v>
      </c>
      <c r="AO1277" t="s">
        <v>46</v>
      </c>
    </row>
    <row r="1278" spans="1:41">
      <c r="A1278" t="s">
        <v>1430</v>
      </c>
      <c r="B1278">
        <v>2018</v>
      </c>
      <c r="C1278" s="1">
        <v>43397</v>
      </c>
      <c r="D1278" t="s">
        <v>58</v>
      </c>
      <c r="E1278" t="s">
        <v>229</v>
      </c>
      <c r="F1278">
        <v>53</v>
      </c>
      <c r="G1278" t="s">
        <v>44</v>
      </c>
      <c r="H1278" t="s">
        <v>70</v>
      </c>
      <c r="I1278">
        <v>0</v>
      </c>
      <c r="J1278">
        <v>0</v>
      </c>
      <c r="K1278" t="s">
        <v>46</v>
      </c>
      <c r="L1278" t="s">
        <v>47</v>
      </c>
      <c r="M1278" t="s">
        <v>47</v>
      </c>
      <c r="N1278" t="s">
        <v>48</v>
      </c>
      <c r="O1278" t="s">
        <v>49</v>
      </c>
      <c r="P1278">
        <v>22.6</v>
      </c>
      <c r="Q1278" t="s">
        <v>50</v>
      </c>
      <c r="R1278" t="s">
        <v>47</v>
      </c>
      <c r="S1278" t="s">
        <v>47</v>
      </c>
      <c r="T1278" t="s">
        <v>47</v>
      </c>
      <c r="U1278" t="s">
        <v>47</v>
      </c>
      <c r="V1278" t="s">
        <v>51</v>
      </c>
      <c r="W1278" t="s">
        <v>47</v>
      </c>
      <c r="X1278" t="s">
        <v>47</v>
      </c>
      <c r="Y1278" t="s">
        <v>46</v>
      </c>
      <c r="Z1278" t="s">
        <v>47</v>
      </c>
      <c r="AA1278" t="s">
        <v>46</v>
      </c>
      <c r="AB1278" t="s">
        <v>47</v>
      </c>
      <c r="AC1278" t="s">
        <v>47</v>
      </c>
      <c r="AD1278" t="s">
        <v>46</v>
      </c>
      <c r="AE1278" t="s">
        <v>47</v>
      </c>
      <c r="AF1278" t="s">
        <v>47</v>
      </c>
      <c r="AG1278" t="s">
        <v>52</v>
      </c>
      <c r="AH1278" t="s">
        <v>53</v>
      </c>
      <c r="AI1278" t="s">
        <v>65</v>
      </c>
      <c r="AJ1278">
        <v>2.1</v>
      </c>
      <c r="AK1278" t="s">
        <v>47</v>
      </c>
      <c r="AL1278" t="s">
        <v>100</v>
      </c>
      <c r="AM1278" t="s">
        <v>73</v>
      </c>
      <c r="AN1278">
        <v>71</v>
      </c>
      <c r="AO1278" t="s">
        <v>46</v>
      </c>
    </row>
    <row r="1279" spans="1:41">
      <c r="A1279" t="s">
        <v>1431</v>
      </c>
      <c r="B1279">
        <v>2017</v>
      </c>
      <c r="C1279" s="1">
        <v>42900</v>
      </c>
      <c r="D1279" t="s">
        <v>42</v>
      </c>
      <c r="E1279" t="s">
        <v>136</v>
      </c>
      <c r="F1279">
        <v>51</v>
      </c>
      <c r="G1279" t="s">
        <v>44</v>
      </c>
      <c r="H1279" t="s">
        <v>70</v>
      </c>
      <c r="I1279">
        <v>0</v>
      </c>
      <c r="J1279">
        <v>0</v>
      </c>
      <c r="K1279" t="s">
        <v>46</v>
      </c>
      <c r="L1279" t="s">
        <v>47</v>
      </c>
      <c r="M1279" t="s">
        <v>47</v>
      </c>
      <c r="N1279" t="s">
        <v>62</v>
      </c>
      <c r="O1279" t="s">
        <v>63</v>
      </c>
      <c r="P1279">
        <v>22</v>
      </c>
      <c r="Q1279" t="s">
        <v>62</v>
      </c>
      <c r="R1279" t="s">
        <v>47</v>
      </c>
      <c r="S1279" t="s">
        <v>47</v>
      </c>
      <c r="T1279" t="s">
        <v>46</v>
      </c>
      <c r="U1279" t="s">
        <v>47</v>
      </c>
      <c r="V1279" t="s">
        <v>51</v>
      </c>
      <c r="W1279" t="s">
        <v>46</v>
      </c>
      <c r="X1279" t="s">
        <v>47</v>
      </c>
      <c r="Y1279" t="s">
        <v>47</v>
      </c>
      <c r="Z1279" t="s">
        <v>47</v>
      </c>
      <c r="AA1279" t="s">
        <v>46</v>
      </c>
      <c r="AB1279" t="s">
        <v>46</v>
      </c>
      <c r="AC1279" t="s">
        <v>46</v>
      </c>
      <c r="AD1279" t="s">
        <v>47</v>
      </c>
      <c r="AE1279" t="s">
        <v>46</v>
      </c>
      <c r="AF1279" t="s">
        <v>47</v>
      </c>
      <c r="AG1279" t="s">
        <v>52</v>
      </c>
      <c r="AH1279" t="s">
        <v>71</v>
      </c>
      <c r="AI1279" t="s">
        <v>65</v>
      </c>
      <c r="AJ1279">
        <v>1.9</v>
      </c>
      <c r="AK1279" t="s">
        <v>46</v>
      </c>
      <c r="AL1279" t="s">
        <v>76</v>
      </c>
      <c r="AM1279" t="s">
        <v>73</v>
      </c>
      <c r="AN1279">
        <v>61</v>
      </c>
      <c r="AO1279" t="s">
        <v>47</v>
      </c>
    </row>
    <row r="1280" spans="1:41">
      <c r="A1280" t="s">
        <v>1432</v>
      </c>
      <c r="B1280">
        <v>2018</v>
      </c>
      <c r="C1280" s="1">
        <v>43167</v>
      </c>
      <c r="D1280" t="s">
        <v>42</v>
      </c>
      <c r="E1280" t="s">
        <v>247</v>
      </c>
      <c r="F1280">
        <v>56</v>
      </c>
      <c r="G1280" t="s">
        <v>44</v>
      </c>
      <c r="H1280" t="s">
        <v>70</v>
      </c>
      <c r="I1280">
        <v>0</v>
      </c>
      <c r="J1280">
        <v>0</v>
      </c>
      <c r="K1280" t="s">
        <v>46</v>
      </c>
      <c r="L1280" t="s">
        <v>46</v>
      </c>
      <c r="M1280" t="s">
        <v>47</v>
      </c>
      <c r="N1280" t="s">
        <v>50</v>
      </c>
      <c r="O1280" t="s">
        <v>49</v>
      </c>
      <c r="P1280">
        <v>24.1</v>
      </c>
      <c r="Q1280" t="s">
        <v>50</v>
      </c>
      <c r="R1280" t="s">
        <v>47</v>
      </c>
      <c r="S1280" t="s">
        <v>47</v>
      </c>
      <c r="T1280" t="s">
        <v>47</v>
      </c>
      <c r="U1280" t="s">
        <v>47</v>
      </c>
      <c r="V1280" t="s">
        <v>64</v>
      </c>
      <c r="W1280" t="s">
        <v>47</v>
      </c>
      <c r="X1280" t="s">
        <v>47</v>
      </c>
      <c r="Y1280" t="s">
        <v>46</v>
      </c>
      <c r="Z1280" t="s">
        <v>46</v>
      </c>
      <c r="AA1280" t="s">
        <v>46</v>
      </c>
      <c r="AB1280" t="s">
        <v>47</v>
      </c>
      <c r="AC1280" t="s">
        <v>47</v>
      </c>
      <c r="AD1280" t="s">
        <v>47</v>
      </c>
      <c r="AE1280" t="s">
        <v>46</v>
      </c>
      <c r="AF1280" t="s">
        <v>47</v>
      </c>
      <c r="AG1280" t="s">
        <v>52</v>
      </c>
      <c r="AH1280" t="s">
        <v>53</v>
      </c>
      <c r="AI1280" t="s">
        <v>54</v>
      </c>
      <c r="AJ1280">
        <v>3.9</v>
      </c>
      <c r="AK1280" t="s">
        <v>46</v>
      </c>
      <c r="AL1280" t="s">
        <v>76</v>
      </c>
      <c r="AM1280" t="s">
        <v>103</v>
      </c>
      <c r="AN1280">
        <v>6</v>
      </c>
      <c r="AO1280" t="s">
        <v>47</v>
      </c>
    </row>
    <row r="1281" spans="1:41">
      <c r="A1281" t="s">
        <v>1433</v>
      </c>
      <c r="B1281">
        <v>2016</v>
      </c>
      <c r="C1281" s="1">
        <v>42677</v>
      </c>
      <c r="D1281" t="s">
        <v>58</v>
      </c>
      <c r="E1281" t="s">
        <v>59</v>
      </c>
      <c r="F1281">
        <v>65</v>
      </c>
      <c r="G1281" t="s">
        <v>60</v>
      </c>
      <c r="H1281" t="s">
        <v>61</v>
      </c>
      <c r="I1281">
        <v>13</v>
      </c>
      <c r="J1281">
        <v>12</v>
      </c>
      <c r="K1281" t="s">
        <v>46</v>
      </c>
      <c r="L1281" t="s">
        <v>47</v>
      </c>
      <c r="M1281" t="s">
        <v>47</v>
      </c>
      <c r="N1281" t="s">
        <v>62</v>
      </c>
      <c r="O1281" t="s">
        <v>48</v>
      </c>
      <c r="P1281">
        <v>28.9</v>
      </c>
      <c r="Q1281" t="s">
        <v>50</v>
      </c>
      <c r="R1281" t="s">
        <v>46</v>
      </c>
      <c r="S1281" t="s">
        <v>47</v>
      </c>
      <c r="T1281" t="s">
        <v>47</v>
      </c>
      <c r="U1281" t="s">
        <v>47</v>
      </c>
      <c r="V1281" t="s">
        <v>51</v>
      </c>
      <c r="W1281" t="s">
        <v>47</v>
      </c>
      <c r="X1281" t="s">
        <v>47</v>
      </c>
      <c r="Y1281" t="s">
        <v>47</v>
      </c>
      <c r="Z1281" t="s">
        <v>47</v>
      </c>
      <c r="AA1281" t="s">
        <v>46</v>
      </c>
      <c r="AB1281" t="s">
        <v>46</v>
      </c>
      <c r="AC1281" t="s">
        <v>47</v>
      </c>
      <c r="AD1281" t="s">
        <v>47</v>
      </c>
      <c r="AE1281" t="s">
        <v>47</v>
      </c>
      <c r="AF1281" t="s">
        <v>47</v>
      </c>
      <c r="AG1281" t="s">
        <v>52</v>
      </c>
      <c r="AH1281" t="s">
        <v>53</v>
      </c>
      <c r="AI1281" t="s">
        <v>54</v>
      </c>
      <c r="AJ1281">
        <v>6.8</v>
      </c>
      <c r="AK1281" t="s">
        <v>46</v>
      </c>
      <c r="AL1281" t="s">
        <v>76</v>
      </c>
      <c r="AM1281" t="s">
        <v>56</v>
      </c>
      <c r="AN1281">
        <v>14</v>
      </c>
      <c r="AO1281" t="s">
        <v>47</v>
      </c>
    </row>
    <row r="1282" spans="1:41">
      <c r="A1282" t="s">
        <v>1434</v>
      </c>
      <c r="B1282">
        <v>2023</v>
      </c>
      <c r="C1282" s="1">
        <v>45189</v>
      </c>
      <c r="D1282" t="s">
        <v>110</v>
      </c>
      <c r="E1282" t="s">
        <v>124</v>
      </c>
      <c r="F1282">
        <v>66</v>
      </c>
      <c r="G1282" t="s">
        <v>44</v>
      </c>
      <c r="H1282" t="s">
        <v>61</v>
      </c>
      <c r="I1282">
        <v>7</v>
      </c>
      <c r="J1282">
        <v>10</v>
      </c>
      <c r="K1282" t="s">
        <v>46</v>
      </c>
      <c r="L1282" t="s">
        <v>47</v>
      </c>
      <c r="M1282" t="s">
        <v>47</v>
      </c>
      <c r="N1282" t="s">
        <v>62</v>
      </c>
      <c r="O1282" t="s">
        <v>63</v>
      </c>
      <c r="P1282">
        <v>30.6</v>
      </c>
      <c r="Q1282" t="s">
        <v>50</v>
      </c>
      <c r="R1282" t="s">
        <v>46</v>
      </c>
      <c r="S1282" t="s">
        <v>47</v>
      </c>
      <c r="T1282" t="s">
        <v>47</v>
      </c>
      <c r="U1282" t="s">
        <v>47</v>
      </c>
      <c r="V1282" t="s">
        <v>51</v>
      </c>
      <c r="W1282" t="s">
        <v>46</v>
      </c>
      <c r="X1282" t="s">
        <v>46</v>
      </c>
      <c r="Y1282" t="s">
        <v>47</v>
      </c>
      <c r="Z1282" t="s">
        <v>46</v>
      </c>
      <c r="AA1282" t="s">
        <v>46</v>
      </c>
      <c r="AB1282" t="s">
        <v>46</v>
      </c>
      <c r="AC1282" t="s">
        <v>47</v>
      </c>
      <c r="AD1282" t="s">
        <v>47</v>
      </c>
      <c r="AE1282" t="s">
        <v>47</v>
      </c>
      <c r="AF1282" t="s">
        <v>47</v>
      </c>
      <c r="AG1282" t="s">
        <v>52</v>
      </c>
      <c r="AH1282" t="s">
        <v>53</v>
      </c>
      <c r="AI1282" t="s">
        <v>80</v>
      </c>
      <c r="AJ1282">
        <v>4.0999999999999996</v>
      </c>
      <c r="AK1282" t="s">
        <v>47</v>
      </c>
      <c r="AL1282" t="s">
        <v>55</v>
      </c>
      <c r="AM1282" t="s">
        <v>77</v>
      </c>
      <c r="AN1282">
        <v>15</v>
      </c>
      <c r="AO1282" t="s">
        <v>47</v>
      </c>
    </row>
    <row r="1283" spans="1:41">
      <c r="A1283" t="s">
        <v>1435</v>
      </c>
      <c r="B1283">
        <v>2021</v>
      </c>
      <c r="C1283" s="1">
        <v>44550</v>
      </c>
      <c r="D1283" t="s">
        <v>58</v>
      </c>
      <c r="E1283" t="s">
        <v>134</v>
      </c>
      <c r="F1283">
        <v>72</v>
      </c>
      <c r="G1283" t="s">
        <v>44</v>
      </c>
      <c r="H1283" t="s">
        <v>70</v>
      </c>
      <c r="I1283">
        <v>0</v>
      </c>
      <c r="J1283">
        <v>0</v>
      </c>
      <c r="K1283" t="s">
        <v>46</v>
      </c>
      <c r="L1283" t="s">
        <v>46</v>
      </c>
      <c r="M1283" t="s">
        <v>46</v>
      </c>
      <c r="N1283" t="s">
        <v>62</v>
      </c>
      <c r="O1283" t="s">
        <v>48</v>
      </c>
      <c r="P1283">
        <v>22</v>
      </c>
      <c r="Q1283" t="s">
        <v>50</v>
      </c>
      <c r="R1283" t="s">
        <v>47</v>
      </c>
      <c r="S1283" t="s">
        <v>47</v>
      </c>
      <c r="T1283" t="s">
        <v>46</v>
      </c>
      <c r="U1283" t="s">
        <v>47</v>
      </c>
      <c r="V1283" t="s">
        <v>51</v>
      </c>
      <c r="W1283" t="s">
        <v>46</v>
      </c>
      <c r="X1283" t="s">
        <v>47</v>
      </c>
      <c r="Y1283" t="s">
        <v>47</v>
      </c>
      <c r="Z1283" t="s">
        <v>46</v>
      </c>
      <c r="AA1283" t="s">
        <v>47</v>
      </c>
      <c r="AB1283" t="s">
        <v>46</v>
      </c>
      <c r="AC1283" t="s">
        <v>47</v>
      </c>
      <c r="AD1283" t="s">
        <v>47</v>
      </c>
      <c r="AE1283" t="s">
        <v>47</v>
      </c>
      <c r="AF1283" t="s">
        <v>47</v>
      </c>
      <c r="AG1283" t="s">
        <v>52</v>
      </c>
      <c r="AH1283" t="s">
        <v>53</v>
      </c>
      <c r="AI1283" t="s">
        <v>87</v>
      </c>
      <c r="AJ1283">
        <v>2.4</v>
      </c>
      <c r="AK1283" t="s">
        <v>47</v>
      </c>
      <c r="AL1283" t="s">
        <v>66</v>
      </c>
      <c r="AM1283" t="s">
        <v>67</v>
      </c>
      <c r="AN1283">
        <v>47</v>
      </c>
      <c r="AO1283" t="s">
        <v>46</v>
      </c>
    </row>
    <row r="1284" spans="1:41">
      <c r="A1284" t="s">
        <v>1436</v>
      </c>
      <c r="B1284">
        <v>2019</v>
      </c>
      <c r="C1284" s="1">
        <v>43800</v>
      </c>
      <c r="D1284" t="s">
        <v>58</v>
      </c>
      <c r="E1284" t="s">
        <v>134</v>
      </c>
      <c r="F1284">
        <v>62</v>
      </c>
      <c r="G1284" t="s">
        <v>60</v>
      </c>
      <c r="H1284" t="s">
        <v>61</v>
      </c>
      <c r="I1284">
        <v>3</v>
      </c>
      <c r="J1284">
        <v>19</v>
      </c>
      <c r="K1284" t="s">
        <v>46</v>
      </c>
      <c r="L1284" t="s">
        <v>47</v>
      </c>
      <c r="M1284" t="s">
        <v>47</v>
      </c>
      <c r="N1284" t="s">
        <v>48</v>
      </c>
      <c r="O1284" t="s">
        <v>49</v>
      </c>
      <c r="P1284">
        <v>21.1</v>
      </c>
      <c r="Q1284" t="s">
        <v>48</v>
      </c>
      <c r="R1284" t="s">
        <v>46</v>
      </c>
      <c r="S1284" t="s">
        <v>47</v>
      </c>
      <c r="T1284" t="s">
        <v>47</v>
      </c>
      <c r="U1284" t="s">
        <v>47</v>
      </c>
      <c r="V1284" t="s">
        <v>151</v>
      </c>
      <c r="W1284" t="s">
        <v>47</v>
      </c>
      <c r="X1284" t="s">
        <v>47</v>
      </c>
      <c r="Y1284" t="s">
        <v>47</v>
      </c>
      <c r="Z1284" t="s">
        <v>46</v>
      </c>
      <c r="AA1284" t="s">
        <v>46</v>
      </c>
      <c r="AB1284" t="s">
        <v>47</v>
      </c>
      <c r="AC1284" t="s">
        <v>46</v>
      </c>
      <c r="AD1284" t="s">
        <v>46</v>
      </c>
      <c r="AE1284" t="s">
        <v>47</v>
      </c>
      <c r="AF1284" t="s">
        <v>47</v>
      </c>
      <c r="AG1284" t="s">
        <v>52</v>
      </c>
      <c r="AH1284" t="s">
        <v>71</v>
      </c>
      <c r="AI1284" t="s">
        <v>80</v>
      </c>
      <c r="AJ1284">
        <v>5.3</v>
      </c>
      <c r="AK1284" t="s">
        <v>47</v>
      </c>
      <c r="AL1284" t="s">
        <v>76</v>
      </c>
      <c r="AM1284" t="s">
        <v>103</v>
      </c>
      <c r="AN1284">
        <v>16</v>
      </c>
      <c r="AO1284" t="s">
        <v>47</v>
      </c>
    </row>
    <row r="1285" spans="1:41">
      <c r="A1285" t="s">
        <v>1437</v>
      </c>
      <c r="B1285">
        <v>2023</v>
      </c>
      <c r="C1285" s="1">
        <v>45033</v>
      </c>
      <c r="D1285" t="s">
        <v>42</v>
      </c>
      <c r="E1285" t="s">
        <v>154</v>
      </c>
      <c r="F1285">
        <v>87</v>
      </c>
      <c r="G1285" t="s">
        <v>60</v>
      </c>
      <c r="H1285" t="s">
        <v>70</v>
      </c>
      <c r="I1285">
        <v>0</v>
      </c>
      <c r="J1285">
        <v>0</v>
      </c>
      <c r="K1285" t="s">
        <v>46</v>
      </c>
      <c r="L1285" t="s">
        <v>47</v>
      </c>
      <c r="M1285" t="s">
        <v>47</v>
      </c>
      <c r="N1285" t="s">
        <v>48</v>
      </c>
      <c r="O1285" t="s">
        <v>49</v>
      </c>
      <c r="P1285">
        <v>35.9</v>
      </c>
      <c r="Q1285" t="s">
        <v>48</v>
      </c>
      <c r="R1285" t="s">
        <v>47</v>
      </c>
      <c r="S1285" t="s">
        <v>47</v>
      </c>
      <c r="T1285" t="s">
        <v>47</v>
      </c>
      <c r="U1285" t="s">
        <v>47</v>
      </c>
      <c r="V1285" t="s">
        <v>64</v>
      </c>
      <c r="W1285" t="s">
        <v>46</v>
      </c>
      <c r="X1285" t="s">
        <v>47</v>
      </c>
      <c r="Y1285" t="s">
        <v>47</v>
      </c>
      <c r="Z1285" t="s">
        <v>47</v>
      </c>
      <c r="AA1285" t="s">
        <v>46</v>
      </c>
      <c r="AB1285" t="s">
        <v>47</v>
      </c>
      <c r="AC1285" t="s">
        <v>47</v>
      </c>
      <c r="AD1285" t="s">
        <v>47</v>
      </c>
      <c r="AE1285" t="s">
        <v>47</v>
      </c>
      <c r="AF1285" t="s">
        <v>47</v>
      </c>
      <c r="AG1285" t="s">
        <v>52</v>
      </c>
      <c r="AH1285" t="s">
        <v>71</v>
      </c>
      <c r="AI1285" t="s">
        <v>87</v>
      </c>
      <c r="AJ1285">
        <v>3.6</v>
      </c>
      <c r="AK1285" t="s">
        <v>47</v>
      </c>
      <c r="AL1285" t="s">
        <v>100</v>
      </c>
      <c r="AM1285" t="s">
        <v>67</v>
      </c>
      <c r="AN1285">
        <v>35</v>
      </c>
      <c r="AO1285" t="s">
        <v>46</v>
      </c>
    </row>
    <row r="1286" spans="1:41">
      <c r="A1286" t="s">
        <v>1438</v>
      </c>
      <c r="B1286">
        <v>2025</v>
      </c>
      <c r="C1286" s="1">
        <v>45907</v>
      </c>
      <c r="D1286" t="s">
        <v>95</v>
      </c>
      <c r="E1286" t="s">
        <v>145</v>
      </c>
      <c r="F1286">
        <v>51</v>
      </c>
      <c r="G1286" t="s">
        <v>44</v>
      </c>
      <c r="H1286" t="s">
        <v>70</v>
      </c>
      <c r="I1286">
        <v>0</v>
      </c>
      <c r="J1286">
        <v>0</v>
      </c>
      <c r="K1286" t="s">
        <v>46</v>
      </c>
      <c r="L1286" t="s">
        <v>46</v>
      </c>
      <c r="M1286" t="s">
        <v>46</v>
      </c>
      <c r="N1286" t="s">
        <v>50</v>
      </c>
      <c r="O1286" t="s">
        <v>48</v>
      </c>
      <c r="P1286">
        <v>23.4</v>
      </c>
      <c r="Q1286" t="s">
        <v>48</v>
      </c>
      <c r="R1286" t="s">
        <v>47</v>
      </c>
      <c r="S1286" t="s">
        <v>47</v>
      </c>
      <c r="T1286" t="s">
        <v>47</v>
      </c>
      <c r="U1286" t="s">
        <v>47</v>
      </c>
      <c r="V1286" t="s">
        <v>51</v>
      </c>
      <c r="W1286" t="s">
        <v>47</v>
      </c>
      <c r="X1286" t="s">
        <v>46</v>
      </c>
      <c r="Y1286" t="s">
        <v>46</v>
      </c>
      <c r="Z1286" t="s">
        <v>47</v>
      </c>
      <c r="AA1286" t="s">
        <v>46</v>
      </c>
      <c r="AB1286" t="s">
        <v>47</v>
      </c>
      <c r="AC1286" t="s">
        <v>47</v>
      </c>
      <c r="AD1286" t="s">
        <v>46</v>
      </c>
      <c r="AE1286" t="s">
        <v>47</v>
      </c>
      <c r="AF1286" t="s">
        <v>46</v>
      </c>
      <c r="AG1286" t="s">
        <v>52</v>
      </c>
      <c r="AH1286" t="s">
        <v>53</v>
      </c>
      <c r="AI1286" t="s">
        <v>87</v>
      </c>
      <c r="AJ1286">
        <v>4.9000000000000004</v>
      </c>
      <c r="AK1286" t="s">
        <v>46</v>
      </c>
      <c r="AL1286" t="s">
        <v>66</v>
      </c>
      <c r="AM1286" t="s">
        <v>82</v>
      </c>
      <c r="AN1286">
        <v>30</v>
      </c>
      <c r="AO1286" t="s">
        <v>47</v>
      </c>
    </row>
    <row r="1287" spans="1:41">
      <c r="A1287" t="s">
        <v>1439</v>
      </c>
      <c r="B1287">
        <v>2020</v>
      </c>
      <c r="C1287" s="1">
        <v>43972</v>
      </c>
      <c r="D1287" t="s">
        <v>58</v>
      </c>
      <c r="E1287" t="s">
        <v>150</v>
      </c>
      <c r="F1287">
        <v>65</v>
      </c>
      <c r="G1287" t="s">
        <v>44</v>
      </c>
      <c r="H1287" t="s">
        <v>70</v>
      </c>
      <c r="I1287">
        <v>0</v>
      </c>
      <c r="J1287">
        <v>0</v>
      </c>
      <c r="K1287" t="s">
        <v>47</v>
      </c>
      <c r="L1287" t="s">
        <v>47</v>
      </c>
      <c r="M1287" t="s">
        <v>47</v>
      </c>
      <c r="N1287" t="s">
        <v>48</v>
      </c>
      <c r="O1287" t="s">
        <v>63</v>
      </c>
      <c r="P1287">
        <v>23.3</v>
      </c>
      <c r="Q1287" t="s">
        <v>48</v>
      </c>
      <c r="R1287" t="s">
        <v>47</v>
      </c>
      <c r="S1287" t="s">
        <v>47</v>
      </c>
      <c r="T1287" t="s">
        <v>47</v>
      </c>
      <c r="U1287" t="s">
        <v>47</v>
      </c>
      <c r="V1287" t="s">
        <v>86</v>
      </c>
      <c r="W1287" t="s">
        <v>47</v>
      </c>
      <c r="X1287" t="s">
        <v>46</v>
      </c>
      <c r="Y1287" t="s">
        <v>47</v>
      </c>
      <c r="Z1287" t="s">
        <v>47</v>
      </c>
      <c r="AA1287" t="s">
        <v>46</v>
      </c>
      <c r="AB1287" t="s">
        <v>46</v>
      </c>
      <c r="AC1287" t="s">
        <v>47</v>
      </c>
      <c r="AD1287" t="s">
        <v>46</v>
      </c>
      <c r="AE1287" t="s">
        <v>47</v>
      </c>
      <c r="AF1287" t="s">
        <v>46</v>
      </c>
      <c r="AG1287" t="s">
        <v>121</v>
      </c>
      <c r="AH1287" t="s">
        <v>122</v>
      </c>
      <c r="AI1287" t="s">
        <v>54</v>
      </c>
      <c r="AJ1287">
        <v>9.8000000000000007</v>
      </c>
      <c r="AK1287" t="s">
        <v>46</v>
      </c>
      <c r="AL1287" t="s">
        <v>100</v>
      </c>
      <c r="AM1287" t="s">
        <v>77</v>
      </c>
      <c r="AN1287">
        <v>16</v>
      </c>
      <c r="AO1287" t="s">
        <v>47</v>
      </c>
    </row>
    <row r="1288" spans="1:41">
      <c r="A1288" t="s">
        <v>1440</v>
      </c>
      <c r="B1288">
        <v>2025</v>
      </c>
      <c r="C1288" s="1">
        <v>45763</v>
      </c>
      <c r="D1288" t="s">
        <v>42</v>
      </c>
      <c r="E1288" t="s">
        <v>79</v>
      </c>
      <c r="F1288">
        <v>60</v>
      </c>
      <c r="G1288" t="s">
        <v>44</v>
      </c>
      <c r="H1288" t="s">
        <v>70</v>
      </c>
      <c r="I1288">
        <v>0</v>
      </c>
      <c r="J1288">
        <v>0</v>
      </c>
      <c r="K1288" t="s">
        <v>46</v>
      </c>
      <c r="L1288" t="s">
        <v>47</v>
      </c>
      <c r="M1288" t="s">
        <v>47</v>
      </c>
      <c r="N1288" t="s">
        <v>48</v>
      </c>
      <c r="O1288" t="s">
        <v>63</v>
      </c>
      <c r="P1288">
        <v>26.2</v>
      </c>
      <c r="Q1288" t="s">
        <v>50</v>
      </c>
      <c r="R1288" t="s">
        <v>47</v>
      </c>
      <c r="S1288" t="s">
        <v>47</v>
      </c>
      <c r="T1288" t="s">
        <v>47</v>
      </c>
      <c r="U1288" t="s">
        <v>47</v>
      </c>
      <c r="V1288" t="s">
        <v>86</v>
      </c>
      <c r="W1288" t="s">
        <v>47</v>
      </c>
      <c r="X1288" t="s">
        <v>46</v>
      </c>
      <c r="Y1288" t="s">
        <v>47</v>
      </c>
      <c r="Z1288" t="s">
        <v>47</v>
      </c>
      <c r="AA1288" t="s">
        <v>46</v>
      </c>
      <c r="AB1288" t="s">
        <v>47</v>
      </c>
      <c r="AC1288" t="s">
        <v>46</v>
      </c>
      <c r="AD1288" t="s">
        <v>47</v>
      </c>
      <c r="AE1288" t="s">
        <v>47</v>
      </c>
      <c r="AF1288" t="s">
        <v>46</v>
      </c>
      <c r="AG1288" t="s">
        <v>52</v>
      </c>
      <c r="AH1288" t="s">
        <v>53</v>
      </c>
      <c r="AI1288" t="s">
        <v>65</v>
      </c>
      <c r="AJ1288">
        <v>0.6</v>
      </c>
      <c r="AK1288" t="s">
        <v>47</v>
      </c>
      <c r="AL1288" t="s">
        <v>76</v>
      </c>
      <c r="AM1288" t="s">
        <v>103</v>
      </c>
      <c r="AN1288">
        <v>76</v>
      </c>
      <c r="AO1288" t="s">
        <v>46</v>
      </c>
    </row>
    <row r="1289" spans="1:41">
      <c r="A1289" t="s">
        <v>1441</v>
      </c>
      <c r="B1289">
        <v>2020</v>
      </c>
      <c r="C1289" s="1">
        <v>43869</v>
      </c>
      <c r="D1289" t="s">
        <v>42</v>
      </c>
      <c r="E1289" t="s">
        <v>210</v>
      </c>
      <c r="F1289">
        <v>71</v>
      </c>
      <c r="G1289" t="s">
        <v>44</v>
      </c>
      <c r="H1289" t="s">
        <v>70</v>
      </c>
      <c r="I1289">
        <v>0</v>
      </c>
      <c r="J1289">
        <v>0</v>
      </c>
      <c r="K1289" t="s">
        <v>47</v>
      </c>
      <c r="L1289" t="s">
        <v>47</v>
      </c>
      <c r="M1289" t="s">
        <v>47</v>
      </c>
      <c r="N1289" t="s">
        <v>48</v>
      </c>
      <c r="O1289" t="s">
        <v>49</v>
      </c>
      <c r="P1289">
        <v>23.1</v>
      </c>
      <c r="Q1289" t="s">
        <v>50</v>
      </c>
      <c r="R1289" t="s">
        <v>47</v>
      </c>
      <c r="S1289" t="s">
        <v>46</v>
      </c>
      <c r="T1289" t="s">
        <v>47</v>
      </c>
      <c r="U1289" t="s">
        <v>47</v>
      </c>
      <c r="V1289" t="s">
        <v>86</v>
      </c>
      <c r="W1289" t="s">
        <v>46</v>
      </c>
      <c r="X1289" t="s">
        <v>47</v>
      </c>
      <c r="Y1289" t="s">
        <v>47</v>
      </c>
      <c r="Z1289" t="s">
        <v>47</v>
      </c>
      <c r="AA1289" t="s">
        <v>46</v>
      </c>
      <c r="AB1289" t="s">
        <v>47</v>
      </c>
      <c r="AC1289" t="s">
        <v>46</v>
      </c>
      <c r="AD1289" t="s">
        <v>46</v>
      </c>
      <c r="AE1289" t="s">
        <v>47</v>
      </c>
      <c r="AF1289" t="s">
        <v>47</v>
      </c>
      <c r="AG1289" t="s">
        <v>52</v>
      </c>
      <c r="AH1289" t="s">
        <v>90</v>
      </c>
      <c r="AI1289" t="s">
        <v>87</v>
      </c>
      <c r="AJ1289">
        <v>3.9</v>
      </c>
      <c r="AK1289" t="s">
        <v>47</v>
      </c>
      <c r="AL1289" t="s">
        <v>100</v>
      </c>
      <c r="AM1289" t="s">
        <v>67</v>
      </c>
      <c r="AN1289">
        <v>47</v>
      </c>
      <c r="AO1289" t="s">
        <v>46</v>
      </c>
    </row>
    <row r="1290" spans="1:41">
      <c r="A1290" t="s">
        <v>1442</v>
      </c>
      <c r="B1290">
        <v>2019</v>
      </c>
      <c r="C1290" s="1">
        <v>43789</v>
      </c>
      <c r="D1290" t="s">
        <v>95</v>
      </c>
      <c r="E1290" t="s">
        <v>120</v>
      </c>
      <c r="F1290">
        <v>78</v>
      </c>
      <c r="G1290" t="s">
        <v>60</v>
      </c>
      <c r="H1290" t="s">
        <v>70</v>
      </c>
      <c r="I1290">
        <v>0</v>
      </c>
      <c r="J1290">
        <v>0</v>
      </c>
      <c r="K1290" t="s">
        <v>47</v>
      </c>
      <c r="L1290" t="s">
        <v>47</v>
      </c>
      <c r="M1290" t="s">
        <v>47</v>
      </c>
      <c r="N1290" t="s">
        <v>50</v>
      </c>
      <c r="O1290" t="s">
        <v>48</v>
      </c>
      <c r="P1290">
        <v>24.9</v>
      </c>
      <c r="Q1290" t="s">
        <v>48</v>
      </c>
      <c r="R1290" t="s">
        <v>47</v>
      </c>
      <c r="S1290" t="s">
        <v>47</v>
      </c>
      <c r="T1290" t="s">
        <v>47</v>
      </c>
      <c r="U1290" t="s">
        <v>47</v>
      </c>
      <c r="V1290" t="s">
        <v>86</v>
      </c>
      <c r="W1290" t="s">
        <v>47</v>
      </c>
      <c r="X1290" t="s">
        <v>46</v>
      </c>
      <c r="Y1290" t="s">
        <v>47</v>
      </c>
      <c r="Z1290" t="s">
        <v>46</v>
      </c>
      <c r="AA1290" t="s">
        <v>46</v>
      </c>
      <c r="AB1290" t="s">
        <v>47</v>
      </c>
      <c r="AC1290" t="s">
        <v>46</v>
      </c>
      <c r="AD1290" t="s">
        <v>47</v>
      </c>
      <c r="AE1290" t="s">
        <v>47</v>
      </c>
      <c r="AF1290" t="s">
        <v>46</v>
      </c>
      <c r="AG1290" t="s">
        <v>52</v>
      </c>
      <c r="AH1290" t="s">
        <v>53</v>
      </c>
      <c r="AI1290" t="s">
        <v>80</v>
      </c>
      <c r="AJ1290">
        <v>5.9</v>
      </c>
      <c r="AK1290" t="s">
        <v>47</v>
      </c>
      <c r="AL1290" t="s">
        <v>156</v>
      </c>
      <c r="AM1290" t="s">
        <v>118</v>
      </c>
      <c r="AN1290">
        <v>18</v>
      </c>
      <c r="AO1290" t="s">
        <v>47</v>
      </c>
    </row>
    <row r="1291" spans="1:41">
      <c r="A1291" t="s">
        <v>1443</v>
      </c>
      <c r="B1291">
        <v>2020</v>
      </c>
      <c r="C1291" s="1">
        <v>44075</v>
      </c>
      <c r="D1291" t="s">
        <v>95</v>
      </c>
      <c r="E1291" t="s">
        <v>107</v>
      </c>
      <c r="F1291">
        <v>56</v>
      </c>
      <c r="G1291" t="s">
        <v>60</v>
      </c>
      <c r="H1291" t="s">
        <v>45</v>
      </c>
      <c r="I1291">
        <v>40</v>
      </c>
      <c r="J1291">
        <v>17</v>
      </c>
      <c r="K1291" t="s">
        <v>47</v>
      </c>
      <c r="L1291" t="s">
        <v>47</v>
      </c>
      <c r="M1291" t="s">
        <v>47</v>
      </c>
      <c r="N1291" t="s">
        <v>50</v>
      </c>
      <c r="O1291" t="s">
        <v>49</v>
      </c>
      <c r="P1291">
        <v>21.3</v>
      </c>
      <c r="Q1291" t="s">
        <v>50</v>
      </c>
      <c r="R1291" t="s">
        <v>47</v>
      </c>
      <c r="S1291" t="s">
        <v>47</v>
      </c>
      <c r="T1291" t="s">
        <v>47</v>
      </c>
      <c r="U1291" t="s">
        <v>47</v>
      </c>
      <c r="V1291" t="s">
        <v>64</v>
      </c>
      <c r="W1291" t="s">
        <v>46</v>
      </c>
      <c r="X1291" t="s">
        <v>47</v>
      </c>
      <c r="Y1291" t="s">
        <v>46</v>
      </c>
      <c r="Z1291" t="s">
        <v>47</v>
      </c>
      <c r="AA1291" t="s">
        <v>47</v>
      </c>
      <c r="AB1291" t="s">
        <v>46</v>
      </c>
      <c r="AC1291" t="s">
        <v>46</v>
      </c>
      <c r="AD1291" t="s">
        <v>46</v>
      </c>
      <c r="AE1291" t="s">
        <v>47</v>
      </c>
      <c r="AF1291" t="s">
        <v>47</v>
      </c>
      <c r="AG1291" t="s">
        <v>52</v>
      </c>
      <c r="AH1291" t="s">
        <v>53</v>
      </c>
      <c r="AI1291" t="s">
        <v>87</v>
      </c>
      <c r="AJ1291">
        <v>3.5</v>
      </c>
      <c r="AK1291" t="s">
        <v>47</v>
      </c>
      <c r="AL1291" t="s">
        <v>76</v>
      </c>
      <c r="AM1291" t="s">
        <v>73</v>
      </c>
      <c r="AN1291">
        <v>49</v>
      </c>
      <c r="AO1291" t="s">
        <v>47</v>
      </c>
    </row>
    <row r="1292" spans="1:41">
      <c r="A1292" t="s">
        <v>1444</v>
      </c>
      <c r="B1292">
        <v>2025</v>
      </c>
      <c r="C1292" s="1">
        <v>45813</v>
      </c>
      <c r="D1292" t="s">
        <v>95</v>
      </c>
      <c r="E1292" t="s">
        <v>145</v>
      </c>
      <c r="F1292">
        <v>53</v>
      </c>
      <c r="G1292" t="s">
        <v>44</v>
      </c>
      <c r="H1292" t="s">
        <v>70</v>
      </c>
      <c r="I1292">
        <v>0</v>
      </c>
      <c r="J1292">
        <v>0</v>
      </c>
      <c r="K1292" t="s">
        <v>46</v>
      </c>
      <c r="L1292" t="s">
        <v>46</v>
      </c>
      <c r="M1292" t="s">
        <v>47</v>
      </c>
      <c r="N1292" t="s">
        <v>48</v>
      </c>
      <c r="O1292" t="s">
        <v>48</v>
      </c>
      <c r="P1292">
        <v>23.8</v>
      </c>
      <c r="Q1292" t="s">
        <v>50</v>
      </c>
      <c r="R1292" t="s">
        <v>47</v>
      </c>
      <c r="S1292" t="s">
        <v>47</v>
      </c>
      <c r="T1292" t="s">
        <v>47</v>
      </c>
      <c r="U1292" t="s">
        <v>47</v>
      </c>
      <c r="V1292" t="s">
        <v>92</v>
      </c>
      <c r="W1292" t="s">
        <v>47</v>
      </c>
      <c r="X1292" t="s">
        <v>46</v>
      </c>
      <c r="Y1292" t="s">
        <v>47</v>
      </c>
      <c r="Z1292" t="s">
        <v>47</v>
      </c>
      <c r="AA1292" t="s">
        <v>46</v>
      </c>
      <c r="AB1292" t="s">
        <v>47</v>
      </c>
      <c r="AC1292" t="s">
        <v>47</v>
      </c>
      <c r="AD1292" t="s">
        <v>47</v>
      </c>
      <c r="AE1292" t="s">
        <v>47</v>
      </c>
      <c r="AF1292" t="s">
        <v>47</v>
      </c>
      <c r="AG1292" t="s">
        <v>52</v>
      </c>
      <c r="AH1292" t="s">
        <v>90</v>
      </c>
      <c r="AI1292" t="s">
        <v>54</v>
      </c>
      <c r="AJ1292">
        <v>8.4</v>
      </c>
      <c r="AK1292" t="s">
        <v>46</v>
      </c>
      <c r="AL1292" t="s">
        <v>76</v>
      </c>
      <c r="AM1292" t="s">
        <v>82</v>
      </c>
      <c r="AN1292">
        <v>9</v>
      </c>
      <c r="AO1292" t="s">
        <v>47</v>
      </c>
    </row>
    <row r="1293" spans="1:41">
      <c r="A1293" t="s">
        <v>1445</v>
      </c>
      <c r="B1293">
        <v>2016</v>
      </c>
      <c r="C1293" s="1">
        <v>42657</v>
      </c>
      <c r="D1293" t="s">
        <v>110</v>
      </c>
      <c r="E1293" t="s">
        <v>111</v>
      </c>
      <c r="F1293">
        <v>55</v>
      </c>
      <c r="G1293" t="s">
        <v>44</v>
      </c>
      <c r="H1293" t="s">
        <v>45</v>
      </c>
      <c r="I1293">
        <v>39</v>
      </c>
      <c r="J1293">
        <v>30</v>
      </c>
      <c r="K1293" t="s">
        <v>47</v>
      </c>
      <c r="L1293" t="s">
        <v>47</v>
      </c>
      <c r="M1293" t="s">
        <v>47</v>
      </c>
      <c r="N1293" t="s">
        <v>62</v>
      </c>
      <c r="O1293" t="s">
        <v>48</v>
      </c>
      <c r="P1293">
        <v>27.3</v>
      </c>
      <c r="Q1293" t="s">
        <v>62</v>
      </c>
      <c r="R1293" t="s">
        <v>47</v>
      </c>
      <c r="S1293" t="s">
        <v>47</v>
      </c>
      <c r="T1293" t="s">
        <v>47</v>
      </c>
      <c r="U1293" t="s">
        <v>47</v>
      </c>
      <c r="V1293" t="s">
        <v>171</v>
      </c>
      <c r="W1293" t="s">
        <v>46</v>
      </c>
      <c r="X1293" t="s">
        <v>46</v>
      </c>
      <c r="Y1293" t="s">
        <v>47</v>
      </c>
      <c r="Z1293" t="s">
        <v>47</v>
      </c>
      <c r="AA1293" t="s">
        <v>46</v>
      </c>
      <c r="AB1293" t="s">
        <v>46</v>
      </c>
      <c r="AC1293" t="s">
        <v>46</v>
      </c>
      <c r="AD1293" t="s">
        <v>46</v>
      </c>
      <c r="AE1293" t="s">
        <v>47</v>
      </c>
      <c r="AF1293" t="s">
        <v>47</v>
      </c>
      <c r="AG1293" t="s">
        <v>121</v>
      </c>
      <c r="AH1293" t="s">
        <v>122</v>
      </c>
      <c r="AI1293" t="s">
        <v>80</v>
      </c>
      <c r="AJ1293">
        <v>3</v>
      </c>
      <c r="AK1293" t="s">
        <v>47</v>
      </c>
      <c r="AL1293" t="s">
        <v>66</v>
      </c>
      <c r="AM1293" t="s">
        <v>56</v>
      </c>
      <c r="AN1293">
        <v>19</v>
      </c>
      <c r="AO1293" t="s">
        <v>47</v>
      </c>
    </row>
    <row r="1294" spans="1:41">
      <c r="A1294" t="s">
        <v>1446</v>
      </c>
      <c r="B1294">
        <v>2018</v>
      </c>
      <c r="C1294" s="1">
        <v>43365</v>
      </c>
      <c r="D1294" t="s">
        <v>58</v>
      </c>
      <c r="E1294" t="s">
        <v>142</v>
      </c>
      <c r="F1294">
        <v>68</v>
      </c>
      <c r="G1294" t="s">
        <v>60</v>
      </c>
      <c r="H1294" t="s">
        <v>70</v>
      </c>
      <c r="I1294">
        <v>0</v>
      </c>
      <c r="J1294">
        <v>0</v>
      </c>
      <c r="K1294" t="s">
        <v>47</v>
      </c>
      <c r="L1294" t="s">
        <v>46</v>
      </c>
      <c r="M1294" t="s">
        <v>47</v>
      </c>
      <c r="N1294" t="s">
        <v>50</v>
      </c>
      <c r="O1294" t="s">
        <v>49</v>
      </c>
      <c r="P1294">
        <v>27.7</v>
      </c>
      <c r="Q1294" t="s">
        <v>48</v>
      </c>
      <c r="R1294" t="s">
        <v>47</v>
      </c>
      <c r="S1294" t="s">
        <v>47</v>
      </c>
      <c r="T1294" t="s">
        <v>47</v>
      </c>
      <c r="U1294" t="s">
        <v>46</v>
      </c>
      <c r="V1294" t="s">
        <v>51</v>
      </c>
      <c r="W1294" t="s">
        <v>47</v>
      </c>
      <c r="X1294" t="s">
        <v>47</v>
      </c>
      <c r="Y1294" t="s">
        <v>47</v>
      </c>
      <c r="Z1294" t="s">
        <v>47</v>
      </c>
      <c r="AA1294" t="s">
        <v>46</v>
      </c>
      <c r="AB1294" t="s">
        <v>47</v>
      </c>
      <c r="AC1294" t="s">
        <v>47</v>
      </c>
      <c r="AD1294" t="s">
        <v>47</v>
      </c>
      <c r="AE1294" t="s">
        <v>47</v>
      </c>
      <c r="AF1294" t="s">
        <v>47</v>
      </c>
      <c r="AG1294" t="s">
        <v>52</v>
      </c>
      <c r="AH1294" t="s">
        <v>90</v>
      </c>
      <c r="AI1294" t="s">
        <v>87</v>
      </c>
      <c r="AJ1294">
        <v>5.4</v>
      </c>
      <c r="AK1294" t="s">
        <v>47</v>
      </c>
      <c r="AL1294" t="s">
        <v>76</v>
      </c>
      <c r="AM1294" t="s">
        <v>73</v>
      </c>
      <c r="AN1294">
        <v>37</v>
      </c>
      <c r="AO1294" t="s">
        <v>47</v>
      </c>
    </row>
    <row r="1295" spans="1:41">
      <c r="A1295" t="s">
        <v>1447</v>
      </c>
      <c r="B1295">
        <v>2022</v>
      </c>
      <c r="C1295" s="1">
        <v>44798</v>
      </c>
      <c r="D1295" t="s">
        <v>110</v>
      </c>
      <c r="E1295" t="s">
        <v>227</v>
      </c>
      <c r="F1295">
        <v>58</v>
      </c>
      <c r="G1295" t="s">
        <v>60</v>
      </c>
      <c r="H1295" t="s">
        <v>70</v>
      </c>
      <c r="I1295">
        <v>0</v>
      </c>
      <c r="J1295">
        <v>0</v>
      </c>
      <c r="K1295" t="s">
        <v>47</v>
      </c>
      <c r="L1295" t="s">
        <v>46</v>
      </c>
      <c r="M1295" t="s">
        <v>47</v>
      </c>
      <c r="N1295" t="s">
        <v>62</v>
      </c>
      <c r="O1295" t="s">
        <v>48</v>
      </c>
      <c r="P1295">
        <v>19.7</v>
      </c>
      <c r="Q1295" t="s">
        <v>48</v>
      </c>
      <c r="R1295" t="s">
        <v>47</v>
      </c>
      <c r="S1295" t="s">
        <v>47</v>
      </c>
      <c r="T1295" t="s">
        <v>47</v>
      </c>
      <c r="U1295" t="s">
        <v>47</v>
      </c>
      <c r="V1295" t="s">
        <v>51</v>
      </c>
      <c r="W1295" t="s">
        <v>46</v>
      </c>
      <c r="X1295" t="s">
        <v>46</v>
      </c>
      <c r="Y1295" t="s">
        <v>47</v>
      </c>
      <c r="Z1295" t="s">
        <v>47</v>
      </c>
      <c r="AA1295" t="s">
        <v>46</v>
      </c>
      <c r="AB1295" t="s">
        <v>47</v>
      </c>
      <c r="AC1295" t="s">
        <v>47</v>
      </c>
      <c r="AD1295" t="s">
        <v>47</v>
      </c>
      <c r="AE1295" t="s">
        <v>46</v>
      </c>
      <c r="AF1295" t="s">
        <v>47</v>
      </c>
      <c r="AG1295" t="s">
        <v>52</v>
      </c>
      <c r="AH1295" t="s">
        <v>53</v>
      </c>
      <c r="AI1295" t="s">
        <v>87</v>
      </c>
      <c r="AJ1295">
        <v>4</v>
      </c>
      <c r="AK1295" t="s">
        <v>47</v>
      </c>
      <c r="AL1295" t="s">
        <v>76</v>
      </c>
      <c r="AM1295" t="s">
        <v>67</v>
      </c>
      <c r="AN1295">
        <v>51</v>
      </c>
      <c r="AO1295" t="s">
        <v>47</v>
      </c>
    </row>
    <row r="1296" spans="1:41">
      <c r="A1296" t="s">
        <v>1448</v>
      </c>
      <c r="B1296">
        <v>2024</v>
      </c>
      <c r="C1296" s="1">
        <v>45310</v>
      </c>
      <c r="D1296" t="s">
        <v>42</v>
      </c>
      <c r="E1296" t="s">
        <v>69</v>
      </c>
      <c r="F1296">
        <v>56</v>
      </c>
      <c r="G1296" t="s">
        <v>60</v>
      </c>
      <c r="H1296" t="s">
        <v>45</v>
      </c>
      <c r="I1296">
        <v>13</v>
      </c>
      <c r="J1296">
        <v>26</v>
      </c>
      <c r="K1296" t="s">
        <v>47</v>
      </c>
      <c r="L1296" t="s">
        <v>47</v>
      </c>
      <c r="M1296" t="s">
        <v>47</v>
      </c>
      <c r="N1296" t="s">
        <v>62</v>
      </c>
      <c r="O1296" t="s">
        <v>48</v>
      </c>
      <c r="P1296">
        <v>26.4</v>
      </c>
      <c r="Q1296" t="s">
        <v>48</v>
      </c>
      <c r="R1296" t="s">
        <v>47</v>
      </c>
      <c r="S1296" t="s">
        <v>47</v>
      </c>
      <c r="T1296" t="s">
        <v>47</v>
      </c>
      <c r="U1296" t="s">
        <v>47</v>
      </c>
      <c r="V1296" t="s">
        <v>64</v>
      </c>
      <c r="W1296" t="s">
        <v>46</v>
      </c>
      <c r="X1296" t="s">
        <v>46</v>
      </c>
      <c r="Y1296" t="s">
        <v>46</v>
      </c>
      <c r="Z1296" t="s">
        <v>47</v>
      </c>
      <c r="AA1296" t="s">
        <v>46</v>
      </c>
      <c r="AB1296" t="s">
        <v>46</v>
      </c>
      <c r="AC1296" t="s">
        <v>47</v>
      </c>
      <c r="AD1296" t="s">
        <v>47</v>
      </c>
      <c r="AE1296" t="s">
        <v>47</v>
      </c>
      <c r="AF1296" t="s">
        <v>47</v>
      </c>
      <c r="AG1296" t="s">
        <v>52</v>
      </c>
      <c r="AH1296" t="s">
        <v>53</v>
      </c>
      <c r="AI1296" t="s">
        <v>54</v>
      </c>
      <c r="AJ1296">
        <v>7.6</v>
      </c>
      <c r="AK1296" t="s">
        <v>46</v>
      </c>
      <c r="AL1296" t="s">
        <v>66</v>
      </c>
      <c r="AM1296" t="s">
        <v>265</v>
      </c>
      <c r="AN1296">
        <v>8</v>
      </c>
      <c r="AO1296" t="s">
        <v>47</v>
      </c>
    </row>
    <row r="1297" spans="1:41">
      <c r="A1297" t="s">
        <v>1449</v>
      </c>
      <c r="B1297">
        <v>2020</v>
      </c>
      <c r="C1297" s="1">
        <v>43839</v>
      </c>
      <c r="D1297" t="s">
        <v>98</v>
      </c>
      <c r="E1297" t="s">
        <v>212</v>
      </c>
      <c r="F1297">
        <v>58</v>
      </c>
      <c r="G1297" t="s">
        <v>44</v>
      </c>
      <c r="H1297" t="s">
        <v>61</v>
      </c>
      <c r="I1297">
        <v>12</v>
      </c>
      <c r="J1297">
        <v>9</v>
      </c>
      <c r="K1297" t="s">
        <v>47</v>
      </c>
      <c r="L1297" t="s">
        <v>47</v>
      </c>
      <c r="M1297" t="s">
        <v>47</v>
      </c>
      <c r="N1297" t="s">
        <v>62</v>
      </c>
      <c r="O1297" t="s">
        <v>48</v>
      </c>
      <c r="P1297">
        <v>26.9</v>
      </c>
      <c r="Q1297" t="s">
        <v>62</v>
      </c>
      <c r="R1297" t="s">
        <v>47</v>
      </c>
      <c r="S1297" t="s">
        <v>47</v>
      </c>
      <c r="T1297" t="s">
        <v>47</v>
      </c>
      <c r="U1297" t="s">
        <v>47</v>
      </c>
      <c r="V1297" t="s">
        <v>51</v>
      </c>
      <c r="W1297" t="s">
        <v>46</v>
      </c>
      <c r="X1297" t="s">
        <v>46</v>
      </c>
      <c r="Y1297" t="s">
        <v>46</v>
      </c>
      <c r="Z1297" t="s">
        <v>47</v>
      </c>
      <c r="AA1297" t="s">
        <v>46</v>
      </c>
      <c r="AB1297" t="s">
        <v>47</v>
      </c>
      <c r="AC1297" t="s">
        <v>47</v>
      </c>
      <c r="AD1297" t="s">
        <v>46</v>
      </c>
      <c r="AE1297" t="s">
        <v>47</v>
      </c>
      <c r="AF1297" t="s">
        <v>47</v>
      </c>
      <c r="AG1297" t="s">
        <v>52</v>
      </c>
      <c r="AH1297" t="s">
        <v>71</v>
      </c>
      <c r="AI1297" t="s">
        <v>54</v>
      </c>
      <c r="AJ1297">
        <v>6.3</v>
      </c>
      <c r="AK1297" t="s">
        <v>46</v>
      </c>
      <c r="AL1297" t="s">
        <v>66</v>
      </c>
      <c r="AM1297" t="s">
        <v>77</v>
      </c>
      <c r="AN1297">
        <v>10</v>
      </c>
      <c r="AO1297" t="s">
        <v>47</v>
      </c>
    </row>
    <row r="1298" spans="1:41">
      <c r="A1298" t="s">
        <v>1450</v>
      </c>
      <c r="B1298">
        <v>2024</v>
      </c>
      <c r="C1298" s="1">
        <v>45293</v>
      </c>
      <c r="D1298" t="s">
        <v>95</v>
      </c>
      <c r="E1298" t="s">
        <v>145</v>
      </c>
      <c r="F1298">
        <v>53</v>
      </c>
      <c r="G1298" t="s">
        <v>44</v>
      </c>
      <c r="H1298" t="s">
        <v>70</v>
      </c>
      <c r="I1298">
        <v>0</v>
      </c>
      <c r="J1298">
        <v>0</v>
      </c>
      <c r="K1298" t="s">
        <v>46</v>
      </c>
      <c r="L1298" t="s">
        <v>47</v>
      </c>
      <c r="M1298" t="s">
        <v>47</v>
      </c>
      <c r="N1298" t="s">
        <v>62</v>
      </c>
      <c r="O1298" t="s">
        <v>48</v>
      </c>
      <c r="P1298">
        <v>20.7</v>
      </c>
      <c r="Q1298" t="s">
        <v>48</v>
      </c>
      <c r="R1298" t="s">
        <v>47</v>
      </c>
      <c r="S1298" t="s">
        <v>47</v>
      </c>
      <c r="T1298" t="s">
        <v>47</v>
      </c>
      <c r="U1298" t="s">
        <v>47</v>
      </c>
      <c r="V1298" t="s">
        <v>117</v>
      </c>
      <c r="W1298" t="s">
        <v>47</v>
      </c>
      <c r="X1298" t="s">
        <v>46</v>
      </c>
      <c r="Y1298" t="s">
        <v>47</v>
      </c>
      <c r="Z1298" t="s">
        <v>47</v>
      </c>
      <c r="AA1298" t="s">
        <v>47</v>
      </c>
      <c r="AB1298" t="s">
        <v>46</v>
      </c>
      <c r="AC1298" t="s">
        <v>47</v>
      </c>
      <c r="AD1298" t="s">
        <v>47</v>
      </c>
      <c r="AE1298" t="s">
        <v>47</v>
      </c>
      <c r="AF1298" t="s">
        <v>46</v>
      </c>
      <c r="AG1298" t="s">
        <v>52</v>
      </c>
      <c r="AH1298" t="s">
        <v>53</v>
      </c>
      <c r="AI1298" t="s">
        <v>80</v>
      </c>
      <c r="AJ1298">
        <v>10</v>
      </c>
      <c r="AK1298" t="s">
        <v>47</v>
      </c>
      <c r="AL1298" t="s">
        <v>100</v>
      </c>
      <c r="AM1298" t="s">
        <v>56</v>
      </c>
      <c r="AN1298">
        <v>24</v>
      </c>
      <c r="AO1298" t="s">
        <v>46</v>
      </c>
    </row>
    <row r="1299" spans="1:41">
      <c r="A1299" t="s">
        <v>1451</v>
      </c>
      <c r="B1299">
        <v>2018</v>
      </c>
      <c r="C1299" s="1">
        <v>43353</v>
      </c>
      <c r="D1299" t="s">
        <v>95</v>
      </c>
      <c r="E1299" t="s">
        <v>147</v>
      </c>
      <c r="F1299">
        <v>43</v>
      </c>
      <c r="G1299" t="s">
        <v>44</v>
      </c>
      <c r="H1299" t="s">
        <v>61</v>
      </c>
      <c r="I1299">
        <v>18</v>
      </c>
      <c r="J1299">
        <v>10</v>
      </c>
      <c r="K1299" t="s">
        <v>47</v>
      </c>
      <c r="L1299" t="s">
        <v>46</v>
      </c>
      <c r="M1299" t="s">
        <v>47</v>
      </c>
      <c r="N1299" t="s">
        <v>48</v>
      </c>
      <c r="O1299" t="s">
        <v>48</v>
      </c>
      <c r="P1299">
        <v>24.5</v>
      </c>
      <c r="Q1299" t="s">
        <v>48</v>
      </c>
      <c r="R1299" t="s">
        <v>47</v>
      </c>
      <c r="S1299" t="s">
        <v>47</v>
      </c>
      <c r="T1299" t="s">
        <v>46</v>
      </c>
      <c r="U1299" t="s">
        <v>46</v>
      </c>
      <c r="V1299" t="s">
        <v>51</v>
      </c>
      <c r="W1299" t="s">
        <v>46</v>
      </c>
      <c r="X1299" t="s">
        <v>47</v>
      </c>
      <c r="Y1299" t="s">
        <v>46</v>
      </c>
      <c r="Z1299" t="s">
        <v>46</v>
      </c>
      <c r="AA1299" t="s">
        <v>46</v>
      </c>
      <c r="AB1299" t="s">
        <v>46</v>
      </c>
      <c r="AC1299" t="s">
        <v>47</v>
      </c>
      <c r="AD1299" t="s">
        <v>47</v>
      </c>
      <c r="AE1299" t="s">
        <v>46</v>
      </c>
      <c r="AF1299" t="s">
        <v>47</v>
      </c>
      <c r="AG1299" t="s">
        <v>52</v>
      </c>
      <c r="AH1299" t="s">
        <v>53</v>
      </c>
      <c r="AI1299" t="s">
        <v>87</v>
      </c>
      <c r="AJ1299">
        <v>3.8</v>
      </c>
      <c r="AK1299" t="s">
        <v>47</v>
      </c>
      <c r="AL1299" t="s">
        <v>76</v>
      </c>
      <c r="AM1299" t="s">
        <v>67</v>
      </c>
      <c r="AN1299">
        <v>36</v>
      </c>
      <c r="AO1299" t="s">
        <v>47</v>
      </c>
    </row>
    <row r="1300" spans="1:41">
      <c r="A1300" t="s">
        <v>1452</v>
      </c>
      <c r="B1300">
        <v>2020</v>
      </c>
      <c r="C1300" s="1">
        <v>44026</v>
      </c>
      <c r="D1300" t="s">
        <v>95</v>
      </c>
      <c r="E1300" t="s">
        <v>145</v>
      </c>
      <c r="F1300">
        <v>55</v>
      </c>
      <c r="G1300" t="s">
        <v>60</v>
      </c>
      <c r="H1300" t="s">
        <v>45</v>
      </c>
      <c r="I1300">
        <v>31</v>
      </c>
      <c r="J1300">
        <v>27</v>
      </c>
      <c r="K1300" t="s">
        <v>46</v>
      </c>
      <c r="L1300" t="s">
        <v>47</v>
      </c>
      <c r="M1300" t="s">
        <v>47</v>
      </c>
      <c r="N1300" t="s">
        <v>50</v>
      </c>
      <c r="O1300" t="s">
        <v>48</v>
      </c>
      <c r="P1300">
        <v>27.4</v>
      </c>
      <c r="Q1300" t="s">
        <v>48</v>
      </c>
      <c r="R1300" t="s">
        <v>47</v>
      </c>
      <c r="S1300" t="s">
        <v>47</v>
      </c>
      <c r="T1300" t="s">
        <v>47</v>
      </c>
      <c r="U1300" t="s">
        <v>47</v>
      </c>
      <c r="V1300" t="s">
        <v>51</v>
      </c>
      <c r="W1300" t="s">
        <v>46</v>
      </c>
      <c r="X1300" t="s">
        <v>47</v>
      </c>
      <c r="Y1300" t="s">
        <v>46</v>
      </c>
      <c r="Z1300" t="s">
        <v>47</v>
      </c>
      <c r="AA1300" t="s">
        <v>47</v>
      </c>
      <c r="AB1300" t="s">
        <v>46</v>
      </c>
      <c r="AC1300" t="s">
        <v>46</v>
      </c>
      <c r="AD1300" t="s">
        <v>46</v>
      </c>
      <c r="AE1300" t="s">
        <v>47</v>
      </c>
      <c r="AF1300" t="s">
        <v>47</v>
      </c>
      <c r="AG1300" t="s">
        <v>52</v>
      </c>
      <c r="AH1300" t="s">
        <v>71</v>
      </c>
      <c r="AI1300" t="s">
        <v>87</v>
      </c>
      <c r="AJ1300">
        <v>4.5999999999999996</v>
      </c>
      <c r="AK1300" t="s">
        <v>47</v>
      </c>
      <c r="AL1300" t="s">
        <v>76</v>
      </c>
      <c r="AM1300" t="s">
        <v>73</v>
      </c>
      <c r="AN1300">
        <v>55</v>
      </c>
      <c r="AO1300" t="s">
        <v>46</v>
      </c>
    </row>
    <row r="1301" spans="1:41">
      <c r="A1301" t="s">
        <v>1453</v>
      </c>
      <c r="B1301">
        <v>2025</v>
      </c>
      <c r="C1301" s="1">
        <v>45709</v>
      </c>
      <c r="D1301" t="s">
        <v>110</v>
      </c>
      <c r="E1301" t="s">
        <v>116</v>
      </c>
      <c r="F1301">
        <v>47</v>
      </c>
      <c r="G1301" t="s">
        <v>44</v>
      </c>
      <c r="H1301" t="s">
        <v>70</v>
      </c>
      <c r="I1301">
        <v>0</v>
      </c>
      <c r="J1301">
        <v>0</v>
      </c>
      <c r="K1301" t="s">
        <v>47</v>
      </c>
      <c r="L1301" t="s">
        <v>47</v>
      </c>
      <c r="M1301" t="s">
        <v>47</v>
      </c>
      <c r="N1301" t="s">
        <v>62</v>
      </c>
      <c r="O1301" t="s">
        <v>49</v>
      </c>
      <c r="P1301">
        <v>26.6</v>
      </c>
      <c r="Q1301" t="s">
        <v>50</v>
      </c>
      <c r="R1301" t="s">
        <v>47</v>
      </c>
      <c r="S1301" t="s">
        <v>47</v>
      </c>
      <c r="T1301" t="s">
        <v>47</v>
      </c>
      <c r="U1301" t="s">
        <v>47</v>
      </c>
      <c r="V1301" t="s">
        <v>171</v>
      </c>
      <c r="W1301" t="s">
        <v>47</v>
      </c>
      <c r="X1301" t="s">
        <v>46</v>
      </c>
      <c r="Y1301" t="s">
        <v>47</v>
      </c>
      <c r="Z1301" t="s">
        <v>47</v>
      </c>
      <c r="AA1301" t="s">
        <v>47</v>
      </c>
      <c r="AB1301" t="s">
        <v>47</v>
      </c>
      <c r="AC1301" t="s">
        <v>47</v>
      </c>
      <c r="AD1301" t="s">
        <v>47</v>
      </c>
      <c r="AE1301" t="s">
        <v>47</v>
      </c>
      <c r="AF1301" t="s">
        <v>47</v>
      </c>
      <c r="AG1301" t="s">
        <v>52</v>
      </c>
      <c r="AH1301" t="s">
        <v>71</v>
      </c>
      <c r="AI1301" t="s">
        <v>87</v>
      </c>
      <c r="AJ1301">
        <v>5.5</v>
      </c>
      <c r="AK1301" t="s">
        <v>47</v>
      </c>
      <c r="AL1301" t="s">
        <v>76</v>
      </c>
      <c r="AM1301" t="s">
        <v>67</v>
      </c>
      <c r="AN1301">
        <v>45</v>
      </c>
      <c r="AO1301" t="s">
        <v>47</v>
      </c>
    </row>
    <row r="1302" spans="1:41">
      <c r="A1302" t="s">
        <v>1454</v>
      </c>
      <c r="B1302">
        <v>2015</v>
      </c>
      <c r="C1302" s="1">
        <v>42267</v>
      </c>
      <c r="D1302" t="s">
        <v>42</v>
      </c>
      <c r="E1302" t="s">
        <v>166</v>
      </c>
      <c r="F1302">
        <v>52</v>
      </c>
      <c r="G1302" t="s">
        <v>60</v>
      </c>
      <c r="H1302" t="s">
        <v>45</v>
      </c>
      <c r="I1302">
        <v>19</v>
      </c>
      <c r="J1302">
        <v>25</v>
      </c>
      <c r="K1302" t="s">
        <v>46</v>
      </c>
      <c r="L1302" t="s">
        <v>47</v>
      </c>
      <c r="M1302" t="s">
        <v>47</v>
      </c>
      <c r="N1302" t="s">
        <v>62</v>
      </c>
      <c r="O1302" t="s">
        <v>63</v>
      </c>
      <c r="P1302">
        <v>31.4</v>
      </c>
      <c r="Q1302" t="s">
        <v>50</v>
      </c>
      <c r="R1302" t="s">
        <v>47</v>
      </c>
      <c r="S1302" t="s">
        <v>47</v>
      </c>
      <c r="T1302" t="s">
        <v>47</v>
      </c>
      <c r="U1302" t="s">
        <v>47</v>
      </c>
      <c r="V1302" t="s">
        <v>64</v>
      </c>
      <c r="W1302" t="s">
        <v>47</v>
      </c>
      <c r="X1302" t="s">
        <v>46</v>
      </c>
      <c r="Y1302" t="s">
        <v>47</v>
      </c>
      <c r="Z1302" t="s">
        <v>47</v>
      </c>
      <c r="AA1302" t="s">
        <v>46</v>
      </c>
      <c r="AB1302" t="s">
        <v>46</v>
      </c>
      <c r="AC1302" t="s">
        <v>47</v>
      </c>
      <c r="AD1302" t="s">
        <v>47</v>
      </c>
      <c r="AE1302" t="s">
        <v>47</v>
      </c>
      <c r="AF1302" t="s">
        <v>47</v>
      </c>
      <c r="AG1302" t="s">
        <v>121</v>
      </c>
      <c r="AH1302" t="s">
        <v>122</v>
      </c>
      <c r="AI1302" t="s">
        <v>54</v>
      </c>
      <c r="AJ1302">
        <v>4.5</v>
      </c>
      <c r="AK1302" t="s">
        <v>46</v>
      </c>
      <c r="AL1302" t="s">
        <v>76</v>
      </c>
      <c r="AM1302" t="s">
        <v>118</v>
      </c>
      <c r="AN1302">
        <v>6</v>
      </c>
      <c r="AO1302" t="s">
        <v>47</v>
      </c>
    </row>
    <row r="1303" spans="1:41">
      <c r="A1303" t="s">
        <v>1455</v>
      </c>
      <c r="B1303">
        <v>2024</v>
      </c>
      <c r="C1303" s="1">
        <v>45415</v>
      </c>
      <c r="D1303" t="s">
        <v>95</v>
      </c>
      <c r="E1303" t="s">
        <v>130</v>
      </c>
      <c r="F1303">
        <v>54</v>
      </c>
      <c r="G1303" t="s">
        <v>44</v>
      </c>
      <c r="H1303" t="s">
        <v>61</v>
      </c>
      <c r="I1303">
        <v>11</v>
      </c>
      <c r="J1303">
        <v>15</v>
      </c>
      <c r="K1303" t="s">
        <v>47</v>
      </c>
      <c r="L1303" t="s">
        <v>47</v>
      </c>
      <c r="M1303" t="s">
        <v>47</v>
      </c>
      <c r="N1303" t="s">
        <v>48</v>
      </c>
      <c r="O1303" t="s">
        <v>48</v>
      </c>
      <c r="P1303">
        <v>27.5</v>
      </c>
      <c r="Q1303" t="s">
        <v>62</v>
      </c>
      <c r="R1303" t="s">
        <v>46</v>
      </c>
      <c r="S1303" t="s">
        <v>47</v>
      </c>
      <c r="T1303" t="s">
        <v>47</v>
      </c>
      <c r="U1303" t="s">
        <v>47</v>
      </c>
      <c r="V1303" t="s">
        <v>51</v>
      </c>
      <c r="W1303" t="s">
        <v>46</v>
      </c>
      <c r="X1303" t="s">
        <v>47</v>
      </c>
      <c r="Y1303" t="s">
        <v>47</v>
      </c>
      <c r="Z1303" t="s">
        <v>47</v>
      </c>
      <c r="AA1303" t="s">
        <v>47</v>
      </c>
      <c r="AB1303" t="s">
        <v>47</v>
      </c>
      <c r="AC1303" t="s">
        <v>47</v>
      </c>
      <c r="AD1303" t="s">
        <v>46</v>
      </c>
      <c r="AE1303" t="s">
        <v>46</v>
      </c>
      <c r="AF1303" t="s">
        <v>47</v>
      </c>
      <c r="AG1303" t="s">
        <v>52</v>
      </c>
      <c r="AH1303" t="s">
        <v>71</v>
      </c>
      <c r="AI1303" t="s">
        <v>80</v>
      </c>
      <c r="AJ1303">
        <v>5.8</v>
      </c>
      <c r="AK1303" t="s">
        <v>47</v>
      </c>
      <c r="AL1303" t="s">
        <v>100</v>
      </c>
      <c r="AM1303" t="s">
        <v>82</v>
      </c>
      <c r="AN1303">
        <v>27</v>
      </c>
      <c r="AO1303" t="s">
        <v>46</v>
      </c>
    </row>
    <row r="1304" spans="1:41">
      <c r="A1304" t="s">
        <v>1456</v>
      </c>
      <c r="B1304">
        <v>2021</v>
      </c>
      <c r="C1304" s="1">
        <v>44244</v>
      </c>
      <c r="D1304" t="s">
        <v>95</v>
      </c>
      <c r="E1304" t="s">
        <v>132</v>
      </c>
      <c r="F1304">
        <v>68</v>
      </c>
      <c r="G1304" t="s">
        <v>60</v>
      </c>
      <c r="H1304" t="s">
        <v>61</v>
      </c>
      <c r="I1304">
        <v>3</v>
      </c>
      <c r="J1304">
        <v>23</v>
      </c>
      <c r="K1304" t="s">
        <v>47</v>
      </c>
      <c r="L1304" t="s">
        <v>47</v>
      </c>
      <c r="M1304" t="s">
        <v>47</v>
      </c>
      <c r="N1304" t="s">
        <v>48</v>
      </c>
      <c r="O1304" t="s">
        <v>63</v>
      </c>
      <c r="P1304">
        <v>29.5</v>
      </c>
      <c r="Q1304" t="s">
        <v>48</v>
      </c>
      <c r="R1304" t="s">
        <v>47</v>
      </c>
      <c r="S1304" t="s">
        <v>47</v>
      </c>
      <c r="T1304" t="s">
        <v>47</v>
      </c>
      <c r="U1304" t="s">
        <v>47</v>
      </c>
      <c r="V1304" t="s">
        <v>51</v>
      </c>
      <c r="W1304" t="s">
        <v>46</v>
      </c>
      <c r="X1304" t="s">
        <v>46</v>
      </c>
      <c r="Y1304" t="s">
        <v>47</v>
      </c>
      <c r="Z1304" t="s">
        <v>46</v>
      </c>
      <c r="AA1304" t="s">
        <v>46</v>
      </c>
      <c r="AB1304" t="s">
        <v>46</v>
      </c>
      <c r="AC1304" t="s">
        <v>46</v>
      </c>
      <c r="AD1304" t="s">
        <v>46</v>
      </c>
      <c r="AE1304" t="s">
        <v>47</v>
      </c>
      <c r="AF1304" t="s">
        <v>47</v>
      </c>
      <c r="AG1304" t="s">
        <v>52</v>
      </c>
      <c r="AH1304" t="s">
        <v>53</v>
      </c>
      <c r="AI1304" t="s">
        <v>80</v>
      </c>
      <c r="AJ1304">
        <v>5.2</v>
      </c>
      <c r="AK1304" t="s">
        <v>47</v>
      </c>
      <c r="AL1304" t="s">
        <v>100</v>
      </c>
      <c r="AM1304" t="s">
        <v>77</v>
      </c>
      <c r="AN1304">
        <v>19</v>
      </c>
      <c r="AO1304" t="s">
        <v>47</v>
      </c>
    </row>
    <row r="1305" spans="1:41">
      <c r="A1305" t="s">
        <v>1457</v>
      </c>
      <c r="B1305">
        <v>2023</v>
      </c>
      <c r="C1305" s="1">
        <v>45003</v>
      </c>
      <c r="D1305" t="s">
        <v>95</v>
      </c>
      <c r="E1305" t="s">
        <v>107</v>
      </c>
      <c r="F1305">
        <v>57</v>
      </c>
      <c r="G1305" t="s">
        <v>60</v>
      </c>
      <c r="H1305" t="s">
        <v>70</v>
      </c>
      <c r="I1305">
        <v>0</v>
      </c>
      <c r="J1305">
        <v>0</v>
      </c>
      <c r="K1305" t="s">
        <v>46</v>
      </c>
      <c r="L1305" t="s">
        <v>47</v>
      </c>
      <c r="M1305" t="s">
        <v>47</v>
      </c>
      <c r="N1305" t="s">
        <v>48</v>
      </c>
      <c r="O1305" t="s">
        <v>49</v>
      </c>
      <c r="P1305">
        <v>28.9</v>
      </c>
      <c r="Q1305" t="s">
        <v>50</v>
      </c>
      <c r="R1305" t="s">
        <v>47</v>
      </c>
      <c r="S1305" t="s">
        <v>47</v>
      </c>
      <c r="T1305" t="s">
        <v>47</v>
      </c>
      <c r="U1305" t="s">
        <v>47</v>
      </c>
      <c r="V1305" t="s">
        <v>64</v>
      </c>
      <c r="W1305" t="s">
        <v>47</v>
      </c>
      <c r="X1305" t="s">
        <v>46</v>
      </c>
      <c r="Y1305" t="s">
        <v>47</v>
      </c>
      <c r="Z1305" t="s">
        <v>47</v>
      </c>
      <c r="AA1305" t="s">
        <v>47</v>
      </c>
      <c r="AB1305" t="s">
        <v>47</v>
      </c>
      <c r="AC1305" t="s">
        <v>47</v>
      </c>
      <c r="AD1305" t="s">
        <v>47</v>
      </c>
      <c r="AE1305" t="s">
        <v>47</v>
      </c>
      <c r="AF1305" t="s">
        <v>47</v>
      </c>
      <c r="AG1305" t="s">
        <v>52</v>
      </c>
      <c r="AH1305" t="s">
        <v>90</v>
      </c>
      <c r="AI1305" t="s">
        <v>65</v>
      </c>
      <c r="AJ1305">
        <v>3.1</v>
      </c>
      <c r="AK1305" t="s">
        <v>47</v>
      </c>
      <c r="AL1305" t="s">
        <v>156</v>
      </c>
      <c r="AM1305" t="s">
        <v>73</v>
      </c>
      <c r="AN1305">
        <v>72</v>
      </c>
      <c r="AO1305" t="s">
        <v>46</v>
      </c>
    </row>
    <row r="1306" spans="1:41">
      <c r="A1306" t="s">
        <v>1458</v>
      </c>
      <c r="B1306">
        <v>2017</v>
      </c>
      <c r="C1306" s="1">
        <v>42935</v>
      </c>
      <c r="D1306" t="s">
        <v>58</v>
      </c>
      <c r="E1306" t="s">
        <v>169</v>
      </c>
      <c r="F1306">
        <v>52</v>
      </c>
      <c r="G1306" t="s">
        <v>60</v>
      </c>
      <c r="H1306" t="s">
        <v>45</v>
      </c>
      <c r="I1306">
        <v>24</v>
      </c>
      <c r="J1306">
        <v>29</v>
      </c>
      <c r="K1306" t="s">
        <v>47</v>
      </c>
      <c r="L1306" t="s">
        <v>47</v>
      </c>
      <c r="M1306" t="s">
        <v>46</v>
      </c>
      <c r="N1306" t="s">
        <v>62</v>
      </c>
      <c r="O1306" t="s">
        <v>49</v>
      </c>
      <c r="P1306">
        <v>20.7</v>
      </c>
      <c r="Q1306" t="s">
        <v>50</v>
      </c>
      <c r="R1306" t="s">
        <v>46</v>
      </c>
      <c r="S1306" t="s">
        <v>46</v>
      </c>
      <c r="T1306" t="s">
        <v>47</v>
      </c>
      <c r="U1306" t="s">
        <v>47</v>
      </c>
      <c r="V1306" t="s">
        <v>51</v>
      </c>
      <c r="W1306" t="s">
        <v>47</v>
      </c>
      <c r="X1306" t="s">
        <v>47</v>
      </c>
      <c r="Y1306" t="s">
        <v>47</v>
      </c>
      <c r="Z1306" t="s">
        <v>47</v>
      </c>
      <c r="AA1306" t="s">
        <v>47</v>
      </c>
      <c r="AB1306" t="s">
        <v>47</v>
      </c>
      <c r="AC1306" t="s">
        <v>46</v>
      </c>
      <c r="AD1306" t="s">
        <v>47</v>
      </c>
      <c r="AE1306" t="s">
        <v>47</v>
      </c>
      <c r="AF1306" t="s">
        <v>47</v>
      </c>
      <c r="AG1306" t="s">
        <v>121</v>
      </c>
      <c r="AH1306" t="s">
        <v>122</v>
      </c>
      <c r="AI1306" t="s">
        <v>54</v>
      </c>
      <c r="AJ1306">
        <v>6.4</v>
      </c>
      <c r="AK1306" t="s">
        <v>46</v>
      </c>
      <c r="AL1306" t="s">
        <v>72</v>
      </c>
      <c r="AM1306" t="s">
        <v>265</v>
      </c>
      <c r="AN1306">
        <v>12</v>
      </c>
      <c r="AO1306" t="s">
        <v>47</v>
      </c>
    </row>
    <row r="1307" spans="1:41">
      <c r="A1307" t="s">
        <v>1459</v>
      </c>
      <c r="B1307">
        <v>2023</v>
      </c>
      <c r="C1307" s="1">
        <v>45069</v>
      </c>
      <c r="D1307" t="s">
        <v>95</v>
      </c>
      <c r="E1307" t="s">
        <v>145</v>
      </c>
      <c r="F1307">
        <v>53</v>
      </c>
      <c r="G1307" t="s">
        <v>44</v>
      </c>
      <c r="H1307" t="s">
        <v>61</v>
      </c>
      <c r="I1307">
        <v>9</v>
      </c>
      <c r="J1307">
        <v>2</v>
      </c>
      <c r="K1307" t="s">
        <v>47</v>
      </c>
      <c r="L1307" t="s">
        <v>47</v>
      </c>
      <c r="M1307" t="s">
        <v>47</v>
      </c>
      <c r="N1307" t="s">
        <v>62</v>
      </c>
      <c r="O1307" t="s">
        <v>48</v>
      </c>
      <c r="P1307">
        <v>28.1</v>
      </c>
      <c r="Q1307" t="s">
        <v>50</v>
      </c>
      <c r="R1307" t="s">
        <v>47</v>
      </c>
      <c r="S1307" t="s">
        <v>46</v>
      </c>
      <c r="T1307" t="s">
        <v>47</v>
      </c>
      <c r="U1307" t="s">
        <v>47</v>
      </c>
      <c r="V1307" t="s">
        <v>64</v>
      </c>
      <c r="W1307" t="s">
        <v>47</v>
      </c>
      <c r="X1307" t="s">
        <v>47</v>
      </c>
      <c r="Y1307" t="s">
        <v>47</v>
      </c>
      <c r="Z1307" t="s">
        <v>47</v>
      </c>
      <c r="AA1307" t="s">
        <v>46</v>
      </c>
      <c r="AB1307" t="s">
        <v>46</v>
      </c>
      <c r="AC1307" t="s">
        <v>46</v>
      </c>
      <c r="AD1307" t="s">
        <v>47</v>
      </c>
      <c r="AE1307" t="s">
        <v>47</v>
      </c>
      <c r="AF1307" t="s">
        <v>47</v>
      </c>
      <c r="AG1307" t="s">
        <v>52</v>
      </c>
      <c r="AH1307" t="s">
        <v>90</v>
      </c>
      <c r="AI1307" t="s">
        <v>87</v>
      </c>
      <c r="AJ1307">
        <v>6.4</v>
      </c>
      <c r="AK1307" t="s">
        <v>47</v>
      </c>
      <c r="AL1307" t="s">
        <v>81</v>
      </c>
      <c r="AM1307" t="s">
        <v>67</v>
      </c>
      <c r="AN1307">
        <v>29</v>
      </c>
      <c r="AO1307" t="s">
        <v>47</v>
      </c>
    </row>
    <row r="1308" spans="1:41">
      <c r="A1308" t="s">
        <v>1460</v>
      </c>
      <c r="B1308">
        <v>2020</v>
      </c>
      <c r="C1308" s="1">
        <v>44193</v>
      </c>
      <c r="D1308" t="s">
        <v>42</v>
      </c>
      <c r="E1308" t="s">
        <v>160</v>
      </c>
      <c r="F1308">
        <v>51</v>
      </c>
      <c r="G1308" t="s">
        <v>44</v>
      </c>
      <c r="H1308" t="s">
        <v>45</v>
      </c>
      <c r="I1308">
        <v>12</v>
      </c>
      <c r="J1308">
        <v>30</v>
      </c>
      <c r="K1308" t="s">
        <v>47</v>
      </c>
      <c r="L1308" t="s">
        <v>47</v>
      </c>
      <c r="M1308" t="s">
        <v>47</v>
      </c>
      <c r="N1308" t="s">
        <v>62</v>
      </c>
      <c r="O1308" t="s">
        <v>48</v>
      </c>
      <c r="P1308">
        <v>23.3</v>
      </c>
      <c r="Q1308" t="s">
        <v>62</v>
      </c>
      <c r="R1308" t="s">
        <v>47</v>
      </c>
      <c r="S1308" t="s">
        <v>47</v>
      </c>
      <c r="T1308" t="s">
        <v>47</v>
      </c>
      <c r="U1308" t="s">
        <v>47</v>
      </c>
      <c r="V1308" t="s">
        <v>51</v>
      </c>
      <c r="W1308" t="s">
        <v>46</v>
      </c>
      <c r="X1308" t="s">
        <v>47</v>
      </c>
      <c r="Y1308" t="s">
        <v>47</v>
      </c>
      <c r="Z1308" t="s">
        <v>47</v>
      </c>
      <c r="AA1308" t="s">
        <v>47</v>
      </c>
      <c r="AB1308" t="s">
        <v>47</v>
      </c>
      <c r="AC1308" t="s">
        <v>46</v>
      </c>
      <c r="AD1308" t="s">
        <v>47</v>
      </c>
      <c r="AE1308" t="s">
        <v>47</v>
      </c>
      <c r="AF1308" t="s">
        <v>47</v>
      </c>
      <c r="AG1308" t="s">
        <v>52</v>
      </c>
      <c r="AH1308" t="s">
        <v>53</v>
      </c>
      <c r="AI1308" t="s">
        <v>65</v>
      </c>
      <c r="AJ1308">
        <v>0.7</v>
      </c>
      <c r="AK1308" t="s">
        <v>47</v>
      </c>
      <c r="AL1308" t="s">
        <v>72</v>
      </c>
      <c r="AM1308" t="s">
        <v>118</v>
      </c>
      <c r="AN1308">
        <v>26</v>
      </c>
      <c r="AO1308" t="s">
        <v>46</v>
      </c>
    </row>
    <row r="1309" spans="1:41">
      <c r="A1309" t="s">
        <v>1461</v>
      </c>
      <c r="B1309">
        <v>2021</v>
      </c>
      <c r="C1309" s="1">
        <v>44204</v>
      </c>
      <c r="D1309" t="s">
        <v>95</v>
      </c>
      <c r="E1309" t="s">
        <v>120</v>
      </c>
      <c r="F1309">
        <v>70</v>
      </c>
      <c r="G1309" t="s">
        <v>44</v>
      </c>
      <c r="H1309" t="s">
        <v>70</v>
      </c>
      <c r="I1309">
        <v>0</v>
      </c>
      <c r="J1309">
        <v>0</v>
      </c>
      <c r="K1309" t="s">
        <v>46</v>
      </c>
      <c r="L1309" t="s">
        <v>47</v>
      </c>
      <c r="M1309" t="s">
        <v>46</v>
      </c>
      <c r="N1309" t="s">
        <v>48</v>
      </c>
      <c r="O1309" t="s">
        <v>49</v>
      </c>
      <c r="P1309">
        <v>27.4</v>
      </c>
      <c r="Q1309" t="s">
        <v>48</v>
      </c>
      <c r="R1309" t="s">
        <v>47</v>
      </c>
      <c r="S1309" t="s">
        <v>47</v>
      </c>
      <c r="T1309" t="s">
        <v>47</v>
      </c>
      <c r="U1309" t="s">
        <v>47</v>
      </c>
      <c r="V1309" t="s">
        <v>117</v>
      </c>
      <c r="W1309" t="s">
        <v>47</v>
      </c>
      <c r="X1309" t="s">
        <v>47</v>
      </c>
      <c r="Y1309" t="s">
        <v>47</v>
      </c>
      <c r="Z1309" t="s">
        <v>46</v>
      </c>
      <c r="AA1309" t="s">
        <v>46</v>
      </c>
      <c r="AB1309" t="s">
        <v>47</v>
      </c>
      <c r="AC1309" t="s">
        <v>47</v>
      </c>
      <c r="AD1309" t="s">
        <v>47</v>
      </c>
      <c r="AE1309" t="s">
        <v>47</v>
      </c>
      <c r="AF1309" t="s">
        <v>47</v>
      </c>
      <c r="AG1309" t="s">
        <v>52</v>
      </c>
      <c r="AH1309" t="s">
        <v>53</v>
      </c>
      <c r="AI1309" t="s">
        <v>65</v>
      </c>
      <c r="AJ1309">
        <v>2.5</v>
      </c>
      <c r="AK1309" t="s">
        <v>47</v>
      </c>
      <c r="AL1309" t="s">
        <v>76</v>
      </c>
      <c r="AM1309" t="s">
        <v>73</v>
      </c>
      <c r="AN1309">
        <v>70</v>
      </c>
      <c r="AO1309" t="s">
        <v>46</v>
      </c>
    </row>
    <row r="1310" spans="1:41">
      <c r="A1310" t="s">
        <v>1462</v>
      </c>
      <c r="B1310">
        <v>2024</v>
      </c>
      <c r="C1310" s="1">
        <v>45477</v>
      </c>
      <c r="D1310" t="s">
        <v>95</v>
      </c>
      <c r="E1310" t="s">
        <v>96</v>
      </c>
      <c r="F1310">
        <v>44</v>
      </c>
      <c r="G1310" t="s">
        <v>60</v>
      </c>
      <c r="H1310" t="s">
        <v>70</v>
      </c>
      <c r="I1310">
        <v>0</v>
      </c>
      <c r="J1310">
        <v>0</v>
      </c>
      <c r="K1310" t="s">
        <v>47</v>
      </c>
      <c r="L1310" t="s">
        <v>46</v>
      </c>
      <c r="M1310" t="s">
        <v>47</v>
      </c>
      <c r="N1310" t="s">
        <v>50</v>
      </c>
      <c r="O1310" t="s">
        <v>48</v>
      </c>
      <c r="P1310">
        <v>23.1</v>
      </c>
      <c r="Q1310" t="s">
        <v>48</v>
      </c>
      <c r="R1310" t="s">
        <v>47</v>
      </c>
      <c r="S1310" t="s">
        <v>47</v>
      </c>
      <c r="T1310" t="s">
        <v>47</v>
      </c>
      <c r="U1310" t="s">
        <v>47</v>
      </c>
      <c r="V1310" t="s">
        <v>86</v>
      </c>
      <c r="W1310" t="s">
        <v>46</v>
      </c>
      <c r="X1310" t="s">
        <v>47</v>
      </c>
      <c r="Y1310" t="s">
        <v>46</v>
      </c>
      <c r="Z1310" t="s">
        <v>47</v>
      </c>
      <c r="AA1310" t="s">
        <v>47</v>
      </c>
      <c r="AB1310" t="s">
        <v>46</v>
      </c>
      <c r="AC1310" t="s">
        <v>47</v>
      </c>
      <c r="AD1310" t="s">
        <v>47</v>
      </c>
      <c r="AE1310" t="s">
        <v>47</v>
      </c>
      <c r="AF1310" t="s">
        <v>47</v>
      </c>
      <c r="AG1310" t="s">
        <v>52</v>
      </c>
      <c r="AH1310" t="s">
        <v>53</v>
      </c>
      <c r="AI1310" t="s">
        <v>65</v>
      </c>
      <c r="AJ1310">
        <v>2</v>
      </c>
      <c r="AK1310" t="s">
        <v>47</v>
      </c>
      <c r="AL1310" t="s">
        <v>76</v>
      </c>
      <c r="AM1310" t="s">
        <v>103</v>
      </c>
      <c r="AN1310">
        <v>46</v>
      </c>
      <c r="AO1310" t="s">
        <v>47</v>
      </c>
    </row>
    <row r="1311" spans="1:41">
      <c r="A1311" t="s">
        <v>1463</v>
      </c>
      <c r="B1311">
        <v>2022</v>
      </c>
      <c r="C1311" s="1">
        <v>44854</v>
      </c>
      <c r="D1311" t="s">
        <v>84</v>
      </c>
      <c r="E1311" t="s">
        <v>218</v>
      </c>
      <c r="F1311">
        <v>57</v>
      </c>
      <c r="G1311" t="s">
        <v>60</v>
      </c>
      <c r="H1311" t="s">
        <v>70</v>
      </c>
      <c r="I1311">
        <v>0</v>
      </c>
      <c r="J1311">
        <v>0</v>
      </c>
      <c r="K1311" t="s">
        <v>47</v>
      </c>
      <c r="L1311" t="s">
        <v>47</v>
      </c>
      <c r="M1311" t="s">
        <v>47</v>
      </c>
      <c r="N1311" t="s">
        <v>62</v>
      </c>
      <c r="O1311" t="s">
        <v>49</v>
      </c>
      <c r="P1311">
        <v>32.799999999999997</v>
      </c>
      <c r="Q1311" t="s">
        <v>50</v>
      </c>
      <c r="R1311" t="s">
        <v>47</v>
      </c>
      <c r="S1311" t="s">
        <v>47</v>
      </c>
      <c r="T1311" t="s">
        <v>47</v>
      </c>
      <c r="U1311" t="s">
        <v>46</v>
      </c>
      <c r="V1311" t="s">
        <v>51</v>
      </c>
      <c r="W1311" t="s">
        <v>46</v>
      </c>
      <c r="X1311" t="s">
        <v>47</v>
      </c>
      <c r="Y1311" t="s">
        <v>47</v>
      </c>
      <c r="Z1311" t="s">
        <v>47</v>
      </c>
      <c r="AA1311" t="s">
        <v>47</v>
      </c>
      <c r="AB1311" t="s">
        <v>47</v>
      </c>
      <c r="AC1311" t="s">
        <v>46</v>
      </c>
      <c r="AD1311" t="s">
        <v>47</v>
      </c>
      <c r="AE1311" t="s">
        <v>47</v>
      </c>
      <c r="AF1311" t="s">
        <v>47</v>
      </c>
      <c r="AG1311" t="s">
        <v>52</v>
      </c>
      <c r="AH1311" t="s">
        <v>71</v>
      </c>
      <c r="AI1311" t="s">
        <v>54</v>
      </c>
      <c r="AJ1311">
        <v>5</v>
      </c>
      <c r="AK1311" t="s">
        <v>46</v>
      </c>
      <c r="AL1311" t="s">
        <v>100</v>
      </c>
      <c r="AM1311" t="s">
        <v>103</v>
      </c>
      <c r="AN1311">
        <v>10</v>
      </c>
      <c r="AO1311" t="s">
        <v>46</v>
      </c>
    </row>
    <row r="1312" spans="1:41">
      <c r="A1312" t="s">
        <v>1464</v>
      </c>
      <c r="B1312">
        <v>2018</v>
      </c>
      <c r="C1312" s="1">
        <v>43242</v>
      </c>
      <c r="D1312" t="s">
        <v>84</v>
      </c>
      <c r="E1312" t="s">
        <v>182</v>
      </c>
      <c r="F1312">
        <v>59</v>
      </c>
      <c r="G1312" t="s">
        <v>60</v>
      </c>
      <c r="H1312" t="s">
        <v>70</v>
      </c>
      <c r="I1312">
        <v>0</v>
      </c>
      <c r="J1312">
        <v>0</v>
      </c>
      <c r="K1312" t="s">
        <v>46</v>
      </c>
      <c r="L1312" t="s">
        <v>47</v>
      </c>
      <c r="M1312" t="s">
        <v>47</v>
      </c>
      <c r="N1312" t="s">
        <v>48</v>
      </c>
      <c r="O1312" t="s">
        <v>49</v>
      </c>
      <c r="P1312">
        <v>24.2</v>
      </c>
      <c r="Q1312" t="s">
        <v>48</v>
      </c>
      <c r="R1312" t="s">
        <v>47</v>
      </c>
      <c r="S1312" t="s">
        <v>47</v>
      </c>
      <c r="T1312" t="s">
        <v>47</v>
      </c>
      <c r="U1312" t="s">
        <v>47</v>
      </c>
      <c r="V1312" t="s">
        <v>51</v>
      </c>
      <c r="W1312" t="s">
        <v>46</v>
      </c>
      <c r="X1312" t="s">
        <v>47</v>
      </c>
      <c r="Y1312" t="s">
        <v>46</v>
      </c>
      <c r="Z1312" t="s">
        <v>47</v>
      </c>
      <c r="AA1312" t="s">
        <v>46</v>
      </c>
      <c r="AB1312" t="s">
        <v>47</v>
      </c>
      <c r="AC1312" t="s">
        <v>47</v>
      </c>
      <c r="AD1312" t="s">
        <v>47</v>
      </c>
      <c r="AE1312" t="s">
        <v>46</v>
      </c>
      <c r="AF1312" t="s">
        <v>47</v>
      </c>
      <c r="AG1312" t="s">
        <v>52</v>
      </c>
      <c r="AH1312" t="s">
        <v>53</v>
      </c>
      <c r="AI1312" t="s">
        <v>65</v>
      </c>
      <c r="AJ1312">
        <v>2.4</v>
      </c>
      <c r="AK1312" t="s">
        <v>47</v>
      </c>
      <c r="AL1312" t="s">
        <v>72</v>
      </c>
      <c r="AM1312" t="s">
        <v>67</v>
      </c>
      <c r="AN1312">
        <v>60</v>
      </c>
      <c r="AO1312" t="s">
        <v>46</v>
      </c>
    </row>
    <row r="1313" spans="1:41">
      <c r="A1313" t="s">
        <v>1465</v>
      </c>
      <c r="B1313">
        <v>2020</v>
      </c>
      <c r="C1313" s="1">
        <v>43862</v>
      </c>
      <c r="D1313" t="s">
        <v>42</v>
      </c>
      <c r="E1313" t="s">
        <v>166</v>
      </c>
      <c r="F1313">
        <v>77</v>
      </c>
      <c r="G1313" t="s">
        <v>44</v>
      </c>
      <c r="H1313" t="s">
        <v>70</v>
      </c>
      <c r="I1313">
        <v>0</v>
      </c>
      <c r="J1313">
        <v>0</v>
      </c>
      <c r="K1313" t="s">
        <v>47</v>
      </c>
      <c r="L1313" t="s">
        <v>46</v>
      </c>
      <c r="M1313" t="s">
        <v>47</v>
      </c>
      <c r="N1313" t="s">
        <v>50</v>
      </c>
      <c r="O1313" t="s">
        <v>48</v>
      </c>
      <c r="P1313">
        <v>27.8</v>
      </c>
      <c r="Q1313" t="s">
        <v>48</v>
      </c>
      <c r="R1313" t="s">
        <v>47</v>
      </c>
      <c r="S1313" t="s">
        <v>47</v>
      </c>
      <c r="T1313" t="s">
        <v>47</v>
      </c>
      <c r="U1313" t="s">
        <v>47</v>
      </c>
      <c r="V1313" t="s">
        <v>86</v>
      </c>
      <c r="W1313" t="s">
        <v>47</v>
      </c>
      <c r="X1313" t="s">
        <v>46</v>
      </c>
      <c r="Y1313" t="s">
        <v>47</v>
      </c>
      <c r="Z1313" t="s">
        <v>47</v>
      </c>
      <c r="AA1313" t="s">
        <v>46</v>
      </c>
      <c r="AB1313" t="s">
        <v>47</v>
      </c>
      <c r="AC1313" t="s">
        <v>47</v>
      </c>
      <c r="AD1313" t="s">
        <v>47</v>
      </c>
      <c r="AE1313" t="s">
        <v>47</v>
      </c>
      <c r="AF1313" t="s">
        <v>47</v>
      </c>
      <c r="AG1313" t="s">
        <v>52</v>
      </c>
      <c r="AH1313" t="s">
        <v>53</v>
      </c>
      <c r="AI1313" t="s">
        <v>54</v>
      </c>
      <c r="AJ1313">
        <v>7.7</v>
      </c>
      <c r="AK1313" t="s">
        <v>46</v>
      </c>
      <c r="AL1313" t="s">
        <v>76</v>
      </c>
      <c r="AM1313" t="s">
        <v>82</v>
      </c>
      <c r="AN1313">
        <v>1</v>
      </c>
      <c r="AO1313" t="s">
        <v>47</v>
      </c>
    </row>
    <row r="1314" spans="1:41">
      <c r="A1314" t="s">
        <v>1466</v>
      </c>
      <c r="B1314">
        <v>2024</v>
      </c>
      <c r="C1314" s="1">
        <v>45627</v>
      </c>
      <c r="D1314" t="s">
        <v>95</v>
      </c>
      <c r="E1314" t="s">
        <v>105</v>
      </c>
      <c r="F1314">
        <v>70</v>
      </c>
      <c r="G1314" t="s">
        <v>60</v>
      </c>
      <c r="H1314" t="s">
        <v>45</v>
      </c>
      <c r="I1314">
        <v>33</v>
      </c>
      <c r="J1314">
        <v>48</v>
      </c>
      <c r="K1314" t="s">
        <v>46</v>
      </c>
      <c r="L1314" t="s">
        <v>47</v>
      </c>
      <c r="M1314" t="s">
        <v>47</v>
      </c>
      <c r="N1314" t="s">
        <v>50</v>
      </c>
      <c r="O1314" t="s">
        <v>49</v>
      </c>
      <c r="P1314">
        <v>25.9</v>
      </c>
      <c r="Q1314" t="s">
        <v>62</v>
      </c>
      <c r="R1314" t="s">
        <v>47</v>
      </c>
      <c r="S1314" t="s">
        <v>47</v>
      </c>
      <c r="T1314" t="s">
        <v>47</v>
      </c>
      <c r="U1314" t="s">
        <v>46</v>
      </c>
      <c r="V1314" t="s">
        <v>51</v>
      </c>
      <c r="W1314" t="s">
        <v>46</v>
      </c>
      <c r="X1314" t="s">
        <v>46</v>
      </c>
      <c r="Y1314" t="s">
        <v>47</v>
      </c>
      <c r="Z1314" t="s">
        <v>46</v>
      </c>
      <c r="AA1314" t="s">
        <v>46</v>
      </c>
      <c r="AB1314" t="s">
        <v>47</v>
      </c>
      <c r="AC1314" t="s">
        <v>46</v>
      </c>
      <c r="AD1314" t="s">
        <v>47</v>
      </c>
      <c r="AE1314" t="s">
        <v>47</v>
      </c>
      <c r="AF1314" t="s">
        <v>47</v>
      </c>
      <c r="AG1314" t="s">
        <v>52</v>
      </c>
      <c r="AH1314" t="s">
        <v>53</v>
      </c>
      <c r="AI1314" t="s">
        <v>54</v>
      </c>
      <c r="AJ1314">
        <v>6.4</v>
      </c>
      <c r="AK1314" t="s">
        <v>46</v>
      </c>
      <c r="AL1314" t="s">
        <v>66</v>
      </c>
      <c r="AM1314" t="s">
        <v>118</v>
      </c>
      <c r="AN1314">
        <v>4</v>
      </c>
      <c r="AO1314" t="s">
        <v>47</v>
      </c>
    </row>
    <row r="1315" spans="1:41">
      <c r="A1315" t="s">
        <v>1467</v>
      </c>
      <c r="B1315">
        <v>2016</v>
      </c>
      <c r="C1315" s="1">
        <v>42594</v>
      </c>
      <c r="D1315" t="s">
        <v>42</v>
      </c>
      <c r="E1315" t="s">
        <v>75</v>
      </c>
      <c r="F1315">
        <v>57</v>
      </c>
      <c r="G1315" t="s">
        <v>60</v>
      </c>
      <c r="H1315" t="s">
        <v>70</v>
      </c>
      <c r="I1315">
        <v>0</v>
      </c>
      <c r="J1315">
        <v>0</v>
      </c>
      <c r="K1315" t="s">
        <v>47</v>
      </c>
      <c r="L1315" t="s">
        <v>47</v>
      </c>
      <c r="M1315" t="s">
        <v>47</v>
      </c>
      <c r="N1315" t="s">
        <v>50</v>
      </c>
      <c r="O1315" t="s">
        <v>48</v>
      </c>
      <c r="P1315">
        <v>22.9</v>
      </c>
      <c r="Q1315" t="s">
        <v>48</v>
      </c>
      <c r="R1315" t="s">
        <v>47</v>
      </c>
      <c r="S1315" t="s">
        <v>47</v>
      </c>
      <c r="T1315" t="s">
        <v>47</v>
      </c>
      <c r="U1315" t="s">
        <v>47</v>
      </c>
      <c r="V1315" t="s">
        <v>64</v>
      </c>
      <c r="W1315" t="s">
        <v>47</v>
      </c>
      <c r="X1315" t="s">
        <v>46</v>
      </c>
      <c r="Y1315" t="s">
        <v>47</v>
      </c>
      <c r="Z1315" t="s">
        <v>47</v>
      </c>
      <c r="AA1315" t="s">
        <v>46</v>
      </c>
      <c r="AB1315" t="s">
        <v>47</v>
      </c>
      <c r="AC1315" t="s">
        <v>47</v>
      </c>
      <c r="AD1315" t="s">
        <v>46</v>
      </c>
      <c r="AE1315" t="s">
        <v>47</v>
      </c>
      <c r="AF1315" t="s">
        <v>47</v>
      </c>
      <c r="AG1315" t="s">
        <v>52</v>
      </c>
      <c r="AH1315" t="s">
        <v>71</v>
      </c>
      <c r="AI1315" t="s">
        <v>80</v>
      </c>
      <c r="AJ1315">
        <v>7.5</v>
      </c>
      <c r="AK1315" t="s">
        <v>47</v>
      </c>
      <c r="AL1315" t="s">
        <v>81</v>
      </c>
      <c r="AM1315" t="s">
        <v>67</v>
      </c>
      <c r="AN1315">
        <v>10</v>
      </c>
      <c r="AO1315" t="s">
        <v>47</v>
      </c>
    </row>
    <row r="1316" spans="1:41">
      <c r="A1316" t="s">
        <v>1468</v>
      </c>
      <c r="B1316">
        <v>2022</v>
      </c>
      <c r="C1316" s="1">
        <v>44830</v>
      </c>
      <c r="D1316" t="s">
        <v>110</v>
      </c>
      <c r="E1316" t="s">
        <v>410</v>
      </c>
      <c r="F1316">
        <v>81</v>
      </c>
      <c r="G1316" t="s">
        <v>44</v>
      </c>
      <c r="H1316" t="s">
        <v>70</v>
      </c>
      <c r="I1316">
        <v>0</v>
      </c>
      <c r="J1316">
        <v>0</v>
      </c>
      <c r="K1316" t="s">
        <v>47</v>
      </c>
      <c r="L1316" t="s">
        <v>47</v>
      </c>
      <c r="M1316" t="s">
        <v>47</v>
      </c>
      <c r="N1316" t="s">
        <v>48</v>
      </c>
      <c r="O1316" t="s">
        <v>48</v>
      </c>
      <c r="P1316">
        <v>27.4</v>
      </c>
      <c r="Q1316" t="s">
        <v>48</v>
      </c>
      <c r="R1316" t="s">
        <v>47</v>
      </c>
      <c r="S1316" t="s">
        <v>47</v>
      </c>
      <c r="T1316" t="s">
        <v>47</v>
      </c>
      <c r="U1316" t="s">
        <v>47</v>
      </c>
      <c r="V1316" t="s">
        <v>51</v>
      </c>
      <c r="W1316" t="s">
        <v>47</v>
      </c>
      <c r="X1316" t="s">
        <v>46</v>
      </c>
      <c r="Y1316" t="s">
        <v>47</v>
      </c>
      <c r="Z1316" t="s">
        <v>47</v>
      </c>
      <c r="AA1316" t="s">
        <v>46</v>
      </c>
      <c r="AB1316" t="s">
        <v>47</v>
      </c>
      <c r="AC1316" t="s">
        <v>47</v>
      </c>
      <c r="AD1316" t="s">
        <v>46</v>
      </c>
      <c r="AE1316" t="s">
        <v>47</v>
      </c>
      <c r="AF1316" t="s">
        <v>47</v>
      </c>
      <c r="AG1316" t="s">
        <v>52</v>
      </c>
      <c r="AH1316" t="s">
        <v>71</v>
      </c>
      <c r="AI1316" t="s">
        <v>54</v>
      </c>
      <c r="AJ1316">
        <v>8.1</v>
      </c>
      <c r="AK1316" t="s">
        <v>46</v>
      </c>
      <c r="AL1316" t="s">
        <v>76</v>
      </c>
      <c r="AM1316" t="s">
        <v>82</v>
      </c>
      <c r="AN1316">
        <v>14</v>
      </c>
      <c r="AO1316" t="s">
        <v>47</v>
      </c>
    </row>
    <row r="1317" spans="1:41">
      <c r="A1317" t="s">
        <v>1469</v>
      </c>
      <c r="B1317">
        <v>2015</v>
      </c>
      <c r="C1317" s="1">
        <v>42075</v>
      </c>
      <c r="D1317" t="s">
        <v>84</v>
      </c>
      <c r="E1317" t="s">
        <v>182</v>
      </c>
      <c r="F1317">
        <v>58</v>
      </c>
      <c r="G1317" t="s">
        <v>60</v>
      </c>
      <c r="H1317" t="s">
        <v>70</v>
      </c>
      <c r="I1317">
        <v>0</v>
      </c>
      <c r="J1317">
        <v>0</v>
      </c>
      <c r="K1317" t="s">
        <v>46</v>
      </c>
      <c r="L1317" t="s">
        <v>47</v>
      </c>
      <c r="M1317" t="s">
        <v>47</v>
      </c>
      <c r="N1317" t="s">
        <v>62</v>
      </c>
      <c r="O1317" t="s">
        <v>48</v>
      </c>
      <c r="P1317">
        <v>28.1</v>
      </c>
      <c r="Q1317" t="s">
        <v>50</v>
      </c>
      <c r="R1317" t="s">
        <v>47</v>
      </c>
      <c r="S1317" t="s">
        <v>47</v>
      </c>
      <c r="T1317" t="s">
        <v>46</v>
      </c>
      <c r="U1317" t="s">
        <v>47</v>
      </c>
      <c r="V1317" t="s">
        <v>64</v>
      </c>
      <c r="W1317" t="s">
        <v>47</v>
      </c>
      <c r="X1317" t="s">
        <v>47</v>
      </c>
      <c r="Y1317" t="s">
        <v>46</v>
      </c>
      <c r="Z1317" t="s">
        <v>47</v>
      </c>
      <c r="AA1317" t="s">
        <v>47</v>
      </c>
      <c r="AB1317" t="s">
        <v>47</v>
      </c>
      <c r="AC1317" t="s">
        <v>46</v>
      </c>
      <c r="AD1317" t="s">
        <v>47</v>
      </c>
      <c r="AE1317" t="s">
        <v>47</v>
      </c>
      <c r="AF1317" t="s">
        <v>46</v>
      </c>
      <c r="AG1317" t="s">
        <v>52</v>
      </c>
      <c r="AH1317" t="s">
        <v>53</v>
      </c>
      <c r="AI1317" t="s">
        <v>54</v>
      </c>
      <c r="AJ1317">
        <v>5.0999999999999996</v>
      </c>
      <c r="AK1317" t="s">
        <v>46</v>
      </c>
      <c r="AL1317" t="s">
        <v>156</v>
      </c>
      <c r="AM1317" t="s">
        <v>56</v>
      </c>
      <c r="AN1317">
        <v>2</v>
      </c>
      <c r="AO1317" t="s">
        <v>47</v>
      </c>
    </row>
    <row r="1318" spans="1:41">
      <c r="A1318" t="s">
        <v>1470</v>
      </c>
      <c r="B1318">
        <v>2019</v>
      </c>
      <c r="C1318" s="1">
        <v>43824</v>
      </c>
      <c r="D1318" t="s">
        <v>42</v>
      </c>
      <c r="E1318" t="s">
        <v>247</v>
      </c>
      <c r="F1318">
        <v>70</v>
      </c>
      <c r="G1318" t="s">
        <v>60</v>
      </c>
      <c r="H1318" t="s">
        <v>70</v>
      </c>
      <c r="I1318">
        <v>0</v>
      </c>
      <c r="J1318">
        <v>0</v>
      </c>
      <c r="K1318" t="s">
        <v>46</v>
      </c>
      <c r="L1318" t="s">
        <v>47</v>
      </c>
      <c r="M1318" t="s">
        <v>47</v>
      </c>
      <c r="N1318" t="s">
        <v>50</v>
      </c>
      <c r="O1318" t="s">
        <v>49</v>
      </c>
      <c r="P1318">
        <v>32.5</v>
      </c>
      <c r="Q1318" t="s">
        <v>50</v>
      </c>
      <c r="R1318" t="s">
        <v>47</v>
      </c>
      <c r="S1318" t="s">
        <v>47</v>
      </c>
      <c r="T1318" t="s">
        <v>47</v>
      </c>
      <c r="U1318" t="s">
        <v>46</v>
      </c>
      <c r="V1318" t="s">
        <v>51</v>
      </c>
      <c r="W1318" t="s">
        <v>47</v>
      </c>
      <c r="X1318" t="s">
        <v>47</v>
      </c>
      <c r="Y1318" t="s">
        <v>47</v>
      </c>
      <c r="Z1318" t="s">
        <v>47</v>
      </c>
      <c r="AA1318" t="s">
        <v>46</v>
      </c>
      <c r="AB1318" t="s">
        <v>47</v>
      </c>
      <c r="AC1318" t="s">
        <v>47</v>
      </c>
      <c r="AD1318" t="s">
        <v>46</v>
      </c>
      <c r="AE1318" t="s">
        <v>47</v>
      </c>
      <c r="AF1318" t="s">
        <v>47</v>
      </c>
      <c r="AG1318" t="s">
        <v>52</v>
      </c>
      <c r="AH1318" t="s">
        <v>90</v>
      </c>
      <c r="AI1318" t="s">
        <v>65</v>
      </c>
      <c r="AJ1318">
        <v>1</v>
      </c>
      <c r="AK1318" t="s">
        <v>47</v>
      </c>
      <c r="AL1318" t="s">
        <v>76</v>
      </c>
      <c r="AM1318" t="s">
        <v>67</v>
      </c>
      <c r="AN1318">
        <v>40</v>
      </c>
      <c r="AO1318" t="s">
        <v>46</v>
      </c>
    </row>
    <row r="1319" spans="1:41">
      <c r="A1319" t="s">
        <v>1471</v>
      </c>
      <c r="B1319">
        <v>2016</v>
      </c>
      <c r="C1319" s="1">
        <v>42708</v>
      </c>
      <c r="D1319" t="s">
        <v>98</v>
      </c>
      <c r="E1319" t="s">
        <v>99</v>
      </c>
      <c r="F1319">
        <v>50</v>
      </c>
      <c r="G1319" t="s">
        <v>44</v>
      </c>
      <c r="H1319" t="s">
        <v>70</v>
      </c>
      <c r="I1319">
        <v>0</v>
      </c>
      <c r="J1319">
        <v>0</v>
      </c>
      <c r="K1319" t="s">
        <v>46</v>
      </c>
      <c r="L1319" t="s">
        <v>46</v>
      </c>
      <c r="M1319" t="s">
        <v>47</v>
      </c>
      <c r="N1319" t="s">
        <v>62</v>
      </c>
      <c r="O1319" t="s">
        <v>49</v>
      </c>
      <c r="P1319">
        <v>25.4</v>
      </c>
      <c r="Q1319" t="s">
        <v>62</v>
      </c>
      <c r="R1319" t="s">
        <v>47</v>
      </c>
      <c r="S1319" t="s">
        <v>47</v>
      </c>
      <c r="T1319" t="s">
        <v>47</v>
      </c>
      <c r="U1319" t="s">
        <v>47</v>
      </c>
      <c r="V1319" t="s">
        <v>86</v>
      </c>
      <c r="W1319" t="s">
        <v>47</v>
      </c>
      <c r="X1319" t="s">
        <v>47</v>
      </c>
      <c r="Y1319" t="s">
        <v>47</v>
      </c>
      <c r="Z1319" t="s">
        <v>47</v>
      </c>
      <c r="AA1319" t="s">
        <v>46</v>
      </c>
      <c r="AB1319" t="s">
        <v>47</v>
      </c>
      <c r="AC1319" t="s">
        <v>47</v>
      </c>
      <c r="AD1319" t="s">
        <v>46</v>
      </c>
      <c r="AE1319" t="s">
        <v>47</v>
      </c>
      <c r="AF1319" t="s">
        <v>47</v>
      </c>
      <c r="AG1319" t="s">
        <v>52</v>
      </c>
      <c r="AH1319" t="s">
        <v>53</v>
      </c>
      <c r="AI1319" t="s">
        <v>65</v>
      </c>
      <c r="AJ1319">
        <v>2.2000000000000002</v>
      </c>
      <c r="AK1319" t="s">
        <v>47</v>
      </c>
      <c r="AL1319" t="s">
        <v>81</v>
      </c>
      <c r="AM1319" t="s">
        <v>73</v>
      </c>
      <c r="AN1319">
        <v>91</v>
      </c>
      <c r="AO1319" t="s">
        <v>46</v>
      </c>
    </row>
    <row r="1320" spans="1:41">
      <c r="A1320" t="s">
        <v>1472</v>
      </c>
      <c r="B1320">
        <v>2023</v>
      </c>
      <c r="C1320" s="1">
        <v>45103</v>
      </c>
      <c r="D1320" t="s">
        <v>84</v>
      </c>
      <c r="E1320" t="s">
        <v>102</v>
      </c>
      <c r="F1320">
        <v>63</v>
      </c>
      <c r="G1320" t="s">
        <v>60</v>
      </c>
      <c r="H1320" t="s">
        <v>70</v>
      </c>
      <c r="I1320">
        <v>0</v>
      </c>
      <c r="J1320">
        <v>0</v>
      </c>
      <c r="K1320" t="s">
        <v>46</v>
      </c>
      <c r="L1320" t="s">
        <v>47</v>
      </c>
      <c r="M1320" t="s">
        <v>47</v>
      </c>
      <c r="N1320" t="s">
        <v>48</v>
      </c>
      <c r="O1320" t="s">
        <v>48</v>
      </c>
      <c r="P1320">
        <v>25.6</v>
      </c>
      <c r="Q1320" t="s">
        <v>48</v>
      </c>
      <c r="R1320" t="s">
        <v>47</v>
      </c>
      <c r="S1320" t="s">
        <v>47</v>
      </c>
      <c r="T1320" t="s">
        <v>47</v>
      </c>
      <c r="U1320" t="s">
        <v>47</v>
      </c>
      <c r="V1320" t="s">
        <v>117</v>
      </c>
      <c r="W1320" t="s">
        <v>47</v>
      </c>
      <c r="X1320" t="s">
        <v>47</v>
      </c>
      <c r="Y1320" t="s">
        <v>47</v>
      </c>
      <c r="Z1320" t="s">
        <v>47</v>
      </c>
      <c r="AA1320" t="s">
        <v>47</v>
      </c>
      <c r="AB1320" t="s">
        <v>47</v>
      </c>
      <c r="AC1320" t="s">
        <v>47</v>
      </c>
      <c r="AD1320" t="s">
        <v>46</v>
      </c>
      <c r="AE1320" t="s">
        <v>47</v>
      </c>
      <c r="AF1320" t="s">
        <v>46</v>
      </c>
      <c r="AG1320" t="s">
        <v>52</v>
      </c>
      <c r="AH1320" t="s">
        <v>90</v>
      </c>
      <c r="AI1320" t="s">
        <v>65</v>
      </c>
      <c r="AJ1320">
        <v>3.1</v>
      </c>
      <c r="AK1320" t="s">
        <v>47</v>
      </c>
      <c r="AL1320" t="s">
        <v>76</v>
      </c>
      <c r="AM1320" t="s">
        <v>118</v>
      </c>
      <c r="AN1320">
        <v>57</v>
      </c>
      <c r="AO1320" t="s">
        <v>46</v>
      </c>
    </row>
    <row r="1321" spans="1:41">
      <c r="A1321" t="s">
        <v>1473</v>
      </c>
      <c r="B1321">
        <v>2016</v>
      </c>
      <c r="C1321" s="1">
        <v>42507</v>
      </c>
      <c r="D1321" t="s">
        <v>110</v>
      </c>
      <c r="E1321" t="s">
        <v>227</v>
      </c>
      <c r="F1321">
        <v>48</v>
      </c>
      <c r="G1321" t="s">
        <v>60</v>
      </c>
      <c r="H1321" t="s">
        <v>45</v>
      </c>
      <c r="I1321">
        <v>17</v>
      </c>
      <c r="J1321">
        <v>11</v>
      </c>
      <c r="K1321" t="s">
        <v>47</v>
      </c>
      <c r="L1321" t="s">
        <v>46</v>
      </c>
      <c r="M1321" t="s">
        <v>47</v>
      </c>
      <c r="N1321" t="s">
        <v>62</v>
      </c>
      <c r="O1321" t="s">
        <v>49</v>
      </c>
      <c r="P1321">
        <v>20.399999999999999</v>
      </c>
      <c r="Q1321" t="s">
        <v>50</v>
      </c>
      <c r="R1321" t="s">
        <v>47</v>
      </c>
      <c r="S1321" t="s">
        <v>47</v>
      </c>
      <c r="T1321" t="s">
        <v>46</v>
      </c>
      <c r="U1321" t="s">
        <v>46</v>
      </c>
      <c r="V1321" t="s">
        <v>64</v>
      </c>
      <c r="W1321" t="s">
        <v>46</v>
      </c>
      <c r="X1321" t="s">
        <v>47</v>
      </c>
      <c r="Y1321" t="s">
        <v>47</v>
      </c>
      <c r="Z1321" t="s">
        <v>47</v>
      </c>
      <c r="AA1321" t="s">
        <v>47</v>
      </c>
      <c r="AB1321" t="s">
        <v>46</v>
      </c>
      <c r="AC1321" t="s">
        <v>47</v>
      </c>
      <c r="AD1321" t="s">
        <v>47</v>
      </c>
      <c r="AE1321" t="s">
        <v>47</v>
      </c>
      <c r="AF1321" t="s">
        <v>47</v>
      </c>
      <c r="AG1321" t="s">
        <v>52</v>
      </c>
      <c r="AH1321" t="s">
        <v>71</v>
      </c>
      <c r="AI1321" t="s">
        <v>80</v>
      </c>
      <c r="AJ1321">
        <v>4.0999999999999996</v>
      </c>
      <c r="AK1321" t="s">
        <v>46</v>
      </c>
      <c r="AL1321" t="s">
        <v>76</v>
      </c>
      <c r="AM1321" t="s">
        <v>77</v>
      </c>
      <c r="AN1321">
        <v>12</v>
      </c>
      <c r="AO1321" t="s">
        <v>47</v>
      </c>
    </row>
    <row r="1322" spans="1:41">
      <c r="A1322" t="s">
        <v>1474</v>
      </c>
      <c r="B1322">
        <v>2023</v>
      </c>
      <c r="C1322" s="1">
        <v>45069</v>
      </c>
      <c r="D1322" t="s">
        <v>42</v>
      </c>
      <c r="E1322" t="s">
        <v>154</v>
      </c>
      <c r="F1322">
        <v>53</v>
      </c>
      <c r="G1322" t="s">
        <v>60</v>
      </c>
      <c r="H1322" t="s">
        <v>61</v>
      </c>
      <c r="I1322">
        <v>16</v>
      </c>
      <c r="J1322">
        <v>15</v>
      </c>
      <c r="K1322" t="s">
        <v>46</v>
      </c>
      <c r="L1322" t="s">
        <v>47</v>
      </c>
      <c r="M1322" t="s">
        <v>47</v>
      </c>
      <c r="N1322" t="s">
        <v>48</v>
      </c>
      <c r="O1322" t="s">
        <v>48</v>
      </c>
      <c r="P1322">
        <v>30.1</v>
      </c>
      <c r="Q1322" t="s">
        <v>50</v>
      </c>
      <c r="R1322" t="s">
        <v>47</v>
      </c>
      <c r="S1322" t="s">
        <v>47</v>
      </c>
      <c r="T1322" t="s">
        <v>47</v>
      </c>
      <c r="U1322" t="s">
        <v>46</v>
      </c>
      <c r="V1322" t="s">
        <v>64</v>
      </c>
      <c r="W1322" t="s">
        <v>47</v>
      </c>
      <c r="X1322" t="s">
        <v>46</v>
      </c>
      <c r="Y1322" t="s">
        <v>47</v>
      </c>
      <c r="Z1322" t="s">
        <v>46</v>
      </c>
      <c r="AA1322" t="s">
        <v>46</v>
      </c>
      <c r="AB1322" t="s">
        <v>46</v>
      </c>
      <c r="AC1322" t="s">
        <v>47</v>
      </c>
      <c r="AD1322" t="s">
        <v>46</v>
      </c>
      <c r="AE1322" t="s">
        <v>47</v>
      </c>
      <c r="AF1322" t="s">
        <v>47</v>
      </c>
      <c r="AG1322" t="s">
        <v>52</v>
      </c>
      <c r="AH1322" t="s">
        <v>71</v>
      </c>
      <c r="AI1322" t="s">
        <v>87</v>
      </c>
      <c r="AJ1322">
        <v>4.4000000000000004</v>
      </c>
      <c r="AK1322" t="s">
        <v>47</v>
      </c>
      <c r="AL1322" t="s">
        <v>76</v>
      </c>
      <c r="AM1322" t="s">
        <v>73</v>
      </c>
      <c r="AN1322">
        <v>26</v>
      </c>
      <c r="AO1322" t="s">
        <v>47</v>
      </c>
    </row>
    <row r="1323" spans="1:41">
      <c r="A1323" t="s">
        <v>1475</v>
      </c>
      <c r="B1323">
        <v>2020</v>
      </c>
      <c r="C1323" s="1">
        <v>44138</v>
      </c>
      <c r="D1323" t="s">
        <v>42</v>
      </c>
      <c r="E1323" t="s">
        <v>210</v>
      </c>
      <c r="F1323">
        <v>64</v>
      </c>
      <c r="G1323" t="s">
        <v>44</v>
      </c>
      <c r="H1323" t="s">
        <v>70</v>
      </c>
      <c r="I1323">
        <v>0</v>
      </c>
      <c r="J1323">
        <v>0</v>
      </c>
      <c r="K1323" t="s">
        <v>47</v>
      </c>
      <c r="L1323" t="s">
        <v>47</v>
      </c>
      <c r="M1323" t="s">
        <v>47</v>
      </c>
      <c r="N1323" t="s">
        <v>62</v>
      </c>
      <c r="O1323" t="s">
        <v>63</v>
      </c>
      <c r="P1323">
        <v>21.2</v>
      </c>
      <c r="Q1323" t="s">
        <v>48</v>
      </c>
      <c r="R1323" t="s">
        <v>47</v>
      </c>
      <c r="S1323" t="s">
        <v>47</v>
      </c>
      <c r="T1323" t="s">
        <v>47</v>
      </c>
      <c r="U1323" t="s">
        <v>47</v>
      </c>
      <c r="V1323" t="s">
        <v>64</v>
      </c>
      <c r="W1323" t="s">
        <v>46</v>
      </c>
      <c r="X1323" t="s">
        <v>47</v>
      </c>
      <c r="Y1323" t="s">
        <v>47</v>
      </c>
      <c r="Z1323" t="s">
        <v>46</v>
      </c>
      <c r="AA1323" t="s">
        <v>47</v>
      </c>
      <c r="AB1323" t="s">
        <v>47</v>
      </c>
      <c r="AC1323" t="s">
        <v>47</v>
      </c>
      <c r="AD1323" t="s">
        <v>47</v>
      </c>
      <c r="AE1323" t="s">
        <v>47</v>
      </c>
      <c r="AF1323" t="s">
        <v>47</v>
      </c>
      <c r="AG1323" t="s">
        <v>52</v>
      </c>
      <c r="AH1323" t="s">
        <v>53</v>
      </c>
      <c r="AI1323" t="s">
        <v>87</v>
      </c>
      <c r="AJ1323">
        <v>3.1</v>
      </c>
      <c r="AK1323" t="s">
        <v>47</v>
      </c>
      <c r="AL1323" t="s">
        <v>66</v>
      </c>
      <c r="AM1323" t="s">
        <v>82</v>
      </c>
      <c r="AN1323">
        <v>33</v>
      </c>
      <c r="AO1323" t="s">
        <v>47</v>
      </c>
    </row>
    <row r="1324" spans="1:41">
      <c r="A1324" t="s">
        <v>1476</v>
      </c>
      <c r="B1324">
        <v>2025</v>
      </c>
      <c r="C1324" s="1">
        <v>45886</v>
      </c>
      <c r="D1324" t="s">
        <v>98</v>
      </c>
      <c r="E1324" t="s">
        <v>192</v>
      </c>
      <c r="F1324">
        <v>63</v>
      </c>
      <c r="G1324" t="s">
        <v>44</v>
      </c>
      <c r="H1324" t="s">
        <v>70</v>
      </c>
      <c r="I1324">
        <v>0</v>
      </c>
      <c r="J1324">
        <v>0</v>
      </c>
      <c r="K1324" t="s">
        <v>46</v>
      </c>
      <c r="L1324" t="s">
        <v>47</v>
      </c>
      <c r="M1324" t="s">
        <v>47</v>
      </c>
      <c r="N1324" t="s">
        <v>48</v>
      </c>
      <c r="O1324" t="s">
        <v>48</v>
      </c>
      <c r="P1324">
        <v>28.6</v>
      </c>
      <c r="Q1324" t="s">
        <v>48</v>
      </c>
      <c r="R1324" t="s">
        <v>47</v>
      </c>
      <c r="S1324" t="s">
        <v>47</v>
      </c>
      <c r="T1324" t="s">
        <v>47</v>
      </c>
      <c r="U1324" t="s">
        <v>46</v>
      </c>
      <c r="V1324" t="s">
        <v>92</v>
      </c>
      <c r="W1324" t="s">
        <v>47</v>
      </c>
      <c r="X1324" t="s">
        <v>47</v>
      </c>
      <c r="Y1324" t="s">
        <v>47</v>
      </c>
      <c r="Z1324" t="s">
        <v>47</v>
      </c>
      <c r="AA1324" t="s">
        <v>46</v>
      </c>
      <c r="AB1324" t="s">
        <v>47</v>
      </c>
      <c r="AC1324" t="s">
        <v>47</v>
      </c>
      <c r="AD1324" t="s">
        <v>47</v>
      </c>
      <c r="AE1324" t="s">
        <v>46</v>
      </c>
      <c r="AF1324" t="s">
        <v>47</v>
      </c>
      <c r="AG1324" t="s">
        <v>52</v>
      </c>
      <c r="AH1324" t="s">
        <v>53</v>
      </c>
      <c r="AI1324" t="s">
        <v>65</v>
      </c>
      <c r="AJ1324">
        <v>1.4</v>
      </c>
      <c r="AK1324" t="s">
        <v>47</v>
      </c>
      <c r="AL1324" t="s">
        <v>76</v>
      </c>
      <c r="AM1324" t="s">
        <v>73</v>
      </c>
      <c r="AN1324">
        <v>49</v>
      </c>
      <c r="AO1324" t="s">
        <v>46</v>
      </c>
    </row>
    <row r="1325" spans="1:41">
      <c r="A1325" t="s">
        <v>1477</v>
      </c>
      <c r="B1325">
        <v>2019</v>
      </c>
      <c r="C1325" s="1">
        <v>43481</v>
      </c>
      <c r="D1325" t="s">
        <v>42</v>
      </c>
      <c r="E1325" t="s">
        <v>154</v>
      </c>
      <c r="F1325">
        <v>56</v>
      </c>
      <c r="G1325" t="s">
        <v>44</v>
      </c>
      <c r="H1325" t="s">
        <v>70</v>
      </c>
      <c r="I1325">
        <v>0</v>
      </c>
      <c r="J1325">
        <v>0</v>
      </c>
      <c r="K1325" t="s">
        <v>47</v>
      </c>
      <c r="L1325" t="s">
        <v>47</v>
      </c>
      <c r="M1325" t="s">
        <v>47</v>
      </c>
      <c r="N1325" t="s">
        <v>62</v>
      </c>
      <c r="O1325" t="s">
        <v>63</v>
      </c>
      <c r="P1325">
        <v>24.8</v>
      </c>
      <c r="Q1325" t="s">
        <v>62</v>
      </c>
      <c r="R1325" t="s">
        <v>47</v>
      </c>
      <c r="S1325" t="s">
        <v>47</v>
      </c>
      <c r="T1325" t="s">
        <v>47</v>
      </c>
      <c r="U1325" t="s">
        <v>47</v>
      </c>
      <c r="V1325" t="s">
        <v>171</v>
      </c>
      <c r="W1325" t="s">
        <v>47</v>
      </c>
      <c r="X1325" t="s">
        <v>47</v>
      </c>
      <c r="Y1325" t="s">
        <v>47</v>
      </c>
      <c r="Z1325" t="s">
        <v>47</v>
      </c>
      <c r="AA1325" t="s">
        <v>47</v>
      </c>
      <c r="AB1325" t="s">
        <v>46</v>
      </c>
      <c r="AC1325" t="s">
        <v>46</v>
      </c>
      <c r="AD1325" t="s">
        <v>47</v>
      </c>
      <c r="AE1325" t="s">
        <v>47</v>
      </c>
      <c r="AF1325" t="s">
        <v>47</v>
      </c>
      <c r="AG1325" t="s">
        <v>52</v>
      </c>
      <c r="AH1325" t="s">
        <v>53</v>
      </c>
      <c r="AI1325" t="s">
        <v>65</v>
      </c>
      <c r="AJ1325">
        <v>0.5</v>
      </c>
      <c r="AK1325" t="s">
        <v>47</v>
      </c>
      <c r="AL1325" t="s">
        <v>156</v>
      </c>
      <c r="AM1325" t="s">
        <v>73</v>
      </c>
      <c r="AN1325">
        <v>60</v>
      </c>
      <c r="AO1325" t="s">
        <v>46</v>
      </c>
    </row>
    <row r="1326" spans="1:41">
      <c r="A1326" t="s">
        <v>1478</v>
      </c>
      <c r="B1326">
        <v>2019</v>
      </c>
      <c r="C1326" s="1">
        <v>43536</v>
      </c>
      <c r="D1326" t="s">
        <v>58</v>
      </c>
      <c r="E1326" t="s">
        <v>142</v>
      </c>
      <c r="F1326">
        <v>79</v>
      </c>
      <c r="G1326" t="s">
        <v>44</v>
      </c>
      <c r="H1326" t="s">
        <v>70</v>
      </c>
      <c r="I1326">
        <v>0</v>
      </c>
      <c r="J1326">
        <v>0</v>
      </c>
      <c r="K1326" t="s">
        <v>47</v>
      </c>
      <c r="L1326" t="s">
        <v>47</v>
      </c>
      <c r="M1326" t="s">
        <v>47</v>
      </c>
      <c r="N1326" t="s">
        <v>50</v>
      </c>
      <c r="O1326" t="s">
        <v>48</v>
      </c>
      <c r="P1326">
        <v>20.5</v>
      </c>
      <c r="Q1326" t="s">
        <v>50</v>
      </c>
      <c r="R1326" t="s">
        <v>47</v>
      </c>
      <c r="S1326" t="s">
        <v>47</v>
      </c>
      <c r="T1326" t="s">
        <v>46</v>
      </c>
      <c r="U1326" t="s">
        <v>47</v>
      </c>
      <c r="V1326" t="s">
        <v>117</v>
      </c>
      <c r="W1326" t="s">
        <v>47</v>
      </c>
      <c r="X1326" t="s">
        <v>46</v>
      </c>
      <c r="Y1326" t="s">
        <v>47</v>
      </c>
      <c r="Z1326" t="s">
        <v>47</v>
      </c>
      <c r="AA1326" t="s">
        <v>46</v>
      </c>
      <c r="AB1326" t="s">
        <v>46</v>
      </c>
      <c r="AC1326" t="s">
        <v>46</v>
      </c>
      <c r="AD1326" t="s">
        <v>46</v>
      </c>
      <c r="AE1326" t="s">
        <v>47</v>
      </c>
      <c r="AF1326" t="s">
        <v>47</v>
      </c>
      <c r="AG1326" t="s">
        <v>52</v>
      </c>
      <c r="AH1326" t="s">
        <v>53</v>
      </c>
      <c r="AI1326" t="s">
        <v>87</v>
      </c>
      <c r="AJ1326">
        <v>5</v>
      </c>
      <c r="AK1326" t="s">
        <v>47</v>
      </c>
      <c r="AL1326" t="s">
        <v>66</v>
      </c>
      <c r="AM1326" t="s">
        <v>67</v>
      </c>
      <c r="AN1326">
        <v>36</v>
      </c>
      <c r="AO1326" t="s">
        <v>47</v>
      </c>
    </row>
    <row r="1327" spans="1:41">
      <c r="A1327" t="s">
        <v>1479</v>
      </c>
      <c r="B1327">
        <v>2022</v>
      </c>
      <c r="C1327" s="1">
        <v>44706</v>
      </c>
      <c r="D1327" t="s">
        <v>110</v>
      </c>
      <c r="E1327" t="s">
        <v>227</v>
      </c>
      <c r="F1327">
        <v>61</v>
      </c>
      <c r="G1327" t="s">
        <v>44</v>
      </c>
      <c r="H1327" t="s">
        <v>70</v>
      </c>
      <c r="I1327">
        <v>0</v>
      </c>
      <c r="J1327">
        <v>0</v>
      </c>
      <c r="K1327" t="s">
        <v>47</v>
      </c>
      <c r="L1327" t="s">
        <v>46</v>
      </c>
      <c r="M1327" t="s">
        <v>47</v>
      </c>
      <c r="N1327" t="s">
        <v>48</v>
      </c>
      <c r="O1327" t="s">
        <v>48</v>
      </c>
      <c r="P1327">
        <v>29.9</v>
      </c>
      <c r="Q1327" t="s">
        <v>50</v>
      </c>
      <c r="R1327" t="s">
        <v>47</v>
      </c>
      <c r="S1327" t="s">
        <v>47</v>
      </c>
      <c r="T1327" t="s">
        <v>47</v>
      </c>
      <c r="U1327" t="s">
        <v>47</v>
      </c>
      <c r="V1327" t="s">
        <v>151</v>
      </c>
      <c r="W1327" t="s">
        <v>47</v>
      </c>
      <c r="X1327" t="s">
        <v>47</v>
      </c>
      <c r="Y1327" t="s">
        <v>47</v>
      </c>
      <c r="Z1327" t="s">
        <v>47</v>
      </c>
      <c r="AA1327" t="s">
        <v>46</v>
      </c>
      <c r="AB1327" t="s">
        <v>47</v>
      </c>
      <c r="AC1327" t="s">
        <v>47</v>
      </c>
      <c r="AD1327" t="s">
        <v>46</v>
      </c>
      <c r="AE1327" t="s">
        <v>46</v>
      </c>
      <c r="AF1327" t="s">
        <v>47</v>
      </c>
      <c r="AG1327" t="s">
        <v>52</v>
      </c>
      <c r="AH1327" t="s">
        <v>53</v>
      </c>
      <c r="AI1327" t="s">
        <v>87</v>
      </c>
      <c r="AJ1327">
        <v>2</v>
      </c>
      <c r="AK1327" t="s">
        <v>47</v>
      </c>
      <c r="AL1327" t="s">
        <v>100</v>
      </c>
      <c r="AM1327" t="s">
        <v>77</v>
      </c>
      <c r="AN1327">
        <v>43</v>
      </c>
      <c r="AO1327" t="s">
        <v>47</v>
      </c>
    </row>
    <row r="1328" spans="1:41">
      <c r="A1328" t="s">
        <v>1480</v>
      </c>
      <c r="B1328">
        <v>2025</v>
      </c>
      <c r="C1328" s="1">
        <v>45952</v>
      </c>
      <c r="D1328" t="s">
        <v>58</v>
      </c>
      <c r="E1328" t="s">
        <v>169</v>
      </c>
      <c r="F1328">
        <v>75</v>
      </c>
      <c r="G1328" t="s">
        <v>60</v>
      </c>
      <c r="H1328" t="s">
        <v>70</v>
      </c>
      <c r="I1328">
        <v>0</v>
      </c>
      <c r="J1328">
        <v>0</v>
      </c>
      <c r="K1328" t="s">
        <v>46</v>
      </c>
      <c r="L1328" t="s">
        <v>47</v>
      </c>
      <c r="M1328" t="s">
        <v>47</v>
      </c>
      <c r="N1328" t="s">
        <v>50</v>
      </c>
      <c r="O1328" t="s">
        <v>49</v>
      </c>
      <c r="P1328">
        <v>30</v>
      </c>
      <c r="Q1328" t="s">
        <v>48</v>
      </c>
      <c r="R1328" t="s">
        <v>47</v>
      </c>
      <c r="S1328" t="s">
        <v>47</v>
      </c>
      <c r="T1328" t="s">
        <v>47</v>
      </c>
      <c r="U1328" t="s">
        <v>47</v>
      </c>
      <c r="V1328" t="s">
        <v>51</v>
      </c>
      <c r="W1328" t="s">
        <v>46</v>
      </c>
      <c r="X1328" t="s">
        <v>46</v>
      </c>
      <c r="Y1328" t="s">
        <v>46</v>
      </c>
      <c r="Z1328" t="s">
        <v>47</v>
      </c>
      <c r="AA1328" t="s">
        <v>46</v>
      </c>
      <c r="AB1328" t="s">
        <v>47</v>
      </c>
      <c r="AC1328" t="s">
        <v>47</v>
      </c>
      <c r="AD1328" t="s">
        <v>47</v>
      </c>
      <c r="AE1328" t="s">
        <v>46</v>
      </c>
      <c r="AF1328" t="s">
        <v>46</v>
      </c>
      <c r="AG1328" t="s">
        <v>52</v>
      </c>
      <c r="AH1328" t="s">
        <v>71</v>
      </c>
      <c r="AI1328" t="s">
        <v>87</v>
      </c>
      <c r="AJ1328">
        <v>2.6</v>
      </c>
      <c r="AK1328" t="s">
        <v>47</v>
      </c>
      <c r="AL1328" t="s">
        <v>100</v>
      </c>
      <c r="AM1328" t="s">
        <v>118</v>
      </c>
      <c r="AN1328">
        <v>28</v>
      </c>
      <c r="AO1328" t="s">
        <v>47</v>
      </c>
    </row>
    <row r="1329" spans="1:41">
      <c r="A1329" t="s">
        <v>1481</v>
      </c>
      <c r="B1329">
        <v>2025</v>
      </c>
      <c r="C1329" s="1">
        <v>45771</v>
      </c>
      <c r="D1329" t="s">
        <v>95</v>
      </c>
      <c r="E1329" t="s">
        <v>147</v>
      </c>
      <c r="F1329">
        <v>64</v>
      </c>
      <c r="G1329" t="s">
        <v>60</v>
      </c>
      <c r="H1329" t="s">
        <v>70</v>
      </c>
      <c r="I1329">
        <v>0</v>
      </c>
      <c r="J1329">
        <v>0</v>
      </c>
      <c r="K1329" t="s">
        <v>47</v>
      </c>
      <c r="L1329" t="s">
        <v>47</v>
      </c>
      <c r="M1329" t="s">
        <v>47</v>
      </c>
      <c r="N1329" t="s">
        <v>50</v>
      </c>
      <c r="O1329" t="s">
        <v>49</v>
      </c>
      <c r="P1329">
        <v>21.3</v>
      </c>
      <c r="Q1329" t="s">
        <v>48</v>
      </c>
      <c r="R1329" t="s">
        <v>47</v>
      </c>
      <c r="S1329" t="s">
        <v>47</v>
      </c>
      <c r="T1329" t="s">
        <v>47</v>
      </c>
      <c r="U1329" t="s">
        <v>47</v>
      </c>
      <c r="V1329" t="s">
        <v>64</v>
      </c>
      <c r="W1329" t="s">
        <v>46</v>
      </c>
      <c r="X1329" t="s">
        <v>47</v>
      </c>
      <c r="Y1329" t="s">
        <v>47</v>
      </c>
      <c r="Z1329" t="s">
        <v>47</v>
      </c>
      <c r="AA1329" t="s">
        <v>46</v>
      </c>
      <c r="AB1329" t="s">
        <v>46</v>
      </c>
      <c r="AC1329" t="s">
        <v>47</v>
      </c>
      <c r="AD1329" t="s">
        <v>47</v>
      </c>
      <c r="AE1329" t="s">
        <v>47</v>
      </c>
      <c r="AF1329" t="s">
        <v>47</v>
      </c>
      <c r="AG1329" t="s">
        <v>52</v>
      </c>
      <c r="AH1329" t="s">
        <v>90</v>
      </c>
      <c r="AI1329" t="s">
        <v>54</v>
      </c>
      <c r="AJ1329">
        <v>10.1</v>
      </c>
      <c r="AK1329" t="s">
        <v>46</v>
      </c>
      <c r="AL1329" t="s">
        <v>100</v>
      </c>
      <c r="AM1329" t="s">
        <v>77</v>
      </c>
      <c r="AN1329">
        <v>5</v>
      </c>
      <c r="AO1329" t="s">
        <v>47</v>
      </c>
    </row>
    <row r="1330" spans="1:41">
      <c r="A1330" t="s">
        <v>1482</v>
      </c>
      <c r="B1330">
        <v>2016</v>
      </c>
      <c r="C1330" s="1">
        <v>42371</v>
      </c>
      <c r="D1330" t="s">
        <v>84</v>
      </c>
      <c r="E1330" t="s">
        <v>218</v>
      </c>
      <c r="F1330">
        <v>81</v>
      </c>
      <c r="G1330" t="s">
        <v>60</v>
      </c>
      <c r="H1330" t="s">
        <v>70</v>
      </c>
      <c r="I1330">
        <v>0</v>
      </c>
      <c r="J1330">
        <v>0</v>
      </c>
      <c r="K1330" t="s">
        <v>46</v>
      </c>
      <c r="L1330" t="s">
        <v>47</v>
      </c>
      <c r="M1330" t="s">
        <v>47</v>
      </c>
      <c r="N1330" t="s">
        <v>62</v>
      </c>
      <c r="O1330" t="s">
        <v>48</v>
      </c>
      <c r="P1330">
        <v>23.7</v>
      </c>
      <c r="Q1330" t="s">
        <v>50</v>
      </c>
      <c r="R1330" t="s">
        <v>47</v>
      </c>
      <c r="S1330" t="s">
        <v>47</v>
      </c>
      <c r="T1330" t="s">
        <v>47</v>
      </c>
      <c r="U1330" t="s">
        <v>47</v>
      </c>
      <c r="V1330" t="s">
        <v>86</v>
      </c>
      <c r="W1330" t="s">
        <v>47</v>
      </c>
      <c r="X1330" t="s">
        <v>47</v>
      </c>
      <c r="Y1330" t="s">
        <v>47</v>
      </c>
      <c r="Z1330" t="s">
        <v>46</v>
      </c>
      <c r="AA1330" t="s">
        <v>46</v>
      </c>
      <c r="AB1330" t="s">
        <v>47</v>
      </c>
      <c r="AC1330" t="s">
        <v>47</v>
      </c>
      <c r="AD1330" t="s">
        <v>47</v>
      </c>
      <c r="AE1330" t="s">
        <v>47</v>
      </c>
      <c r="AF1330" t="s">
        <v>47</v>
      </c>
      <c r="AG1330" t="s">
        <v>52</v>
      </c>
      <c r="AH1330" t="s">
        <v>53</v>
      </c>
      <c r="AI1330" t="s">
        <v>87</v>
      </c>
      <c r="AJ1330">
        <v>5.3</v>
      </c>
      <c r="AK1330" t="s">
        <v>47</v>
      </c>
      <c r="AL1330" t="s">
        <v>100</v>
      </c>
      <c r="AM1330" t="s">
        <v>73</v>
      </c>
      <c r="AN1330">
        <v>52</v>
      </c>
      <c r="AO1330" t="s">
        <v>46</v>
      </c>
    </row>
    <row r="1331" spans="1:41">
      <c r="A1331" t="s">
        <v>1483</v>
      </c>
      <c r="B1331">
        <v>2021</v>
      </c>
      <c r="C1331" s="1">
        <v>44288</v>
      </c>
      <c r="D1331" t="s">
        <v>95</v>
      </c>
      <c r="E1331" t="s">
        <v>96</v>
      </c>
      <c r="F1331">
        <v>79</v>
      </c>
      <c r="G1331" t="s">
        <v>60</v>
      </c>
      <c r="H1331" t="s">
        <v>70</v>
      </c>
      <c r="I1331">
        <v>0</v>
      </c>
      <c r="J1331">
        <v>0</v>
      </c>
      <c r="K1331" t="s">
        <v>46</v>
      </c>
      <c r="L1331" t="s">
        <v>47</v>
      </c>
      <c r="M1331" t="s">
        <v>47</v>
      </c>
      <c r="N1331" t="s">
        <v>62</v>
      </c>
      <c r="O1331" t="s">
        <v>48</v>
      </c>
      <c r="P1331">
        <v>24</v>
      </c>
      <c r="Q1331" t="s">
        <v>62</v>
      </c>
      <c r="R1331" t="s">
        <v>47</v>
      </c>
      <c r="S1331" t="s">
        <v>47</v>
      </c>
      <c r="T1331" t="s">
        <v>47</v>
      </c>
      <c r="U1331" t="s">
        <v>47</v>
      </c>
      <c r="V1331" t="s">
        <v>117</v>
      </c>
      <c r="W1331" t="s">
        <v>46</v>
      </c>
      <c r="X1331" t="s">
        <v>47</v>
      </c>
      <c r="Y1331" t="s">
        <v>46</v>
      </c>
      <c r="Z1331" t="s">
        <v>47</v>
      </c>
      <c r="AA1331" t="s">
        <v>46</v>
      </c>
      <c r="AB1331" t="s">
        <v>47</v>
      </c>
      <c r="AC1331" t="s">
        <v>47</v>
      </c>
      <c r="AD1331" t="s">
        <v>47</v>
      </c>
      <c r="AE1331" t="s">
        <v>47</v>
      </c>
      <c r="AF1331" t="s">
        <v>47</v>
      </c>
      <c r="AG1331" t="s">
        <v>52</v>
      </c>
      <c r="AH1331" t="s">
        <v>90</v>
      </c>
      <c r="AI1331" t="s">
        <v>65</v>
      </c>
      <c r="AJ1331">
        <v>3.1</v>
      </c>
      <c r="AK1331" t="s">
        <v>47</v>
      </c>
      <c r="AL1331" t="s">
        <v>72</v>
      </c>
      <c r="AM1331" t="s">
        <v>103</v>
      </c>
      <c r="AN1331">
        <v>61</v>
      </c>
      <c r="AO1331" t="s">
        <v>47</v>
      </c>
    </row>
    <row r="1332" spans="1:41">
      <c r="A1332" t="s">
        <v>1484</v>
      </c>
      <c r="B1332">
        <v>2025</v>
      </c>
      <c r="C1332" s="1">
        <v>45821</v>
      </c>
      <c r="D1332" t="s">
        <v>110</v>
      </c>
      <c r="E1332" t="s">
        <v>294</v>
      </c>
      <c r="F1332">
        <v>60</v>
      </c>
      <c r="G1332" t="s">
        <v>44</v>
      </c>
      <c r="H1332" t="s">
        <v>70</v>
      </c>
      <c r="I1332">
        <v>0</v>
      </c>
      <c r="J1332">
        <v>0</v>
      </c>
      <c r="K1332" t="s">
        <v>47</v>
      </c>
      <c r="L1332" t="s">
        <v>47</v>
      </c>
      <c r="M1332" t="s">
        <v>47</v>
      </c>
      <c r="N1332" t="s">
        <v>62</v>
      </c>
      <c r="O1332" t="s">
        <v>49</v>
      </c>
      <c r="P1332">
        <v>26.9</v>
      </c>
      <c r="Q1332" t="s">
        <v>48</v>
      </c>
      <c r="R1332" t="s">
        <v>47</v>
      </c>
      <c r="S1332" t="s">
        <v>47</v>
      </c>
      <c r="T1332" t="s">
        <v>46</v>
      </c>
      <c r="U1332" t="s">
        <v>47</v>
      </c>
      <c r="V1332" t="s">
        <v>92</v>
      </c>
      <c r="W1332" t="s">
        <v>46</v>
      </c>
      <c r="X1332" t="s">
        <v>47</v>
      </c>
      <c r="Y1332" t="s">
        <v>46</v>
      </c>
      <c r="Z1332" t="s">
        <v>47</v>
      </c>
      <c r="AA1332" t="s">
        <v>47</v>
      </c>
      <c r="AB1332" t="s">
        <v>47</v>
      </c>
      <c r="AC1332" t="s">
        <v>47</v>
      </c>
      <c r="AD1332" t="s">
        <v>47</v>
      </c>
      <c r="AE1332" t="s">
        <v>47</v>
      </c>
      <c r="AF1332" t="s">
        <v>46</v>
      </c>
      <c r="AG1332" t="s">
        <v>52</v>
      </c>
      <c r="AH1332" t="s">
        <v>53</v>
      </c>
      <c r="AI1332" t="s">
        <v>87</v>
      </c>
      <c r="AJ1332">
        <v>4.2</v>
      </c>
      <c r="AK1332" t="s">
        <v>47</v>
      </c>
      <c r="AL1332" t="s">
        <v>100</v>
      </c>
      <c r="AM1332" t="s">
        <v>67</v>
      </c>
      <c r="AN1332">
        <v>49</v>
      </c>
      <c r="AO1332" t="s">
        <v>46</v>
      </c>
    </row>
    <row r="1333" spans="1:41">
      <c r="A1333" t="s">
        <v>1485</v>
      </c>
      <c r="B1333">
        <v>2023</v>
      </c>
      <c r="C1333" s="1">
        <v>45013</v>
      </c>
      <c r="D1333" t="s">
        <v>98</v>
      </c>
      <c r="E1333" t="s">
        <v>99</v>
      </c>
      <c r="F1333">
        <v>47</v>
      </c>
      <c r="G1333" t="s">
        <v>44</v>
      </c>
      <c r="H1333" t="s">
        <v>70</v>
      </c>
      <c r="I1333">
        <v>0</v>
      </c>
      <c r="J1333">
        <v>0</v>
      </c>
      <c r="K1333" t="s">
        <v>46</v>
      </c>
      <c r="L1333" t="s">
        <v>47</v>
      </c>
      <c r="M1333" t="s">
        <v>47</v>
      </c>
      <c r="N1333" t="s">
        <v>48</v>
      </c>
      <c r="O1333" t="s">
        <v>48</v>
      </c>
      <c r="P1333">
        <v>21</v>
      </c>
      <c r="Q1333" t="s">
        <v>50</v>
      </c>
      <c r="R1333" t="s">
        <v>47</v>
      </c>
      <c r="S1333" t="s">
        <v>47</v>
      </c>
      <c r="T1333" t="s">
        <v>46</v>
      </c>
      <c r="U1333" t="s">
        <v>47</v>
      </c>
      <c r="V1333" t="s">
        <v>86</v>
      </c>
      <c r="W1333" t="s">
        <v>46</v>
      </c>
      <c r="X1333" t="s">
        <v>47</v>
      </c>
      <c r="Y1333" t="s">
        <v>47</v>
      </c>
      <c r="Z1333" t="s">
        <v>47</v>
      </c>
      <c r="AA1333" t="s">
        <v>46</v>
      </c>
      <c r="AB1333" t="s">
        <v>47</v>
      </c>
      <c r="AC1333" t="s">
        <v>47</v>
      </c>
      <c r="AD1333" t="s">
        <v>47</v>
      </c>
      <c r="AE1333" t="s">
        <v>47</v>
      </c>
      <c r="AF1333" t="s">
        <v>47</v>
      </c>
      <c r="AG1333" t="s">
        <v>52</v>
      </c>
      <c r="AH1333" t="s">
        <v>53</v>
      </c>
      <c r="AI1333" t="s">
        <v>65</v>
      </c>
      <c r="AJ1333">
        <v>2.2000000000000002</v>
      </c>
      <c r="AK1333" t="s">
        <v>47</v>
      </c>
      <c r="AL1333" t="s">
        <v>72</v>
      </c>
      <c r="AM1333" t="s">
        <v>73</v>
      </c>
      <c r="AN1333">
        <v>20</v>
      </c>
      <c r="AO1333" t="s">
        <v>46</v>
      </c>
    </row>
    <row r="1334" spans="1:41">
      <c r="A1334" t="s">
        <v>1486</v>
      </c>
      <c r="B1334">
        <v>2016</v>
      </c>
      <c r="C1334" s="1">
        <v>42639</v>
      </c>
      <c r="D1334" t="s">
        <v>42</v>
      </c>
      <c r="E1334" t="s">
        <v>79</v>
      </c>
      <c r="F1334">
        <v>66</v>
      </c>
      <c r="G1334" t="s">
        <v>60</v>
      </c>
      <c r="H1334" t="s">
        <v>45</v>
      </c>
      <c r="I1334">
        <v>10</v>
      </c>
      <c r="J1334">
        <v>40</v>
      </c>
      <c r="K1334" t="s">
        <v>47</v>
      </c>
      <c r="L1334" t="s">
        <v>47</v>
      </c>
      <c r="M1334" t="s">
        <v>47</v>
      </c>
      <c r="N1334" t="s">
        <v>48</v>
      </c>
      <c r="O1334" t="s">
        <v>49</v>
      </c>
      <c r="P1334">
        <v>30.4</v>
      </c>
      <c r="Q1334" t="s">
        <v>50</v>
      </c>
      <c r="R1334" t="s">
        <v>47</v>
      </c>
      <c r="S1334" t="s">
        <v>47</v>
      </c>
      <c r="T1334" t="s">
        <v>47</v>
      </c>
      <c r="U1334" t="s">
        <v>47</v>
      </c>
      <c r="V1334" t="s">
        <v>51</v>
      </c>
      <c r="W1334" t="s">
        <v>46</v>
      </c>
      <c r="X1334" t="s">
        <v>46</v>
      </c>
      <c r="Y1334" t="s">
        <v>46</v>
      </c>
      <c r="Z1334" t="s">
        <v>47</v>
      </c>
      <c r="AA1334" t="s">
        <v>46</v>
      </c>
      <c r="AB1334" t="s">
        <v>46</v>
      </c>
      <c r="AC1334" t="s">
        <v>47</v>
      </c>
      <c r="AD1334" t="s">
        <v>47</v>
      </c>
      <c r="AE1334" t="s">
        <v>47</v>
      </c>
      <c r="AF1334" t="s">
        <v>47</v>
      </c>
      <c r="AG1334" t="s">
        <v>52</v>
      </c>
      <c r="AH1334" t="s">
        <v>53</v>
      </c>
      <c r="AI1334" t="s">
        <v>54</v>
      </c>
      <c r="AJ1334">
        <v>6.6</v>
      </c>
      <c r="AK1334" t="s">
        <v>46</v>
      </c>
      <c r="AL1334" t="s">
        <v>100</v>
      </c>
      <c r="AM1334" t="s">
        <v>118</v>
      </c>
      <c r="AN1334">
        <v>7</v>
      </c>
      <c r="AO1334" t="s">
        <v>47</v>
      </c>
    </row>
    <row r="1335" spans="1:41">
      <c r="A1335" t="s">
        <v>1487</v>
      </c>
      <c r="B1335">
        <v>2018</v>
      </c>
      <c r="C1335" s="1">
        <v>43201</v>
      </c>
      <c r="D1335" t="s">
        <v>98</v>
      </c>
      <c r="E1335" t="s">
        <v>212</v>
      </c>
      <c r="F1335">
        <v>62</v>
      </c>
      <c r="G1335" t="s">
        <v>60</v>
      </c>
      <c r="H1335" t="s">
        <v>70</v>
      </c>
      <c r="I1335">
        <v>0</v>
      </c>
      <c r="J1335">
        <v>0</v>
      </c>
      <c r="K1335" t="s">
        <v>46</v>
      </c>
      <c r="L1335" t="s">
        <v>47</v>
      </c>
      <c r="M1335" t="s">
        <v>47</v>
      </c>
      <c r="N1335" t="s">
        <v>62</v>
      </c>
      <c r="O1335" t="s">
        <v>48</v>
      </c>
      <c r="P1335">
        <v>26</v>
      </c>
      <c r="Q1335" t="s">
        <v>62</v>
      </c>
      <c r="R1335" t="s">
        <v>46</v>
      </c>
      <c r="S1335" t="s">
        <v>47</v>
      </c>
      <c r="T1335" t="s">
        <v>47</v>
      </c>
      <c r="U1335" t="s">
        <v>47</v>
      </c>
      <c r="V1335" t="s">
        <v>86</v>
      </c>
      <c r="W1335" t="s">
        <v>46</v>
      </c>
      <c r="X1335" t="s">
        <v>47</v>
      </c>
      <c r="Y1335" t="s">
        <v>46</v>
      </c>
      <c r="Z1335" t="s">
        <v>47</v>
      </c>
      <c r="AA1335" t="s">
        <v>47</v>
      </c>
      <c r="AB1335" t="s">
        <v>46</v>
      </c>
      <c r="AC1335" t="s">
        <v>47</v>
      </c>
      <c r="AD1335" t="s">
        <v>47</v>
      </c>
      <c r="AE1335" t="s">
        <v>47</v>
      </c>
      <c r="AF1335" t="s">
        <v>47</v>
      </c>
      <c r="AG1335" t="s">
        <v>52</v>
      </c>
      <c r="AH1335" t="s">
        <v>71</v>
      </c>
      <c r="AI1335" t="s">
        <v>65</v>
      </c>
      <c r="AJ1335">
        <v>1.9</v>
      </c>
      <c r="AK1335" t="s">
        <v>47</v>
      </c>
      <c r="AL1335" t="s">
        <v>81</v>
      </c>
      <c r="AM1335" t="s">
        <v>73</v>
      </c>
      <c r="AN1335">
        <v>58</v>
      </c>
      <c r="AO1335" t="s">
        <v>47</v>
      </c>
    </row>
    <row r="1336" spans="1:41">
      <c r="A1336" t="s">
        <v>1488</v>
      </c>
      <c r="B1336">
        <v>2024</v>
      </c>
      <c r="C1336" s="1">
        <v>45497</v>
      </c>
      <c r="D1336" t="s">
        <v>58</v>
      </c>
      <c r="E1336" t="s">
        <v>138</v>
      </c>
      <c r="F1336">
        <v>68</v>
      </c>
      <c r="G1336" t="s">
        <v>60</v>
      </c>
      <c r="H1336" t="s">
        <v>70</v>
      </c>
      <c r="I1336">
        <v>0</v>
      </c>
      <c r="J1336">
        <v>0</v>
      </c>
      <c r="K1336" t="s">
        <v>47</v>
      </c>
      <c r="L1336" t="s">
        <v>47</v>
      </c>
      <c r="M1336" t="s">
        <v>47</v>
      </c>
      <c r="N1336" t="s">
        <v>62</v>
      </c>
      <c r="O1336" t="s">
        <v>48</v>
      </c>
      <c r="P1336">
        <v>25.4</v>
      </c>
      <c r="Q1336" t="s">
        <v>48</v>
      </c>
      <c r="R1336" t="s">
        <v>47</v>
      </c>
      <c r="S1336" t="s">
        <v>47</v>
      </c>
      <c r="T1336" t="s">
        <v>47</v>
      </c>
      <c r="U1336" t="s">
        <v>47</v>
      </c>
      <c r="V1336" t="s">
        <v>193</v>
      </c>
      <c r="W1336" t="s">
        <v>47</v>
      </c>
      <c r="X1336" t="s">
        <v>47</v>
      </c>
      <c r="Y1336" t="s">
        <v>47</v>
      </c>
      <c r="Z1336" t="s">
        <v>46</v>
      </c>
      <c r="AA1336" t="s">
        <v>47</v>
      </c>
      <c r="AB1336" t="s">
        <v>46</v>
      </c>
      <c r="AC1336" t="s">
        <v>47</v>
      </c>
      <c r="AD1336" t="s">
        <v>47</v>
      </c>
      <c r="AE1336" t="s">
        <v>47</v>
      </c>
      <c r="AF1336" t="s">
        <v>47</v>
      </c>
      <c r="AG1336" t="s">
        <v>52</v>
      </c>
      <c r="AH1336" t="s">
        <v>53</v>
      </c>
      <c r="AI1336" t="s">
        <v>65</v>
      </c>
      <c r="AJ1336">
        <v>2.7</v>
      </c>
      <c r="AK1336" t="s">
        <v>47</v>
      </c>
      <c r="AL1336" t="s">
        <v>156</v>
      </c>
      <c r="AM1336" t="s">
        <v>67</v>
      </c>
      <c r="AN1336">
        <v>59</v>
      </c>
      <c r="AO1336" t="s">
        <v>46</v>
      </c>
    </row>
    <row r="1337" spans="1:41">
      <c r="A1337" t="s">
        <v>1489</v>
      </c>
      <c r="B1337">
        <v>2018</v>
      </c>
      <c r="C1337" s="1">
        <v>43247</v>
      </c>
      <c r="D1337" t="s">
        <v>42</v>
      </c>
      <c r="E1337" t="s">
        <v>69</v>
      </c>
      <c r="F1337">
        <v>75</v>
      </c>
      <c r="G1337" t="s">
        <v>44</v>
      </c>
      <c r="H1337" t="s">
        <v>70</v>
      </c>
      <c r="I1337">
        <v>0</v>
      </c>
      <c r="J1337">
        <v>0</v>
      </c>
      <c r="K1337" t="s">
        <v>46</v>
      </c>
      <c r="L1337" t="s">
        <v>47</v>
      </c>
      <c r="M1337" t="s">
        <v>47</v>
      </c>
      <c r="N1337" t="s">
        <v>48</v>
      </c>
      <c r="O1337" t="s">
        <v>63</v>
      </c>
      <c r="P1337">
        <v>23.9</v>
      </c>
      <c r="Q1337" t="s">
        <v>48</v>
      </c>
      <c r="R1337" t="s">
        <v>47</v>
      </c>
      <c r="S1337" t="s">
        <v>47</v>
      </c>
      <c r="T1337" t="s">
        <v>47</v>
      </c>
      <c r="U1337" t="s">
        <v>47</v>
      </c>
      <c r="V1337" t="s">
        <v>51</v>
      </c>
      <c r="W1337" t="s">
        <v>47</v>
      </c>
      <c r="X1337" t="s">
        <v>47</v>
      </c>
      <c r="Y1337" t="s">
        <v>47</v>
      </c>
      <c r="Z1337" t="s">
        <v>47</v>
      </c>
      <c r="AA1337" t="s">
        <v>46</v>
      </c>
      <c r="AB1337" t="s">
        <v>47</v>
      </c>
      <c r="AC1337" t="s">
        <v>47</v>
      </c>
      <c r="AD1337" t="s">
        <v>47</v>
      </c>
      <c r="AE1337" t="s">
        <v>47</v>
      </c>
      <c r="AF1337" t="s">
        <v>47</v>
      </c>
      <c r="AG1337" t="s">
        <v>52</v>
      </c>
      <c r="AH1337" t="s">
        <v>53</v>
      </c>
      <c r="AI1337" t="s">
        <v>65</v>
      </c>
      <c r="AJ1337">
        <v>2.9</v>
      </c>
      <c r="AK1337" t="s">
        <v>47</v>
      </c>
      <c r="AL1337" t="s">
        <v>76</v>
      </c>
      <c r="AM1337" t="s">
        <v>73</v>
      </c>
      <c r="AN1337">
        <v>44</v>
      </c>
      <c r="AO1337" t="s">
        <v>47</v>
      </c>
    </row>
    <row r="1338" spans="1:41">
      <c r="A1338" t="s">
        <v>1490</v>
      </c>
      <c r="B1338">
        <v>2018</v>
      </c>
      <c r="C1338" s="1">
        <v>43385</v>
      </c>
      <c r="D1338" t="s">
        <v>42</v>
      </c>
      <c r="E1338" t="s">
        <v>69</v>
      </c>
      <c r="F1338">
        <v>59</v>
      </c>
      <c r="G1338" t="s">
        <v>60</v>
      </c>
      <c r="H1338" t="s">
        <v>61</v>
      </c>
      <c r="I1338">
        <v>12</v>
      </c>
      <c r="J1338">
        <v>12</v>
      </c>
      <c r="K1338" t="s">
        <v>46</v>
      </c>
      <c r="L1338" t="s">
        <v>47</v>
      </c>
      <c r="M1338" t="s">
        <v>47</v>
      </c>
      <c r="N1338" t="s">
        <v>48</v>
      </c>
      <c r="O1338" t="s">
        <v>48</v>
      </c>
      <c r="P1338">
        <v>27.7</v>
      </c>
      <c r="Q1338" t="s">
        <v>50</v>
      </c>
      <c r="R1338" t="s">
        <v>47</v>
      </c>
      <c r="S1338" t="s">
        <v>47</v>
      </c>
      <c r="T1338" t="s">
        <v>47</v>
      </c>
      <c r="U1338" t="s">
        <v>47</v>
      </c>
      <c r="V1338" t="s">
        <v>51</v>
      </c>
      <c r="W1338" t="s">
        <v>46</v>
      </c>
      <c r="X1338" t="s">
        <v>46</v>
      </c>
      <c r="Y1338" t="s">
        <v>46</v>
      </c>
      <c r="Z1338" t="s">
        <v>47</v>
      </c>
      <c r="AA1338" t="s">
        <v>46</v>
      </c>
      <c r="AB1338" t="s">
        <v>47</v>
      </c>
      <c r="AC1338" t="s">
        <v>47</v>
      </c>
      <c r="AD1338" t="s">
        <v>47</v>
      </c>
      <c r="AE1338" t="s">
        <v>47</v>
      </c>
      <c r="AF1338" t="s">
        <v>47</v>
      </c>
      <c r="AG1338" t="s">
        <v>52</v>
      </c>
      <c r="AH1338" t="s">
        <v>53</v>
      </c>
      <c r="AI1338" t="s">
        <v>80</v>
      </c>
      <c r="AJ1338">
        <v>5.0999999999999996</v>
      </c>
      <c r="AK1338" t="s">
        <v>47</v>
      </c>
      <c r="AL1338" t="s">
        <v>76</v>
      </c>
      <c r="AM1338" t="s">
        <v>77</v>
      </c>
      <c r="AN1338">
        <v>15</v>
      </c>
      <c r="AO1338" t="s">
        <v>47</v>
      </c>
    </row>
    <row r="1339" spans="1:41">
      <c r="A1339" t="s">
        <v>1491</v>
      </c>
      <c r="B1339">
        <v>2024</v>
      </c>
      <c r="C1339" s="1">
        <v>45557</v>
      </c>
      <c r="D1339" t="s">
        <v>110</v>
      </c>
      <c r="E1339" t="s">
        <v>177</v>
      </c>
      <c r="F1339">
        <v>70</v>
      </c>
      <c r="G1339" t="s">
        <v>60</v>
      </c>
      <c r="H1339" t="s">
        <v>61</v>
      </c>
      <c r="I1339">
        <v>37</v>
      </c>
      <c r="J1339">
        <v>17</v>
      </c>
      <c r="K1339" t="s">
        <v>47</v>
      </c>
      <c r="L1339" t="s">
        <v>46</v>
      </c>
      <c r="M1339" t="s">
        <v>47</v>
      </c>
      <c r="N1339" t="s">
        <v>48</v>
      </c>
      <c r="O1339" t="s">
        <v>48</v>
      </c>
      <c r="P1339">
        <v>32.4</v>
      </c>
      <c r="Q1339" t="s">
        <v>50</v>
      </c>
      <c r="R1339" t="s">
        <v>47</v>
      </c>
      <c r="S1339" t="s">
        <v>47</v>
      </c>
      <c r="T1339" t="s">
        <v>47</v>
      </c>
      <c r="U1339" t="s">
        <v>47</v>
      </c>
      <c r="V1339" t="s">
        <v>117</v>
      </c>
      <c r="W1339" t="s">
        <v>46</v>
      </c>
      <c r="X1339" t="s">
        <v>47</v>
      </c>
      <c r="Y1339" t="s">
        <v>46</v>
      </c>
      <c r="Z1339" t="s">
        <v>46</v>
      </c>
      <c r="AA1339" t="s">
        <v>46</v>
      </c>
      <c r="AB1339" t="s">
        <v>47</v>
      </c>
      <c r="AC1339" t="s">
        <v>46</v>
      </c>
      <c r="AD1339" t="s">
        <v>46</v>
      </c>
      <c r="AE1339" t="s">
        <v>46</v>
      </c>
      <c r="AF1339" t="s">
        <v>46</v>
      </c>
      <c r="AG1339" t="s">
        <v>52</v>
      </c>
      <c r="AH1339" t="s">
        <v>90</v>
      </c>
      <c r="AI1339" t="s">
        <v>65</v>
      </c>
      <c r="AJ1339">
        <v>2.1</v>
      </c>
      <c r="AK1339" t="s">
        <v>47</v>
      </c>
      <c r="AL1339" t="s">
        <v>76</v>
      </c>
      <c r="AM1339" t="s">
        <v>118</v>
      </c>
      <c r="AN1339">
        <v>53</v>
      </c>
      <c r="AO1339" t="s">
        <v>46</v>
      </c>
    </row>
    <row r="1340" spans="1:41">
      <c r="A1340" t="s">
        <v>1492</v>
      </c>
      <c r="B1340">
        <v>2019</v>
      </c>
      <c r="C1340" s="1">
        <v>43532</v>
      </c>
      <c r="D1340" t="s">
        <v>110</v>
      </c>
      <c r="E1340" t="s">
        <v>116</v>
      </c>
      <c r="F1340">
        <v>46</v>
      </c>
      <c r="G1340" t="s">
        <v>60</v>
      </c>
      <c r="H1340" t="s">
        <v>70</v>
      </c>
      <c r="I1340">
        <v>0</v>
      </c>
      <c r="J1340">
        <v>0</v>
      </c>
      <c r="K1340" t="s">
        <v>47</v>
      </c>
      <c r="L1340" t="s">
        <v>47</v>
      </c>
      <c r="M1340" t="s">
        <v>47</v>
      </c>
      <c r="N1340" t="s">
        <v>50</v>
      </c>
      <c r="O1340" t="s">
        <v>48</v>
      </c>
      <c r="P1340">
        <v>26.6</v>
      </c>
      <c r="Q1340" t="s">
        <v>48</v>
      </c>
      <c r="R1340" t="s">
        <v>47</v>
      </c>
      <c r="S1340" t="s">
        <v>47</v>
      </c>
      <c r="T1340" t="s">
        <v>47</v>
      </c>
      <c r="U1340" t="s">
        <v>47</v>
      </c>
      <c r="V1340" t="s">
        <v>64</v>
      </c>
      <c r="W1340" t="s">
        <v>46</v>
      </c>
      <c r="X1340" t="s">
        <v>46</v>
      </c>
      <c r="Y1340" t="s">
        <v>47</v>
      </c>
      <c r="Z1340" t="s">
        <v>47</v>
      </c>
      <c r="AA1340" t="s">
        <v>46</v>
      </c>
      <c r="AB1340" t="s">
        <v>47</v>
      </c>
      <c r="AC1340" t="s">
        <v>47</v>
      </c>
      <c r="AD1340" t="s">
        <v>46</v>
      </c>
      <c r="AE1340" t="s">
        <v>47</v>
      </c>
      <c r="AF1340" t="s">
        <v>47</v>
      </c>
      <c r="AG1340" t="s">
        <v>52</v>
      </c>
      <c r="AH1340" t="s">
        <v>90</v>
      </c>
      <c r="AI1340" t="s">
        <v>80</v>
      </c>
      <c r="AJ1340">
        <v>3.9</v>
      </c>
      <c r="AK1340" t="s">
        <v>47</v>
      </c>
      <c r="AL1340" t="s">
        <v>76</v>
      </c>
      <c r="AM1340" t="s">
        <v>82</v>
      </c>
      <c r="AN1340">
        <v>3</v>
      </c>
      <c r="AO1340" t="s">
        <v>47</v>
      </c>
    </row>
    <row r="1341" spans="1:41">
      <c r="A1341" t="s">
        <v>1493</v>
      </c>
      <c r="B1341">
        <v>2023</v>
      </c>
      <c r="C1341" s="1">
        <v>44939</v>
      </c>
      <c r="D1341" t="s">
        <v>42</v>
      </c>
      <c r="E1341" t="s">
        <v>69</v>
      </c>
      <c r="F1341">
        <v>61</v>
      </c>
      <c r="G1341" t="s">
        <v>60</v>
      </c>
      <c r="H1341" t="s">
        <v>45</v>
      </c>
      <c r="I1341">
        <v>21</v>
      </c>
      <c r="J1341">
        <v>27</v>
      </c>
      <c r="K1341" t="s">
        <v>47</v>
      </c>
      <c r="L1341" t="s">
        <v>46</v>
      </c>
      <c r="M1341" t="s">
        <v>47</v>
      </c>
      <c r="N1341" t="s">
        <v>48</v>
      </c>
      <c r="O1341" t="s">
        <v>49</v>
      </c>
      <c r="P1341">
        <v>26.9</v>
      </c>
      <c r="Q1341" t="s">
        <v>50</v>
      </c>
      <c r="R1341" t="s">
        <v>47</v>
      </c>
      <c r="S1341" t="s">
        <v>47</v>
      </c>
      <c r="T1341" t="s">
        <v>47</v>
      </c>
      <c r="U1341" t="s">
        <v>47</v>
      </c>
      <c r="V1341" t="s">
        <v>51</v>
      </c>
      <c r="W1341" t="s">
        <v>46</v>
      </c>
      <c r="X1341" t="s">
        <v>46</v>
      </c>
      <c r="Y1341" t="s">
        <v>47</v>
      </c>
      <c r="Z1341" t="s">
        <v>46</v>
      </c>
      <c r="AA1341" t="s">
        <v>47</v>
      </c>
      <c r="AB1341" t="s">
        <v>46</v>
      </c>
      <c r="AC1341" t="s">
        <v>47</v>
      </c>
      <c r="AD1341" t="s">
        <v>47</v>
      </c>
      <c r="AE1341" t="s">
        <v>47</v>
      </c>
      <c r="AF1341" t="s">
        <v>47</v>
      </c>
      <c r="AG1341" t="s">
        <v>52</v>
      </c>
      <c r="AH1341" t="s">
        <v>71</v>
      </c>
      <c r="AI1341" t="s">
        <v>80</v>
      </c>
      <c r="AJ1341">
        <v>5.5</v>
      </c>
      <c r="AK1341" t="s">
        <v>47</v>
      </c>
      <c r="AL1341" t="s">
        <v>81</v>
      </c>
      <c r="AM1341" t="s">
        <v>118</v>
      </c>
      <c r="AN1341">
        <v>18</v>
      </c>
      <c r="AO1341" t="s">
        <v>47</v>
      </c>
    </row>
    <row r="1342" spans="1:41">
      <c r="A1342" t="s">
        <v>1494</v>
      </c>
      <c r="B1342">
        <v>2023</v>
      </c>
      <c r="C1342" s="1">
        <v>45166</v>
      </c>
      <c r="D1342" t="s">
        <v>95</v>
      </c>
      <c r="E1342" t="s">
        <v>130</v>
      </c>
      <c r="F1342">
        <v>66</v>
      </c>
      <c r="G1342" t="s">
        <v>60</v>
      </c>
      <c r="H1342" t="s">
        <v>61</v>
      </c>
      <c r="I1342">
        <v>25</v>
      </c>
      <c r="J1342">
        <v>15</v>
      </c>
      <c r="K1342" t="s">
        <v>46</v>
      </c>
      <c r="L1342" t="s">
        <v>46</v>
      </c>
      <c r="M1342" t="s">
        <v>47</v>
      </c>
      <c r="N1342" t="s">
        <v>62</v>
      </c>
      <c r="O1342" t="s">
        <v>48</v>
      </c>
      <c r="P1342">
        <v>26.8</v>
      </c>
      <c r="Q1342" t="s">
        <v>62</v>
      </c>
      <c r="R1342" t="s">
        <v>46</v>
      </c>
      <c r="S1342" t="s">
        <v>47</v>
      </c>
      <c r="T1342" t="s">
        <v>47</v>
      </c>
      <c r="U1342" t="s">
        <v>46</v>
      </c>
      <c r="V1342" t="s">
        <v>51</v>
      </c>
      <c r="W1342" t="s">
        <v>46</v>
      </c>
      <c r="X1342" t="s">
        <v>46</v>
      </c>
      <c r="Y1342" t="s">
        <v>46</v>
      </c>
      <c r="Z1342" t="s">
        <v>47</v>
      </c>
      <c r="AA1342" t="s">
        <v>46</v>
      </c>
      <c r="AB1342" t="s">
        <v>46</v>
      </c>
      <c r="AC1342" t="s">
        <v>46</v>
      </c>
      <c r="AD1342" t="s">
        <v>46</v>
      </c>
      <c r="AE1342" t="s">
        <v>46</v>
      </c>
      <c r="AF1342" t="s">
        <v>47</v>
      </c>
      <c r="AG1342" t="s">
        <v>121</v>
      </c>
      <c r="AH1342" t="s">
        <v>122</v>
      </c>
      <c r="AI1342" t="s">
        <v>54</v>
      </c>
      <c r="AJ1342">
        <v>9.4</v>
      </c>
      <c r="AK1342" t="s">
        <v>46</v>
      </c>
      <c r="AL1342" t="s">
        <v>81</v>
      </c>
      <c r="AM1342" t="s">
        <v>265</v>
      </c>
      <c r="AN1342">
        <v>7</v>
      </c>
      <c r="AO1342" t="s">
        <v>47</v>
      </c>
    </row>
    <row r="1343" spans="1:41">
      <c r="A1343" t="s">
        <v>1495</v>
      </c>
      <c r="B1343">
        <v>2022</v>
      </c>
      <c r="C1343" s="1">
        <v>44692</v>
      </c>
      <c r="D1343" t="s">
        <v>84</v>
      </c>
      <c r="E1343" t="s">
        <v>85</v>
      </c>
      <c r="F1343">
        <v>73</v>
      </c>
      <c r="G1343" t="s">
        <v>60</v>
      </c>
      <c r="H1343" t="s">
        <v>45</v>
      </c>
      <c r="I1343">
        <v>35</v>
      </c>
      <c r="J1343">
        <v>37</v>
      </c>
      <c r="K1343" t="s">
        <v>47</v>
      </c>
      <c r="L1343" t="s">
        <v>47</v>
      </c>
      <c r="M1343" t="s">
        <v>47</v>
      </c>
      <c r="N1343" t="s">
        <v>48</v>
      </c>
      <c r="O1343" t="s">
        <v>48</v>
      </c>
      <c r="P1343">
        <v>25.2</v>
      </c>
      <c r="Q1343" t="s">
        <v>50</v>
      </c>
      <c r="R1343" t="s">
        <v>47</v>
      </c>
      <c r="S1343" t="s">
        <v>47</v>
      </c>
      <c r="T1343" t="s">
        <v>47</v>
      </c>
      <c r="U1343" t="s">
        <v>47</v>
      </c>
      <c r="V1343" t="s">
        <v>51</v>
      </c>
      <c r="W1343" t="s">
        <v>46</v>
      </c>
      <c r="X1343" t="s">
        <v>47</v>
      </c>
      <c r="Y1343" t="s">
        <v>47</v>
      </c>
      <c r="Z1343" t="s">
        <v>47</v>
      </c>
      <c r="AA1343" t="s">
        <v>46</v>
      </c>
      <c r="AB1343" t="s">
        <v>46</v>
      </c>
      <c r="AC1343" t="s">
        <v>46</v>
      </c>
      <c r="AD1343" t="s">
        <v>47</v>
      </c>
      <c r="AE1343" t="s">
        <v>46</v>
      </c>
      <c r="AF1343" t="s">
        <v>47</v>
      </c>
      <c r="AG1343" t="s">
        <v>52</v>
      </c>
      <c r="AH1343" t="s">
        <v>53</v>
      </c>
      <c r="AI1343" t="s">
        <v>80</v>
      </c>
      <c r="AJ1343">
        <v>6.4</v>
      </c>
      <c r="AK1343" t="s">
        <v>47</v>
      </c>
      <c r="AL1343" t="s">
        <v>81</v>
      </c>
      <c r="AM1343" t="s">
        <v>103</v>
      </c>
      <c r="AN1343">
        <v>19</v>
      </c>
      <c r="AO1343" t="s">
        <v>47</v>
      </c>
    </row>
    <row r="1344" spans="1:41">
      <c r="A1344" t="s">
        <v>1496</v>
      </c>
      <c r="B1344">
        <v>2021</v>
      </c>
      <c r="C1344" s="1">
        <v>44454</v>
      </c>
      <c r="D1344" t="s">
        <v>110</v>
      </c>
      <c r="E1344" t="s">
        <v>177</v>
      </c>
      <c r="F1344">
        <v>62</v>
      </c>
      <c r="G1344" t="s">
        <v>44</v>
      </c>
      <c r="H1344" t="s">
        <v>70</v>
      </c>
      <c r="I1344">
        <v>0</v>
      </c>
      <c r="J1344">
        <v>0</v>
      </c>
      <c r="K1344" t="s">
        <v>47</v>
      </c>
      <c r="L1344" t="s">
        <v>46</v>
      </c>
      <c r="M1344" t="s">
        <v>47</v>
      </c>
      <c r="N1344" t="s">
        <v>62</v>
      </c>
      <c r="O1344" t="s">
        <v>49</v>
      </c>
      <c r="P1344">
        <v>21.8</v>
      </c>
      <c r="Q1344" t="s">
        <v>48</v>
      </c>
      <c r="R1344" t="s">
        <v>47</v>
      </c>
      <c r="S1344" t="s">
        <v>47</v>
      </c>
      <c r="T1344" t="s">
        <v>47</v>
      </c>
      <c r="U1344" t="s">
        <v>46</v>
      </c>
      <c r="V1344" t="s">
        <v>171</v>
      </c>
      <c r="W1344" t="s">
        <v>47</v>
      </c>
      <c r="X1344" t="s">
        <v>47</v>
      </c>
      <c r="Y1344" t="s">
        <v>47</v>
      </c>
      <c r="Z1344" t="s">
        <v>47</v>
      </c>
      <c r="AA1344" t="s">
        <v>47</v>
      </c>
      <c r="AB1344" t="s">
        <v>47</v>
      </c>
      <c r="AC1344" t="s">
        <v>46</v>
      </c>
      <c r="AD1344" t="s">
        <v>47</v>
      </c>
      <c r="AE1344" t="s">
        <v>47</v>
      </c>
      <c r="AF1344" t="s">
        <v>47</v>
      </c>
      <c r="AG1344" t="s">
        <v>52</v>
      </c>
      <c r="AH1344" t="s">
        <v>53</v>
      </c>
      <c r="AI1344" t="s">
        <v>65</v>
      </c>
      <c r="AJ1344">
        <v>2.8</v>
      </c>
      <c r="AK1344" t="s">
        <v>47</v>
      </c>
      <c r="AL1344" t="s">
        <v>76</v>
      </c>
      <c r="AM1344" t="s">
        <v>118</v>
      </c>
      <c r="AN1344">
        <v>36</v>
      </c>
      <c r="AO1344" t="s">
        <v>46</v>
      </c>
    </row>
    <row r="1345" spans="1:41">
      <c r="A1345" t="s">
        <v>1497</v>
      </c>
      <c r="B1345">
        <v>2021</v>
      </c>
      <c r="C1345" s="1">
        <v>44354</v>
      </c>
      <c r="D1345" t="s">
        <v>95</v>
      </c>
      <c r="E1345" t="s">
        <v>130</v>
      </c>
      <c r="F1345">
        <v>77</v>
      </c>
      <c r="G1345" t="s">
        <v>44</v>
      </c>
      <c r="H1345" t="s">
        <v>45</v>
      </c>
      <c r="I1345">
        <v>28</v>
      </c>
      <c r="J1345">
        <v>42</v>
      </c>
      <c r="K1345" t="s">
        <v>46</v>
      </c>
      <c r="L1345" t="s">
        <v>47</v>
      </c>
      <c r="M1345" t="s">
        <v>46</v>
      </c>
      <c r="N1345" t="s">
        <v>48</v>
      </c>
      <c r="O1345" t="s">
        <v>48</v>
      </c>
      <c r="P1345">
        <v>31.8</v>
      </c>
      <c r="Q1345" t="s">
        <v>48</v>
      </c>
      <c r="R1345" t="s">
        <v>47</v>
      </c>
      <c r="S1345" t="s">
        <v>47</v>
      </c>
      <c r="T1345" t="s">
        <v>47</v>
      </c>
      <c r="U1345" t="s">
        <v>47</v>
      </c>
      <c r="V1345" t="s">
        <v>86</v>
      </c>
      <c r="W1345" t="s">
        <v>46</v>
      </c>
      <c r="X1345" t="s">
        <v>46</v>
      </c>
      <c r="Y1345" t="s">
        <v>46</v>
      </c>
      <c r="Z1345" t="s">
        <v>46</v>
      </c>
      <c r="AA1345" t="s">
        <v>47</v>
      </c>
      <c r="AB1345" t="s">
        <v>46</v>
      </c>
      <c r="AC1345" t="s">
        <v>47</v>
      </c>
      <c r="AD1345" t="s">
        <v>47</v>
      </c>
      <c r="AE1345" t="s">
        <v>47</v>
      </c>
      <c r="AF1345" t="s">
        <v>47</v>
      </c>
      <c r="AG1345" t="s">
        <v>52</v>
      </c>
      <c r="AH1345" t="s">
        <v>90</v>
      </c>
      <c r="AI1345" t="s">
        <v>87</v>
      </c>
      <c r="AJ1345">
        <v>4</v>
      </c>
      <c r="AK1345" t="s">
        <v>47</v>
      </c>
      <c r="AL1345" t="s">
        <v>156</v>
      </c>
      <c r="AM1345" t="s">
        <v>67</v>
      </c>
      <c r="AN1345">
        <v>40</v>
      </c>
      <c r="AO1345" t="s">
        <v>47</v>
      </c>
    </row>
    <row r="1346" spans="1:41">
      <c r="A1346" t="s">
        <v>1498</v>
      </c>
      <c r="B1346">
        <v>2023</v>
      </c>
      <c r="C1346" s="1">
        <v>45225</v>
      </c>
      <c r="D1346" t="s">
        <v>110</v>
      </c>
      <c r="E1346" t="s">
        <v>410</v>
      </c>
      <c r="F1346">
        <v>55</v>
      </c>
      <c r="G1346" t="s">
        <v>60</v>
      </c>
      <c r="H1346" t="s">
        <v>70</v>
      </c>
      <c r="I1346">
        <v>0</v>
      </c>
      <c r="J1346">
        <v>0</v>
      </c>
      <c r="K1346" t="s">
        <v>47</v>
      </c>
      <c r="L1346" t="s">
        <v>47</v>
      </c>
      <c r="M1346" t="s">
        <v>47</v>
      </c>
      <c r="N1346" t="s">
        <v>48</v>
      </c>
      <c r="O1346" t="s">
        <v>49</v>
      </c>
      <c r="P1346">
        <v>24.3</v>
      </c>
      <c r="Q1346" t="s">
        <v>62</v>
      </c>
      <c r="R1346" t="s">
        <v>47</v>
      </c>
      <c r="S1346" t="s">
        <v>47</v>
      </c>
      <c r="T1346" t="s">
        <v>47</v>
      </c>
      <c r="U1346" t="s">
        <v>47</v>
      </c>
      <c r="V1346" t="s">
        <v>151</v>
      </c>
      <c r="W1346" t="s">
        <v>46</v>
      </c>
      <c r="X1346" t="s">
        <v>47</v>
      </c>
      <c r="Y1346" t="s">
        <v>47</v>
      </c>
      <c r="Z1346" t="s">
        <v>47</v>
      </c>
      <c r="AA1346" t="s">
        <v>47</v>
      </c>
      <c r="AB1346" t="s">
        <v>47</v>
      </c>
      <c r="AC1346" t="s">
        <v>47</v>
      </c>
      <c r="AD1346" t="s">
        <v>47</v>
      </c>
      <c r="AE1346" t="s">
        <v>47</v>
      </c>
      <c r="AF1346" t="s">
        <v>47</v>
      </c>
      <c r="AG1346" t="s">
        <v>52</v>
      </c>
      <c r="AH1346" t="s">
        <v>53</v>
      </c>
      <c r="AI1346" t="s">
        <v>87</v>
      </c>
      <c r="AJ1346">
        <v>3.3</v>
      </c>
      <c r="AK1346" t="s">
        <v>47</v>
      </c>
      <c r="AL1346" t="s">
        <v>76</v>
      </c>
      <c r="AM1346" t="s">
        <v>118</v>
      </c>
      <c r="AN1346">
        <v>50</v>
      </c>
      <c r="AO1346" t="s">
        <v>46</v>
      </c>
    </row>
    <row r="1347" spans="1:41">
      <c r="A1347" t="s">
        <v>1499</v>
      </c>
      <c r="B1347">
        <v>2018</v>
      </c>
      <c r="C1347" s="1">
        <v>43454</v>
      </c>
      <c r="D1347" t="s">
        <v>42</v>
      </c>
      <c r="E1347" t="s">
        <v>160</v>
      </c>
      <c r="F1347">
        <v>52</v>
      </c>
      <c r="G1347" t="s">
        <v>60</v>
      </c>
      <c r="H1347" t="s">
        <v>70</v>
      </c>
      <c r="I1347">
        <v>0</v>
      </c>
      <c r="J1347">
        <v>0</v>
      </c>
      <c r="K1347" t="s">
        <v>47</v>
      </c>
      <c r="L1347" t="s">
        <v>47</v>
      </c>
      <c r="M1347" t="s">
        <v>46</v>
      </c>
      <c r="N1347" t="s">
        <v>48</v>
      </c>
      <c r="O1347" t="s">
        <v>63</v>
      </c>
      <c r="P1347">
        <v>26.4</v>
      </c>
      <c r="Q1347" t="s">
        <v>48</v>
      </c>
      <c r="R1347" t="s">
        <v>46</v>
      </c>
      <c r="S1347" t="s">
        <v>47</v>
      </c>
      <c r="T1347" t="s">
        <v>47</v>
      </c>
      <c r="U1347" t="s">
        <v>47</v>
      </c>
      <c r="V1347" t="s">
        <v>51</v>
      </c>
      <c r="W1347" t="s">
        <v>47</v>
      </c>
      <c r="X1347" t="s">
        <v>46</v>
      </c>
      <c r="Y1347" t="s">
        <v>47</v>
      </c>
      <c r="Z1347" t="s">
        <v>47</v>
      </c>
      <c r="AA1347" t="s">
        <v>46</v>
      </c>
      <c r="AB1347" t="s">
        <v>46</v>
      </c>
      <c r="AC1347" t="s">
        <v>47</v>
      </c>
      <c r="AD1347" t="s">
        <v>46</v>
      </c>
      <c r="AE1347" t="s">
        <v>47</v>
      </c>
      <c r="AF1347" t="s">
        <v>47</v>
      </c>
      <c r="AG1347" t="s">
        <v>121</v>
      </c>
      <c r="AH1347" t="s">
        <v>122</v>
      </c>
      <c r="AI1347" t="s">
        <v>87</v>
      </c>
      <c r="AJ1347">
        <v>3.7</v>
      </c>
      <c r="AK1347" t="s">
        <v>47</v>
      </c>
      <c r="AL1347" t="s">
        <v>66</v>
      </c>
      <c r="AM1347" t="s">
        <v>118</v>
      </c>
      <c r="AN1347">
        <v>48</v>
      </c>
      <c r="AO1347" t="s">
        <v>47</v>
      </c>
    </row>
    <row r="1348" spans="1:41">
      <c r="A1348" t="s">
        <v>1500</v>
      </c>
      <c r="B1348">
        <v>2023</v>
      </c>
      <c r="C1348" s="1">
        <v>45150</v>
      </c>
      <c r="D1348" t="s">
        <v>95</v>
      </c>
      <c r="E1348" t="s">
        <v>255</v>
      </c>
      <c r="F1348">
        <v>82</v>
      </c>
      <c r="G1348" t="s">
        <v>60</v>
      </c>
      <c r="H1348" t="s">
        <v>70</v>
      </c>
      <c r="I1348">
        <v>0</v>
      </c>
      <c r="J1348">
        <v>0</v>
      </c>
      <c r="K1348" t="s">
        <v>47</v>
      </c>
      <c r="L1348" t="s">
        <v>47</v>
      </c>
      <c r="M1348" t="s">
        <v>47</v>
      </c>
      <c r="N1348" t="s">
        <v>48</v>
      </c>
      <c r="O1348" t="s">
        <v>48</v>
      </c>
      <c r="P1348">
        <v>29.7</v>
      </c>
      <c r="Q1348" t="s">
        <v>62</v>
      </c>
      <c r="R1348" t="s">
        <v>47</v>
      </c>
      <c r="S1348" t="s">
        <v>47</v>
      </c>
      <c r="T1348" t="s">
        <v>47</v>
      </c>
      <c r="U1348" t="s">
        <v>47</v>
      </c>
      <c r="V1348" t="s">
        <v>86</v>
      </c>
      <c r="W1348" t="s">
        <v>46</v>
      </c>
      <c r="X1348" t="s">
        <v>47</v>
      </c>
      <c r="Y1348" t="s">
        <v>47</v>
      </c>
      <c r="Z1348" t="s">
        <v>47</v>
      </c>
      <c r="AA1348" t="s">
        <v>46</v>
      </c>
      <c r="AB1348" t="s">
        <v>47</v>
      </c>
      <c r="AC1348" t="s">
        <v>47</v>
      </c>
      <c r="AD1348" t="s">
        <v>47</v>
      </c>
      <c r="AE1348" t="s">
        <v>47</v>
      </c>
      <c r="AF1348" t="s">
        <v>47</v>
      </c>
      <c r="AG1348" t="s">
        <v>52</v>
      </c>
      <c r="AH1348" t="s">
        <v>53</v>
      </c>
      <c r="AI1348" t="s">
        <v>80</v>
      </c>
      <c r="AJ1348">
        <v>5.4</v>
      </c>
      <c r="AK1348" t="s">
        <v>47</v>
      </c>
      <c r="AL1348" t="s">
        <v>76</v>
      </c>
      <c r="AM1348" t="s">
        <v>77</v>
      </c>
      <c r="AN1348">
        <v>29</v>
      </c>
      <c r="AO1348" t="s">
        <v>47</v>
      </c>
    </row>
    <row r="1349" spans="1:41">
      <c r="A1349" t="s">
        <v>1501</v>
      </c>
      <c r="B1349">
        <v>2025</v>
      </c>
      <c r="C1349" s="1">
        <v>45894</v>
      </c>
      <c r="D1349" t="s">
        <v>42</v>
      </c>
      <c r="E1349" t="s">
        <v>160</v>
      </c>
      <c r="F1349">
        <v>75</v>
      </c>
      <c r="G1349" t="s">
        <v>60</v>
      </c>
      <c r="H1349" t="s">
        <v>70</v>
      </c>
      <c r="I1349">
        <v>0</v>
      </c>
      <c r="J1349">
        <v>0</v>
      </c>
      <c r="K1349" t="s">
        <v>47</v>
      </c>
      <c r="L1349" t="s">
        <v>47</v>
      </c>
      <c r="M1349" t="s">
        <v>47</v>
      </c>
      <c r="N1349" t="s">
        <v>62</v>
      </c>
      <c r="O1349" t="s">
        <v>63</v>
      </c>
      <c r="P1349">
        <v>28</v>
      </c>
      <c r="Q1349" t="s">
        <v>48</v>
      </c>
      <c r="R1349" t="s">
        <v>47</v>
      </c>
      <c r="S1349" t="s">
        <v>47</v>
      </c>
      <c r="T1349" t="s">
        <v>47</v>
      </c>
      <c r="U1349" t="s">
        <v>47</v>
      </c>
      <c r="V1349" t="s">
        <v>86</v>
      </c>
      <c r="W1349" t="s">
        <v>47</v>
      </c>
      <c r="X1349" t="s">
        <v>47</v>
      </c>
      <c r="Y1349" t="s">
        <v>47</v>
      </c>
      <c r="Z1349" t="s">
        <v>46</v>
      </c>
      <c r="AA1349" t="s">
        <v>46</v>
      </c>
      <c r="AB1349" t="s">
        <v>47</v>
      </c>
      <c r="AC1349" t="s">
        <v>47</v>
      </c>
      <c r="AD1349" t="s">
        <v>47</v>
      </c>
      <c r="AE1349" t="s">
        <v>47</v>
      </c>
      <c r="AF1349" t="s">
        <v>47</v>
      </c>
      <c r="AG1349" t="s">
        <v>52</v>
      </c>
      <c r="AH1349" t="s">
        <v>53</v>
      </c>
      <c r="AI1349" t="s">
        <v>80</v>
      </c>
      <c r="AJ1349">
        <v>3.4</v>
      </c>
      <c r="AK1349" t="s">
        <v>47</v>
      </c>
      <c r="AL1349" t="s">
        <v>66</v>
      </c>
      <c r="AM1349" t="s">
        <v>103</v>
      </c>
      <c r="AN1349">
        <v>8</v>
      </c>
      <c r="AO1349" t="s">
        <v>47</v>
      </c>
    </row>
    <row r="1350" spans="1:41">
      <c r="A1350" t="s">
        <v>1502</v>
      </c>
      <c r="B1350">
        <v>2024</v>
      </c>
      <c r="C1350" s="1">
        <v>45644</v>
      </c>
      <c r="D1350" t="s">
        <v>110</v>
      </c>
      <c r="E1350" t="s">
        <v>236</v>
      </c>
      <c r="F1350">
        <v>51</v>
      </c>
      <c r="G1350" t="s">
        <v>60</v>
      </c>
      <c r="H1350" t="s">
        <v>70</v>
      </c>
      <c r="I1350">
        <v>0</v>
      </c>
      <c r="J1350">
        <v>0</v>
      </c>
      <c r="K1350" t="s">
        <v>47</v>
      </c>
      <c r="L1350" t="s">
        <v>46</v>
      </c>
      <c r="M1350" t="s">
        <v>47</v>
      </c>
      <c r="N1350" t="s">
        <v>48</v>
      </c>
      <c r="O1350" t="s">
        <v>48</v>
      </c>
      <c r="P1350">
        <v>23</v>
      </c>
      <c r="Q1350" t="s">
        <v>48</v>
      </c>
      <c r="R1350" t="s">
        <v>47</v>
      </c>
      <c r="S1350" t="s">
        <v>47</v>
      </c>
      <c r="T1350" t="s">
        <v>47</v>
      </c>
      <c r="U1350" t="s">
        <v>47</v>
      </c>
      <c r="V1350" t="s">
        <v>86</v>
      </c>
      <c r="W1350" t="s">
        <v>46</v>
      </c>
      <c r="X1350" t="s">
        <v>46</v>
      </c>
      <c r="Y1350" t="s">
        <v>47</v>
      </c>
      <c r="Z1350" t="s">
        <v>47</v>
      </c>
      <c r="AA1350" t="s">
        <v>46</v>
      </c>
      <c r="AB1350" t="s">
        <v>46</v>
      </c>
      <c r="AC1350" t="s">
        <v>46</v>
      </c>
      <c r="AD1350" t="s">
        <v>46</v>
      </c>
      <c r="AE1350" t="s">
        <v>47</v>
      </c>
      <c r="AF1350" t="s">
        <v>47</v>
      </c>
      <c r="AG1350" t="s">
        <v>121</v>
      </c>
      <c r="AH1350" t="s">
        <v>122</v>
      </c>
      <c r="AI1350" t="s">
        <v>87</v>
      </c>
      <c r="AJ1350">
        <v>5.2</v>
      </c>
      <c r="AK1350" t="s">
        <v>47</v>
      </c>
      <c r="AL1350" t="s">
        <v>81</v>
      </c>
      <c r="AM1350" t="s">
        <v>103</v>
      </c>
      <c r="AN1350">
        <v>53</v>
      </c>
      <c r="AO1350" t="s">
        <v>47</v>
      </c>
    </row>
    <row r="1351" spans="1:41">
      <c r="A1351" t="s">
        <v>1503</v>
      </c>
      <c r="B1351">
        <v>2025</v>
      </c>
      <c r="C1351" s="1">
        <v>45717</v>
      </c>
      <c r="D1351" t="s">
        <v>58</v>
      </c>
      <c r="E1351" t="s">
        <v>229</v>
      </c>
      <c r="F1351">
        <v>71</v>
      </c>
      <c r="G1351" t="s">
        <v>60</v>
      </c>
      <c r="H1351" t="s">
        <v>70</v>
      </c>
      <c r="I1351">
        <v>0</v>
      </c>
      <c r="J1351">
        <v>0</v>
      </c>
      <c r="K1351" t="s">
        <v>46</v>
      </c>
      <c r="L1351" t="s">
        <v>47</v>
      </c>
      <c r="M1351" t="s">
        <v>47</v>
      </c>
      <c r="N1351" t="s">
        <v>48</v>
      </c>
      <c r="O1351" t="s">
        <v>49</v>
      </c>
      <c r="P1351">
        <v>26.1</v>
      </c>
      <c r="Q1351" t="s">
        <v>48</v>
      </c>
      <c r="R1351" t="s">
        <v>47</v>
      </c>
      <c r="S1351" t="s">
        <v>47</v>
      </c>
      <c r="T1351" t="s">
        <v>47</v>
      </c>
      <c r="U1351" t="s">
        <v>47</v>
      </c>
      <c r="V1351" t="s">
        <v>51</v>
      </c>
      <c r="W1351" t="s">
        <v>47</v>
      </c>
      <c r="X1351" t="s">
        <v>46</v>
      </c>
      <c r="Y1351" t="s">
        <v>47</v>
      </c>
      <c r="Z1351" t="s">
        <v>46</v>
      </c>
      <c r="AA1351" t="s">
        <v>46</v>
      </c>
      <c r="AB1351" t="s">
        <v>46</v>
      </c>
      <c r="AC1351" t="s">
        <v>47</v>
      </c>
      <c r="AD1351" t="s">
        <v>47</v>
      </c>
      <c r="AE1351" t="s">
        <v>47</v>
      </c>
      <c r="AF1351" t="s">
        <v>47</v>
      </c>
      <c r="AG1351" t="s">
        <v>52</v>
      </c>
      <c r="AH1351" t="s">
        <v>53</v>
      </c>
      <c r="AI1351" t="s">
        <v>87</v>
      </c>
      <c r="AJ1351">
        <v>6.2</v>
      </c>
      <c r="AK1351" t="s">
        <v>47</v>
      </c>
      <c r="AL1351" t="s">
        <v>76</v>
      </c>
      <c r="AM1351" t="s">
        <v>103</v>
      </c>
      <c r="AN1351">
        <v>39</v>
      </c>
      <c r="AO1351" t="s">
        <v>46</v>
      </c>
    </row>
    <row r="1352" spans="1:41">
      <c r="A1352" t="s">
        <v>1504</v>
      </c>
      <c r="B1352">
        <v>2024</v>
      </c>
      <c r="C1352" s="1">
        <v>45299</v>
      </c>
      <c r="D1352" t="s">
        <v>42</v>
      </c>
      <c r="E1352" t="s">
        <v>75</v>
      </c>
      <c r="F1352">
        <v>60</v>
      </c>
      <c r="G1352" t="s">
        <v>44</v>
      </c>
      <c r="H1352" t="s">
        <v>45</v>
      </c>
      <c r="I1352">
        <v>33</v>
      </c>
      <c r="J1352">
        <v>38</v>
      </c>
      <c r="K1352" t="s">
        <v>46</v>
      </c>
      <c r="L1352" t="s">
        <v>47</v>
      </c>
      <c r="M1352" t="s">
        <v>47</v>
      </c>
      <c r="N1352" t="s">
        <v>62</v>
      </c>
      <c r="O1352" t="s">
        <v>63</v>
      </c>
      <c r="P1352">
        <v>32.6</v>
      </c>
      <c r="Q1352" t="s">
        <v>62</v>
      </c>
      <c r="R1352" t="s">
        <v>46</v>
      </c>
      <c r="S1352" t="s">
        <v>47</v>
      </c>
      <c r="T1352" t="s">
        <v>47</v>
      </c>
      <c r="U1352" t="s">
        <v>47</v>
      </c>
      <c r="V1352" t="s">
        <v>64</v>
      </c>
      <c r="W1352" t="s">
        <v>46</v>
      </c>
      <c r="X1352" t="s">
        <v>46</v>
      </c>
      <c r="Y1352" t="s">
        <v>47</v>
      </c>
      <c r="Z1352" t="s">
        <v>46</v>
      </c>
      <c r="AA1352" t="s">
        <v>46</v>
      </c>
      <c r="AB1352" t="s">
        <v>46</v>
      </c>
      <c r="AC1352" t="s">
        <v>47</v>
      </c>
      <c r="AD1352" t="s">
        <v>46</v>
      </c>
      <c r="AE1352" t="s">
        <v>46</v>
      </c>
      <c r="AF1352" t="s">
        <v>47</v>
      </c>
      <c r="AG1352" t="s">
        <v>52</v>
      </c>
      <c r="AH1352" t="s">
        <v>53</v>
      </c>
      <c r="AI1352" t="s">
        <v>54</v>
      </c>
      <c r="AJ1352">
        <v>6.4</v>
      </c>
      <c r="AK1352" t="s">
        <v>46</v>
      </c>
      <c r="AL1352" t="s">
        <v>76</v>
      </c>
      <c r="AM1352" t="s">
        <v>77</v>
      </c>
      <c r="AN1352">
        <v>10</v>
      </c>
      <c r="AO1352" t="s">
        <v>47</v>
      </c>
    </row>
    <row r="1353" spans="1:41">
      <c r="A1353" t="s">
        <v>1505</v>
      </c>
      <c r="B1353">
        <v>2025</v>
      </c>
      <c r="C1353" s="1">
        <v>45829</v>
      </c>
      <c r="D1353" t="s">
        <v>42</v>
      </c>
      <c r="E1353" t="s">
        <v>43</v>
      </c>
      <c r="F1353">
        <v>64</v>
      </c>
      <c r="G1353" t="s">
        <v>60</v>
      </c>
      <c r="H1353" t="s">
        <v>70</v>
      </c>
      <c r="I1353">
        <v>0</v>
      </c>
      <c r="J1353">
        <v>0</v>
      </c>
      <c r="K1353" t="s">
        <v>47</v>
      </c>
      <c r="L1353" t="s">
        <v>47</v>
      </c>
      <c r="M1353" t="s">
        <v>46</v>
      </c>
      <c r="N1353" t="s">
        <v>62</v>
      </c>
      <c r="O1353" t="s">
        <v>48</v>
      </c>
      <c r="P1353">
        <v>33.200000000000003</v>
      </c>
      <c r="Q1353" t="s">
        <v>50</v>
      </c>
      <c r="R1353" t="s">
        <v>47</v>
      </c>
      <c r="S1353" t="s">
        <v>46</v>
      </c>
      <c r="T1353" t="s">
        <v>47</v>
      </c>
      <c r="U1353" t="s">
        <v>47</v>
      </c>
      <c r="V1353" t="s">
        <v>51</v>
      </c>
      <c r="W1353" t="s">
        <v>47</v>
      </c>
      <c r="X1353" t="s">
        <v>47</v>
      </c>
      <c r="Y1353" t="s">
        <v>47</v>
      </c>
      <c r="Z1353" t="s">
        <v>47</v>
      </c>
      <c r="AA1353" t="s">
        <v>46</v>
      </c>
      <c r="AB1353" t="s">
        <v>47</v>
      </c>
      <c r="AC1353" t="s">
        <v>47</v>
      </c>
      <c r="AD1353" t="s">
        <v>46</v>
      </c>
      <c r="AE1353" t="s">
        <v>46</v>
      </c>
      <c r="AF1353" t="s">
        <v>47</v>
      </c>
      <c r="AG1353" t="s">
        <v>52</v>
      </c>
      <c r="AH1353" t="s">
        <v>53</v>
      </c>
      <c r="AI1353" t="s">
        <v>87</v>
      </c>
      <c r="AJ1353">
        <v>4</v>
      </c>
      <c r="AK1353" t="s">
        <v>47</v>
      </c>
      <c r="AL1353" t="s">
        <v>66</v>
      </c>
      <c r="AM1353" t="s">
        <v>73</v>
      </c>
      <c r="AN1353">
        <v>39</v>
      </c>
      <c r="AO1353" t="s">
        <v>47</v>
      </c>
    </row>
    <row r="1354" spans="1:41">
      <c r="A1354" t="s">
        <v>1506</v>
      </c>
      <c r="B1354">
        <v>2017</v>
      </c>
      <c r="C1354" s="1">
        <v>42887</v>
      </c>
      <c r="D1354" t="s">
        <v>110</v>
      </c>
      <c r="E1354" t="s">
        <v>231</v>
      </c>
      <c r="F1354">
        <v>63</v>
      </c>
      <c r="G1354" t="s">
        <v>44</v>
      </c>
      <c r="H1354" t="s">
        <v>70</v>
      </c>
      <c r="I1354">
        <v>0</v>
      </c>
      <c r="J1354">
        <v>0</v>
      </c>
      <c r="K1354" t="s">
        <v>47</v>
      </c>
      <c r="L1354" t="s">
        <v>46</v>
      </c>
      <c r="M1354" t="s">
        <v>47</v>
      </c>
      <c r="N1354" t="s">
        <v>62</v>
      </c>
      <c r="O1354" t="s">
        <v>63</v>
      </c>
      <c r="P1354">
        <v>26.1</v>
      </c>
      <c r="Q1354" t="s">
        <v>48</v>
      </c>
      <c r="R1354" t="s">
        <v>47</v>
      </c>
      <c r="S1354" t="s">
        <v>47</v>
      </c>
      <c r="T1354" t="s">
        <v>47</v>
      </c>
      <c r="U1354" t="s">
        <v>47</v>
      </c>
      <c r="V1354" t="s">
        <v>64</v>
      </c>
      <c r="W1354" t="s">
        <v>47</v>
      </c>
      <c r="X1354" t="s">
        <v>47</v>
      </c>
      <c r="Y1354" t="s">
        <v>47</v>
      </c>
      <c r="Z1354" t="s">
        <v>47</v>
      </c>
      <c r="AA1354" t="s">
        <v>46</v>
      </c>
      <c r="AB1354" t="s">
        <v>46</v>
      </c>
      <c r="AC1354" t="s">
        <v>47</v>
      </c>
      <c r="AD1354" t="s">
        <v>46</v>
      </c>
      <c r="AE1354" t="s">
        <v>47</v>
      </c>
      <c r="AF1354" t="s">
        <v>47</v>
      </c>
      <c r="AG1354" t="s">
        <v>52</v>
      </c>
      <c r="AH1354" t="s">
        <v>53</v>
      </c>
      <c r="AI1354" t="s">
        <v>87</v>
      </c>
      <c r="AJ1354">
        <v>4.5999999999999996</v>
      </c>
      <c r="AK1354" t="s">
        <v>47</v>
      </c>
      <c r="AL1354" t="s">
        <v>76</v>
      </c>
      <c r="AM1354" t="s">
        <v>67</v>
      </c>
      <c r="AN1354">
        <v>34</v>
      </c>
      <c r="AO1354" t="s">
        <v>46</v>
      </c>
    </row>
    <row r="1355" spans="1:41">
      <c r="A1355" t="s">
        <v>1507</v>
      </c>
      <c r="B1355">
        <v>2021</v>
      </c>
      <c r="C1355" s="1">
        <v>44554</v>
      </c>
      <c r="D1355" t="s">
        <v>84</v>
      </c>
      <c r="E1355" t="s">
        <v>184</v>
      </c>
      <c r="F1355">
        <v>78</v>
      </c>
      <c r="G1355" t="s">
        <v>60</v>
      </c>
      <c r="H1355" t="s">
        <v>70</v>
      </c>
      <c r="I1355">
        <v>0</v>
      </c>
      <c r="J1355">
        <v>0</v>
      </c>
      <c r="K1355" t="s">
        <v>47</v>
      </c>
      <c r="L1355" t="s">
        <v>46</v>
      </c>
      <c r="M1355" t="s">
        <v>47</v>
      </c>
      <c r="N1355" t="s">
        <v>50</v>
      </c>
      <c r="O1355" t="s">
        <v>48</v>
      </c>
      <c r="P1355">
        <v>23.2</v>
      </c>
      <c r="Q1355" t="s">
        <v>48</v>
      </c>
      <c r="R1355" t="s">
        <v>47</v>
      </c>
      <c r="S1355" t="s">
        <v>47</v>
      </c>
      <c r="T1355" t="s">
        <v>47</v>
      </c>
      <c r="U1355" t="s">
        <v>47</v>
      </c>
      <c r="V1355" t="s">
        <v>86</v>
      </c>
      <c r="W1355" t="s">
        <v>47</v>
      </c>
      <c r="X1355" t="s">
        <v>47</v>
      </c>
      <c r="Y1355" t="s">
        <v>46</v>
      </c>
      <c r="Z1355" t="s">
        <v>47</v>
      </c>
      <c r="AA1355" t="s">
        <v>47</v>
      </c>
      <c r="AB1355" t="s">
        <v>47</v>
      </c>
      <c r="AC1355" t="s">
        <v>47</v>
      </c>
      <c r="AD1355" t="s">
        <v>47</v>
      </c>
      <c r="AE1355" t="s">
        <v>47</v>
      </c>
      <c r="AF1355" t="s">
        <v>47</v>
      </c>
      <c r="AG1355" t="s">
        <v>52</v>
      </c>
      <c r="AH1355" t="s">
        <v>53</v>
      </c>
      <c r="AI1355" t="s">
        <v>87</v>
      </c>
      <c r="AJ1355">
        <v>4.5</v>
      </c>
      <c r="AK1355" t="s">
        <v>46</v>
      </c>
      <c r="AL1355" t="s">
        <v>76</v>
      </c>
      <c r="AM1355" t="s">
        <v>73</v>
      </c>
      <c r="AN1355">
        <v>43</v>
      </c>
      <c r="AO1355" t="s">
        <v>47</v>
      </c>
    </row>
    <row r="1356" spans="1:41">
      <c r="A1356" t="s">
        <v>1508</v>
      </c>
      <c r="B1356">
        <v>2024</v>
      </c>
      <c r="C1356" s="1">
        <v>45329</v>
      </c>
      <c r="D1356" t="s">
        <v>95</v>
      </c>
      <c r="E1356" t="s">
        <v>147</v>
      </c>
      <c r="F1356">
        <v>75</v>
      </c>
      <c r="G1356" t="s">
        <v>60</v>
      </c>
      <c r="H1356" t="s">
        <v>61</v>
      </c>
      <c r="I1356">
        <v>14</v>
      </c>
      <c r="J1356">
        <v>7</v>
      </c>
      <c r="K1356" t="s">
        <v>46</v>
      </c>
      <c r="L1356" t="s">
        <v>47</v>
      </c>
      <c r="M1356" t="s">
        <v>47</v>
      </c>
      <c r="N1356" t="s">
        <v>48</v>
      </c>
      <c r="O1356" t="s">
        <v>48</v>
      </c>
      <c r="P1356">
        <v>26.1</v>
      </c>
      <c r="Q1356" t="s">
        <v>62</v>
      </c>
      <c r="R1356" t="s">
        <v>46</v>
      </c>
      <c r="S1356" t="s">
        <v>47</v>
      </c>
      <c r="T1356" t="s">
        <v>47</v>
      </c>
      <c r="U1356" t="s">
        <v>47</v>
      </c>
      <c r="V1356" t="s">
        <v>51</v>
      </c>
      <c r="W1356" t="s">
        <v>47</v>
      </c>
      <c r="X1356" t="s">
        <v>46</v>
      </c>
      <c r="Y1356" t="s">
        <v>47</v>
      </c>
      <c r="Z1356" t="s">
        <v>47</v>
      </c>
      <c r="AA1356" t="s">
        <v>47</v>
      </c>
      <c r="AB1356" t="s">
        <v>47</v>
      </c>
      <c r="AC1356" t="s">
        <v>47</v>
      </c>
      <c r="AD1356" t="s">
        <v>46</v>
      </c>
      <c r="AE1356" t="s">
        <v>47</v>
      </c>
      <c r="AF1356" t="s">
        <v>47</v>
      </c>
      <c r="AG1356" t="s">
        <v>52</v>
      </c>
      <c r="AH1356" t="s">
        <v>90</v>
      </c>
      <c r="AI1356" t="s">
        <v>54</v>
      </c>
      <c r="AJ1356">
        <v>8.1999999999999993</v>
      </c>
      <c r="AK1356" t="s">
        <v>46</v>
      </c>
      <c r="AL1356" t="s">
        <v>81</v>
      </c>
      <c r="AM1356" t="s">
        <v>82</v>
      </c>
      <c r="AN1356">
        <v>7</v>
      </c>
      <c r="AO1356" t="s">
        <v>46</v>
      </c>
    </row>
    <row r="1357" spans="1:41">
      <c r="A1357" t="s">
        <v>1509</v>
      </c>
      <c r="B1357">
        <v>2022</v>
      </c>
      <c r="C1357" s="1">
        <v>44665</v>
      </c>
      <c r="D1357" t="s">
        <v>110</v>
      </c>
      <c r="E1357" t="s">
        <v>225</v>
      </c>
      <c r="F1357">
        <v>64</v>
      </c>
      <c r="G1357" t="s">
        <v>60</v>
      </c>
      <c r="H1357" t="s">
        <v>70</v>
      </c>
      <c r="I1357">
        <v>0</v>
      </c>
      <c r="J1357">
        <v>0</v>
      </c>
      <c r="K1357" t="s">
        <v>47</v>
      </c>
      <c r="L1357" t="s">
        <v>46</v>
      </c>
      <c r="M1357" t="s">
        <v>46</v>
      </c>
      <c r="N1357" t="s">
        <v>62</v>
      </c>
      <c r="O1357" t="s">
        <v>49</v>
      </c>
      <c r="P1357">
        <v>28.8</v>
      </c>
      <c r="Q1357" t="s">
        <v>48</v>
      </c>
      <c r="R1357" t="s">
        <v>47</v>
      </c>
      <c r="S1357" t="s">
        <v>47</v>
      </c>
      <c r="T1357" t="s">
        <v>47</v>
      </c>
      <c r="U1357" t="s">
        <v>46</v>
      </c>
      <c r="V1357" t="s">
        <v>51</v>
      </c>
      <c r="W1357" t="s">
        <v>46</v>
      </c>
      <c r="X1357" t="s">
        <v>47</v>
      </c>
      <c r="Y1357" t="s">
        <v>47</v>
      </c>
      <c r="Z1357" t="s">
        <v>47</v>
      </c>
      <c r="AA1357" t="s">
        <v>46</v>
      </c>
      <c r="AB1357" t="s">
        <v>47</v>
      </c>
      <c r="AC1357" t="s">
        <v>47</v>
      </c>
      <c r="AD1357" t="s">
        <v>47</v>
      </c>
      <c r="AE1357" t="s">
        <v>47</v>
      </c>
      <c r="AF1357" t="s">
        <v>47</v>
      </c>
      <c r="AG1357" t="s">
        <v>52</v>
      </c>
      <c r="AH1357" t="s">
        <v>53</v>
      </c>
      <c r="AI1357" t="s">
        <v>54</v>
      </c>
      <c r="AJ1357">
        <v>3.9</v>
      </c>
      <c r="AK1357" t="s">
        <v>46</v>
      </c>
      <c r="AL1357" t="s">
        <v>76</v>
      </c>
      <c r="AM1357" t="s">
        <v>103</v>
      </c>
      <c r="AN1357">
        <v>6</v>
      </c>
      <c r="AO1357" t="s">
        <v>47</v>
      </c>
    </row>
    <row r="1358" spans="1:41">
      <c r="A1358" t="s">
        <v>1510</v>
      </c>
      <c r="B1358">
        <v>2018</v>
      </c>
      <c r="C1358" s="1">
        <v>43105</v>
      </c>
      <c r="D1358" t="s">
        <v>58</v>
      </c>
      <c r="E1358" t="s">
        <v>134</v>
      </c>
      <c r="F1358">
        <v>51</v>
      </c>
      <c r="G1358" t="s">
        <v>44</v>
      </c>
      <c r="H1358" t="s">
        <v>70</v>
      </c>
      <c r="I1358">
        <v>0</v>
      </c>
      <c r="J1358">
        <v>0</v>
      </c>
      <c r="K1358" t="s">
        <v>46</v>
      </c>
      <c r="L1358" t="s">
        <v>46</v>
      </c>
      <c r="M1358" t="s">
        <v>47</v>
      </c>
      <c r="N1358" t="s">
        <v>48</v>
      </c>
      <c r="O1358" t="s">
        <v>63</v>
      </c>
      <c r="P1358">
        <v>16</v>
      </c>
      <c r="Q1358" t="s">
        <v>48</v>
      </c>
      <c r="R1358" t="s">
        <v>46</v>
      </c>
      <c r="S1358" t="s">
        <v>47</v>
      </c>
      <c r="T1358" t="s">
        <v>47</v>
      </c>
      <c r="U1358" t="s">
        <v>47</v>
      </c>
      <c r="V1358" t="s">
        <v>64</v>
      </c>
      <c r="W1358" t="s">
        <v>47</v>
      </c>
      <c r="X1358" t="s">
        <v>47</v>
      </c>
      <c r="Y1358" t="s">
        <v>47</v>
      </c>
      <c r="Z1358" t="s">
        <v>47</v>
      </c>
      <c r="AA1358" t="s">
        <v>46</v>
      </c>
      <c r="AB1358" t="s">
        <v>47</v>
      </c>
      <c r="AC1358" t="s">
        <v>47</v>
      </c>
      <c r="AD1358" t="s">
        <v>47</v>
      </c>
      <c r="AE1358" t="s">
        <v>47</v>
      </c>
      <c r="AF1358" t="s">
        <v>46</v>
      </c>
      <c r="AG1358" t="s">
        <v>52</v>
      </c>
      <c r="AH1358" t="s">
        <v>90</v>
      </c>
      <c r="AI1358" t="s">
        <v>87</v>
      </c>
      <c r="AJ1358">
        <v>4.2</v>
      </c>
      <c r="AK1358" t="s">
        <v>47</v>
      </c>
      <c r="AL1358" t="s">
        <v>81</v>
      </c>
      <c r="AM1358" t="s">
        <v>67</v>
      </c>
      <c r="AN1358">
        <v>6</v>
      </c>
      <c r="AO1358" t="s">
        <v>47</v>
      </c>
    </row>
    <row r="1359" spans="1:41">
      <c r="A1359" t="s">
        <v>1511</v>
      </c>
      <c r="B1359">
        <v>2021</v>
      </c>
      <c r="C1359" s="1">
        <v>44229</v>
      </c>
      <c r="D1359" t="s">
        <v>110</v>
      </c>
      <c r="E1359" t="s">
        <v>236</v>
      </c>
      <c r="F1359">
        <v>58</v>
      </c>
      <c r="G1359" t="s">
        <v>60</v>
      </c>
      <c r="H1359" t="s">
        <v>61</v>
      </c>
      <c r="I1359">
        <v>3</v>
      </c>
      <c r="J1359">
        <v>4</v>
      </c>
      <c r="K1359" t="s">
        <v>46</v>
      </c>
      <c r="L1359" t="s">
        <v>46</v>
      </c>
      <c r="M1359" t="s">
        <v>46</v>
      </c>
      <c r="N1359" t="s">
        <v>62</v>
      </c>
      <c r="O1359" t="s">
        <v>63</v>
      </c>
      <c r="P1359">
        <v>35.700000000000003</v>
      </c>
      <c r="Q1359" t="s">
        <v>50</v>
      </c>
      <c r="R1359" t="s">
        <v>47</v>
      </c>
      <c r="S1359" t="s">
        <v>47</v>
      </c>
      <c r="T1359" t="s">
        <v>47</v>
      </c>
      <c r="U1359" t="s">
        <v>47</v>
      </c>
      <c r="V1359" t="s">
        <v>51</v>
      </c>
      <c r="W1359" t="s">
        <v>47</v>
      </c>
      <c r="X1359" t="s">
        <v>47</v>
      </c>
      <c r="Y1359" t="s">
        <v>46</v>
      </c>
      <c r="Z1359" t="s">
        <v>46</v>
      </c>
      <c r="AA1359" t="s">
        <v>46</v>
      </c>
      <c r="AB1359" t="s">
        <v>46</v>
      </c>
      <c r="AC1359" t="s">
        <v>47</v>
      </c>
      <c r="AD1359" t="s">
        <v>47</v>
      </c>
      <c r="AE1359" t="s">
        <v>47</v>
      </c>
      <c r="AF1359" t="s">
        <v>47</v>
      </c>
      <c r="AG1359" t="s">
        <v>52</v>
      </c>
      <c r="AH1359" t="s">
        <v>53</v>
      </c>
      <c r="AI1359" t="s">
        <v>87</v>
      </c>
      <c r="AJ1359">
        <v>4.0999999999999996</v>
      </c>
      <c r="AK1359" t="s">
        <v>47</v>
      </c>
      <c r="AL1359" t="s">
        <v>81</v>
      </c>
      <c r="AM1359" t="s">
        <v>82</v>
      </c>
      <c r="AN1359">
        <v>24</v>
      </c>
      <c r="AO1359" t="s">
        <v>47</v>
      </c>
    </row>
    <row r="1360" spans="1:41">
      <c r="A1360" t="s">
        <v>1512</v>
      </c>
      <c r="B1360">
        <v>2025</v>
      </c>
      <c r="C1360" s="1">
        <v>45914</v>
      </c>
      <c r="D1360" t="s">
        <v>84</v>
      </c>
      <c r="E1360" t="s">
        <v>189</v>
      </c>
      <c r="F1360">
        <v>75</v>
      </c>
      <c r="G1360" t="s">
        <v>60</v>
      </c>
      <c r="H1360" t="s">
        <v>70</v>
      </c>
      <c r="I1360">
        <v>0</v>
      </c>
      <c r="J1360">
        <v>0</v>
      </c>
      <c r="K1360" t="s">
        <v>47</v>
      </c>
      <c r="L1360" t="s">
        <v>47</v>
      </c>
      <c r="M1360" t="s">
        <v>47</v>
      </c>
      <c r="N1360" t="s">
        <v>50</v>
      </c>
      <c r="O1360" t="s">
        <v>63</v>
      </c>
      <c r="P1360">
        <v>30.3</v>
      </c>
      <c r="Q1360" t="s">
        <v>48</v>
      </c>
      <c r="R1360" t="s">
        <v>47</v>
      </c>
      <c r="S1360" t="s">
        <v>47</v>
      </c>
      <c r="T1360" t="s">
        <v>47</v>
      </c>
      <c r="U1360" t="s">
        <v>47</v>
      </c>
      <c r="V1360" t="s">
        <v>51</v>
      </c>
      <c r="W1360" t="s">
        <v>47</v>
      </c>
      <c r="X1360" t="s">
        <v>47</v>
      </c>
      <c r="Y1360" t="s">
        <v>47</v>
      </c>
      <c r="Z1360" t="s">
        <v>47</v>
      </c>
      <c r="AA1360" t="s">
        <v>47</v>
      </c>
      <c r="AB1360" t="s">
        <v>47</v>
      </c>
      <c r="AC1360" t="s">
        <v>46</v>
      </c>
      <c r="AD1360" t="s">
        <v>47</v>
      </c>
      <c r="AE1360" t="s">
        <v>47</v>
      </c>
      <c r="AF1360" t="s">
        <v>46</v>
      </c>
      <c r="AG1360" t="s">
        <v>52</v>
      </c>
      <c r="AH1360" t="s">
        <v>53</v>
      </c>
      <c r="AI1360" t="s">
        <v>54</v>
      </c>
      <c r="AJ1360">
        <v>3.5</v>
      </c>
      <c r="AK1360" t="s">
        <v>46</v>
      </c>
      <c r="AL1360" t="s">
        <v>76</v>
      </c>
      <c r="AM1360" t="s">
        <v>265</v>
      </c>
      <c r="AN1360">
        <v>7</v>
      </c>
      <c r="AO1360" t="s">
        <v>47</v>
      </c>
    </row>
    <row r="1361" spans="1:41">
      <c r="A1361" t="s">
        <v>1513</v>
      </c>
      <c r="B1361">
        <v>2025</v>
      </c>
      <c r="C1361" s="1">
        <v>45893</v>
      </c>
      <c r="D1361" t="s">
        <v>95</v>
      </c>
      <c r="E1361" t="s">
        <v>120</v>
      </c>
      <c r="F1361">
        <v>60</v>
      </c>
      <c r="G1361" t="s">
        <v>60</v>
      </c>
      <c r="H1361" t="s">
        <v>70</v>
      </c>
      <c r="I1361">
        <v>0</v>
      </c>
      <c r="J1361">
        <v>0</v>
      </c>
      <c r="K1361" t="s">
        <v>47</v>
      </c>
      <c r="L1361" t="s">
        <v>47</v>
      </c>
      <c r="M1361" t="s">
        <v>46</v>
      </c>
      <c r="N1361" t="s">
        <v>62</v>
      </c>
      <c r="O1361" t="s">
        <v>48</v>
      </c>
      <c r="P1361">
        <v>19.5</v>
      </c>
      <c r="Q1361" t="s">
        <v>62</v>
      </c>
      <c r="R1361" t="s">
        <v>47</v>
      </c>
      <c r="S1361" t="s">
        <v>47</v>
      </c>
      <c r="T1361" t="s">
        <v>47</v>
      </c>
      <c r="U1361" t="s">
        <v>47</v>
      </c>
      <c r="V1361" t="s">
        <v>117</v>
      </c>
      <c r="W1361" t="s">
        <v>46</v>
      </c>
      <c r="X1361" t="s">
        <v>47</v>
      </c>
      <c r="Y1361" t="s">
        <v>47</v>
      </c>
      <c r="Z1361" t="s">
        <v>47</v>
      </c>
      <c r="AA1361" t="s">
        <v>46</v>
      </c>
      <c r="AB1361" t="s">
        <v>47</v>
      </c>
      <c r="AC1361" t="s">
        <v>47</v>
      </c>
      <c r="AD1361" t="s">
        <v>46</v>
      </c>
      <c r="AE1361" t="s">
        <v>47</v>
      </c>
      <c r="AF1361" t="s">
        <v>47</v>
      </c>
      <c r="AG1361" t="s">
        <v>52</v>
      </c>
      <c r="AH1361" t="s">
        <v>53</v>
      </c>
      <c r="AI1361" t="s">
        <v>65</v>
      </c>
      <c r="AJ1361">
        <v>2.8</v>
      </c>
      <c r="AK1361" t="s">
        <v>47</v>
      </c>
      <c r="AL1361" t="s">
        <v>81</v>
      </c>
      <c r="AM1361" t="s">
        <v>82</v>
      </c>
      <c r="AN1361">
        <v>37</v>
      </c>
      <c r="AO1361" t="s">
        <v>46</v>
      </c>
    </row>
    <row r="1362" spans="1:41">
      <c r="A1362" t="s">
        <v>1514</v>
      </c>
      <c r="B1362">
        <v>2020</v>
      </c>
      <c r="C1362" s="1">
        <v>44108</v>
      </c>
      <c r="D1362" t="s">
        <v>110</v>
      </c>
      <c r="E1362" t="s">
        <v>116</v>
      </c>
      <c r="F1362">
        <v>69</v>
      </c>
      <c r="G1362" t="s">
        <v>60</v>
      </c>
      <c r="H1362" t="s">
        <v>70</v>
      </c>
      <c r="I1362">
        <v>0</v>
      </c>
      <c r="J1362">
        <v>0</v>
      </c>
      <c r="K1362" t="s">
        <v>46</v>
      </c>
      <c r="L1362" t="s">
        <v>46</v>
      </c>
      <c r="M1362" t="s">
        <v>46</v>
      </c>
      <c r="N1362" t="s">
        <v>62</v>
      </c>
      <c r="O1362" t="s">
        <v>49</v>
      </c>
      <c r="P1362">
        <v>21.8</v>
      </c>
      <c r="Q1362" t="s">
        <v>50</v>
      </c>
      <c r="R1362" t="s">
        <v>47</v>
      </c>
      <c r="S1362" t="s">
        <v>47</v>
      </c>
      <c r="T1362" t="s">
        <v>47</v>
      </c>
      <c r="U1362" t="s">
        <v>47</v>
      </c>
      <c r="V1362" t="s">
        <v>51</v>
      </c>
      <c r="W1362" t="s">
        <v>46</v>
      </c>
      <c r="X1362" t="s">
        <v>47</v>
      </c>
      <c r="Y1362" t="s">
        <v>46</v>
      </c>
      <c r="Z1362" t="s">
        <v>47</v>
      </c>
      <c r="AA1362" t="s">
        <v>46</v>
      </c>
      <c r="AB1362" t="s">
        <v>46</v>
      </c>
      <c r="AC1362" t="s">
        <v>47</v>
      </c>
      <c r="AD1362" t="s">
        <v>46</v>
      </c>
      <c r="AE1362" t="s">
        <v>47</v>
      </c>
      <c r="AF1362" t="s">
        <v>47</v>
      </c>
      <c r="AG1362" t="s">
        <v>52</v>
      </c>
      <c r="AH1362" t="s">
        <v>53</v>
      </c>
      <c r="AI1362" t="s">
        <v>87</v>
      </c>
      <c r="AJ1362">
        <v>4.5</v>
      </c>
      <c r="AK1362" t="s">
        <v>47</v>
      </c>
      <c r="AL1362" t="s">
        <v>81</v>
      </c>
      <c r="AM1362" t="s">
        <v>67</v>
      </c>
      <c r="AN1362">
        <v>42</v>
      </c>
      <c r="AO1362" t="s">
        <v>47</v>
      </c>
    </row>
    <row r="1363" spans="1:41">
      <c r="A1363" t="s">
        <v>1515</v>
      </c>
      <c r="B1363">
        <v>2020</v>
      </c>
      <c r="C1363" s="1">
        <v>43911</v>
      </c>
      <c r="D1363" t="s">
        <v>42</v>
      </c>
      <c r="E1363" t="s">
        <v>79</v>
      </c>
      <c r="F1363">
        <v>61</v>
      </c>
      <c r="G1363" t="s">
        <v>60</v>
      </c>
      <c r="H1363" t="s">
        <v>70</v>
      </c>
      <c r="I1363">
        <v>0</v>
      </c>
      <c r="J1363">
        <v>0</v>
      </c>
      <c r="K1363" t="s">
        <v>46</v>
      </c>
      <c r="L1363" t="s">
        <v>47</v>
      </c>
      <c r="M1363" t="s">
        <v>47</v>
      </c>
      <c r="N1363" t="s">
        <v>62</v>
      </c>
      <c r="O1363" t="s">
        <v>48</v>
      </c>
      <c r="P1363">
        <v>25.4</v>
      </c>
      <c r="Q1363" t="s">
        <v>50</v>
      </c>
      <c r="R1363" t="s">
        <v>47</v>
      </c>
      <c r="S1363" t="s">
        <v>47</v>
      </c>
      <c r="T1363" t="s">
        <v>47</v>
      </c>
      <c r="U1363" t="s">
        <v>47</v>
      </c>
      <c r="V1363" t="s">
        <v>51</v>
      </c>
      <c r="W1363" t="s">
        <v>47</v>
      </c>
      <c r="X1363" t="s">
        <v>47</v>
      </c>
      <c r="Y1363" t="s">
        <v>47</v>
      </c>
      <c r="Z1363" t="s">
        <v>47</v>
      </c>
      <c r="AA1363" t="s">
        <v>46</v>
      </c>
      <c r="AB1363" t="s">
        <v>47</v>
      </c>
      <c r="AC1363" t="s">
        <v>47</v>
      </c>
      <c r="AD1363" t="s">
        <v>47</v>
      </c>
      <c r="AE1363" t="s">
        <v>47</v>
      </c>
      <c r="AF1363" t="s">
        <v>47</v>
      </c>
      <c r="AG1363" t="s">
        <v>52</v>
      </c>
      <c r="AH1363" t="s">
        <v>71</v>
      </c>
      <c r="AI1363" t="s">
        <v>87</v>
      </c>
      <c r="AJ1363">
        <v>5.5</v>
      </c>
      <c r="AK1363" t="s">
        <v>47</v>
      </c>
      <c r="AL1363" t="s">
        <v>100</v>
      </c>
      <c r="AM1363" t="s">
        <v>103</v>
      </c>
      <c r="AN1363">
        <v>27</v>
      </c>
      <c r="AO1363" t="s">
        <v>47</v>
      </c>
    </row>
    <row r="1364" spans="1:41">
      <c r="A1364" t="s">
        <v>1516</v>
      </c>
      <c r="B1364">
        <v>2015</v>
      </c>
      <c r="C1364" s="1">
        <v>42054</v>
      </c>
      <c r="D1364" t="s">
        <v>110</v>
      </c>
      <c r="E1364" t="s">
        <v>124</v>
      </c>
      <c r="F1364">
        <v>59</v>
      </c>
      <c r="G1364" t="s">
        <v>60</v>
      </c>
      <c r="H1364" t="s">
        <v>70</v>
      </c>
      <c r="I1364">
        <v>0</v>
      </c>
      <c r="J1364">
        <v>0</v>
      </c>
      <c r="K1364" t="s">
        <v>47</v>
      </c>
      <c r="L1364" t="s">
        <v>47</v>
      </c>
      <c r="M1364" t="s">
        <v>46</v>
      </c>
      <c r="N1364" t="s">
        <v>62</v>
      </c>
      <c r="O1364" t="s">
        <v>48</v>
      </c>
      <c r="P1364">
        <v>29.6</v>
      </c>
      <c r="Q1364" t="s">
        <v>50</v>
      </c>
      <c r="R1364" t="s">
        <v>47</v>
      </c>
      <c r="S1364" t="s">
        <v>47</v>
      </c>
      <c r="T1364" t="s">
        <v>47</v>
      </c>
      <c r="U1364" t="s">
        <v>47</v>
      </c>
      <c r="V1364" t="s">
        <v>64</v>
      </c>
      <c r="W1364" t="s">
        <v>47</v>
      </c>
      <c r="X1364" t="s">
        <v>47</v>
      </c>
      <c r="Y1364" t="s">
        <v>46</v>
      </c>
      <c r="Z1364" t="s">
        <v>46</v>
      </c>
      <c r="AA1364" t="s">
        <v>46</v>
      </c>
      <c r="AB1364" t="s">
        <v>47</v>
      </c>
      <c r="AC1364" t="s">
        <v>46</v>
      </c>
      <c r="AD1364" t="s">
        <v>47</v>
      </c>
      <c r="AE1364" t="s">
        <v>47</v>
      </c>
      <c r="AF1364" t="s">
        <v>47</v>
      </c>
      <c r="AG1364" t="s">
        <v>52</v>
      </c>
      <c r="AH1364" t="s">
        <v>53</v>
      </c>
      <c r="AI1364" t="s">
        <v>80</v>
      </c>
      <c r="AJ1364">
        <v>5.6</v>
      </c>
      <c r="AK1364" t="s">
        <v>47</v>
      </c>
      <c r="AL1364" t="s">
        <v>76</v>
      </c>
      <c r="AM1364" t="s">
        <v>77</v>
      </c>
      <c r="AN1364">
        <v>20</v>
      </c>
      <c r="AO1364" t="s">
        <v>47</v>
      </c>
    </row>
    <row r="1365" spans="1:41">
      <c r="A1365" t="s">
        <v>1517</v>
      </c>
      <c r="B1365">
        <v>2017</v>
      </c>
      <c r="C1365" s="1">
        <v>42749</v>
      </c>
      <c r="D1365" t="s">
        <v>110</v>
      </c>
      <c r="E1365" t="s">
        <v>294</v>
      </c>
      <c r="F1365">
        <v>59</v>
      </c>
      <c r="G1365" t="s">
        <v>60</v>
      </c>
      <c r="H1365" t="s">
        <v>45</v>
      </c>
      <c r="I1365">
        <v>32</v>
      </c>
      <c r="J1365">
        <v>19</v>
      </c>
      <c r="K1365" t="s">
        <v>46</v>
      </c>
      <c r="L1365" t="s">
        <v>46</v>
      </c>
      <c r="M1365" t="s">
        <v>47</v>
      </c>
      <c r="N1365" t="s">
        <v>48</v>
      </c>
      <c r="O1365" t="s">
        <v>63</v>
      </c>
      <c r="P1365">
        <v>29.1</v>
      </c>
      <c r="Q1365" t="s">
        <v>50</v>
      </c>
      <c r="R1365" t="s">
        <v>46</v>
      </c>
      <c r="S1365" t="s">
        <v>47</v>
      </c>
      <c r="T1365" t="s">
        <v>47</v>
      </c>
      <c r="U1365" t="s">
        <v>47</v>
      </c>
      <c r="V1365" t="s">
        <v>151</v>
      </c>
      <c r="W1365" t="s">
        <v>46</v>
      </c>
      <c r="X1365" t="s">
        <v>46</v>
      </c>
      <c r="Y1365" t="s">
        <v>47</v>
      </c>
      <c r="Z1365" t="s">
        <v>46</v>
      </c>
      <c r="AA1365" t="s">
        <v>47</v>
      </c>
      <c r="AB1365" t="s">
        <v>46</v>
      </c>
      <c r="AC1365" t="s">
        <v>46</v>
      </c>
      <c r="AD1365" t="s">
        <v>47</v>
      </c>
      <c r="AE1365" t="s">
        <v>47</v>
      </c>
      <c r="AF1365" t="s">
        <v>47</v>
      </c>
      <c r="AG1365" t="s">
        <v>52</v>
      </c>
      <c r="AH1365" t="s">
        <v>90</v>
      </c>
      <c r="AI1365" t="s">
        <v>54</v>
      </c>
      <c r="AJ1365">
        <v>10.199999999999999</v>
      </c>
      <c r="AK1365" t="s">
        <v>46</v>
      </c>
      <c r="AL1365" t="s">
        <v>66</v>
      </c>
      <c r="AM1365" t="s">
        <v>77</v>
      </c>
      <c r="AN1365">
        <v>2</v>
      </c>
      <c r="AO1365" t="s">
        <v>47</v>
      </c>
    </row>
    <row r="1366" spans="1:41">
      <c r="A1366" t="s">
        <v>1518</v>
      </c>
      <c r="B1366">
        <v>2016</v>
      </c>
      <c r="C1366" s="1">
        <v>42470</v>
      </c>
      <c r="D1366" t="s">
        <v>110</v>
      </c>
      <c r="E1366" t="s">
        <v>410</v>
      </c>
      <c r="F1366">
        <v>52</v>
      </c>
      <c r="G1366" t="s">
        <v>60</v>
      </c>
      <c r="H1366" t="s">
        <v>70</v>
      </c>
      <c r="I1366">
        <v>0</v>
      </c>
      <c r="J1366">
        <v>0</v>
      </c>
      <c r="K1366" t="s">
        <v>47</v>
      </c>
      <c r="L1366" t="s">
        <v>47</v>
      </c>
      <c r="M1366" t="s">
        <v>46</v>
      </c>
      <c r="N1366" t="s">
        <v>48</v>
      </c>
      <c r="O1366" t="s">
        <v>63</v>
      </c>
      <c r="P1366">
        <v>25.1</v>
      </c>
      <c r="Q1366" t="s">
        <v>50</v>
      </c>
      <c r="R1366" t="s">
        <v>47</v>
      </c>
      <c r="S1366" t="s">
        <v>47</v>
      </c>
      <c r="T1366" t="s">
        <v>47</v>
      </c>
      <c r="U1366" t="s">
        <v>47</v>
      </c>
      <c r="V1366" t="s">
        <v>86</v>
      </c>
      <c r="W1366" t="s">
        <v>47</v>
      </c>
      <c r="X1366" t="s">
        <v>47</v>
      </c>
      <c r="Y1366" t="s">
        <v>47</v>
      </c>
      <c r="Z1366" t="s">
        <v>46</v>
      </c>
      <c r="AA1366" t="s">
        <v>46</v>
      </c>
      <c r="AB1366" t="s">
        <v>47</v>
      </c>
      <c r="AC1366" t="s">
        <v>47</v>
      </c>
      <c r="AD1366" t="s">
        <v>47</v>
      </c>
      <c r="AE1366" t="s">
        <v>47</v>
      </c>
      <c r="AF1366" t="s">
        <v>47</v>
      </c>
      <c r="AG1366" t="s">
        <v>52</v>
      </c>
      <c r="AH1366" t="s">
        <v>53</v>
      </c>
      <c r="AI1366" t="s">
        <v>65</v>
      </c>
      <c r="AJ1366">
        <v>1.2</v>
      </c>
      <c r="AK1366" t="s">
        <v>47</v>
      </c>
      <c r="AL1366" t="s">
        <v>156</v>
      </c>
      <c r="AM1366" t="s">
        <v>73</v>
      </c>
      <c r="AN1366">
        <v>74</v>
      </c>
      <c r="AO1366" t="s">
        <v>46</v>
      </c>
    </row>
    <row r="1367" spans="1:41">
      <c r="A1367" t="s">
        <v>1519</v>
      </c>
      <c r="B1367">
        <v>2024</v>
      </c>
      <c r="C1367" s="1">
        <v>45469</v>
      </c>
      <c r="D1367" t="s">
        <v>42</v>
      </c>
      <c r="E1367" t="s">
        <v>79</v>
      </c>
      <c r="F1367">
        <v>51</v>
      </c>
      <c r="G1367" t="s">
        <v>60</v>
      </c>
      <c r="H1367" t="s">
        <v>70</v>
      </c>
      <c r="I1367">
        <v>0</v>
      </c>
      <c r="J1367">
        <v>0</v>
      </c>
      <c r="K1367" t="s">
        <v>46</v>
      </c>
      <c r="L1367" t="s">
        <v>47</v>
      </c>
      <c r="M1367" t="s">
        <v>47</v>
      </c>
      <c r="N1367" t="s">
        <v>62</v>
      </c>
      <c r="O1367" t="s">
        <v>63</v>
      </c>
      <c r="P1367">
        <v>30.1</v>
      </c>
      <c r="Q1367" t="s">
        <v>48</v>
      </c>
      <c r="R1367" t="s">
        <v>47</v>
      </c>
      <c r="S1367" t="s">
        <v>47</v>
      </c>
      <c r="T1367" t="s">
        <v>47</v>
      </c>
      <c r="U1367" t="s">
        <v>46</v>
      </c>
      <c r="V1367" t="s">
        <v>151</v>
      </c>
      <c r="W1367" t="s">
        <v>47</v>
      </c>
      <c r="X1367" t="s">
        <v>47</v>
      </c>
      <c r="Y1367" t="s">
        <v>47</v>
      </c>
      <c r="Z1367" t="s">
        <v>47</v>
      </c>
      <c r="AA1367" t="s">
        <v>46</v>
      </c>
      <c r="AB1367" t="s">
        <v>47</v>
      </c>
      <c r="AC1367" t="s">
        <v>47</v>
      </c>
      <c r="AD1367" t="s">
        <v>47</v>
      </c>
      <c r="AE1367" t="s">
        <v>47</v>
      </c>
      <c r="AF1367" t="s">
        <v>47</v>
      </c>
      <c r="AG1367" t="s">
        <v>52</v>
      </c>
      <c r="AH1367" t="s">
        <v>53</v>
      </c>
      <c r="AI1367" t="s">
        <v>80</v>
      </c>
      <c r="AJ1367">
        <v>4.2</v>
      </c>
      <c r="AK1367" t="s">
        <v>47</v>
      </c>
      <c r="AL1367" t="s">
        <v>76</v>
      </c>
      <c r="AM1367" t="s">
        <v>67</v>
      </c>
      <c r="AN1367">
        <v>24</v>
      </c>
      <c r="AO1367" t="s">
        <v>46</v>
      </c>
    </row>
    <row r="1368" spans="1:41">
      <c r="A1368" t="s">
        <v>1520</v>
      </c>
      <c r="B1368">
        <v>2025</v>
      </c>
      <c r="C1368" s="1">
        <v>46018</v>
      </c>
      <c r="D1368" t="s">
        <v>98</v>
      </c>
      <c r="E1368" t="s">
        <v>192</v>
      </c>
      <c r="F1368">
        <v>62</v>
      </c>
      <c r="G1368" t="s">
        <v>44</v>
      </c>
      <c r="H1368" t="s">
        <v>61</v>
      </c>
      <c r="I1368">
        <v>21</v>
      </c>
      <c r="J1368">
        <v>16</v>
      </c>
      <c r="K1368" t="s">
        <v>46</v>
      </c>
      <c r="L1368" t="s">
        <v>47</v>
      </c>
      <c r="M1368" t="s">
        <v>47</v>
      </c>
      <c r="N1368" t="s">
        <v>48</v>
      </c>
      <c r="O1368" t="s">
        <v>63</v>
      </c>
      <c r="P1368">
        <v>28.4</v>
      </c>
      <c r="Q1368" t="s">
        <v>48</v>
      </c>
      <c r="R1368" t="s">
        <v>47</v>
      </c>
      <c r="S1368" t="s">
        <v>47</v>
      </c>
      <c r="T1368" t="s">
        <v>47</v>
      </c>
      <c r="U1368" t="s">
        <v>47</v>
      </c>
      <c r="V1368" t="s">
        <v>51</v>
      </c>
      <c r="W1368" t="s">
        <v>46</v>
      </c>
      <c r="X1368" t="s">
        <v>46</v>
      </c>
      <c r="Y1368" t="s">
        <v>47</v>
      </c>
      <c r="Z1368" t="s">
        <v>47</v>
      </c>
      <c r="AA1368" t="s">
        <v>46</v>
      </c>
      <c r="AB1368" t="s">
        <v>47</v>
      </c>
      <c r="AC1368" t="s">
        <v>47</v>
      </c>
      <c r="AD1368" t="s">
        <v>46</v>
      </c>
      <c r="AE1368" t="s">
        <v>47</v>
      </c>
      <c r="AF1368" t="s">
        <v>47</v>
      </c>
      <c r="AG1368" t="s">
        <v>52</v>
      </c>
      <c r="AH1368" t="s">
        <v>71</v>
      </c>
      <c r="AI1368" t="s">
        <v>87</v>
      </c>
      <c r="AJ1368">
        <v>5.2</v>
      </c>
      <c r="AK1368" t="s">
        <v>47</v>
      </c>
      <c r="AL1368" t="s">
        <v>156</v>
      </c>
      <c r="AM1368" t="s">
        <v>73</v>
      </c>
      <c r="AN1368">
        <v>40</v>
      </c>
      <c r="AO1368" t="s">
        <v>46</v>
      </c>
    </row>
    <row r="1369" spans="1:41">
      <c r="A1369" t="s">
        <v>1521</v>
      </c>
      <c r="B1369">
        <v>2021</v>
      </c>
      <c r="C1369" s="1">
        <v>44362</v>
      </c>
      <c r="D1369" t="s">
        <v>84</v>
      </c>
      <c r="E1369" t="s">
        <v>184</v>
      </c>
      <c r="F1369">
        <v>60</v>
      </c>
      <c r="G1369" t="s">
        <v>44</v>
      </c>
      <c r="H1369" t="s">
        <v>70</v>
      </c>
      <c r="I1369">
        <v>0</v>
      </c>
      <c r="J1369">
        <v>0</v>
      </c>
      <c r="K1369" t="s">
        <v>47</v>
      </c>
      <c r="L1369" t="s">
        <v>47</v>
      </c>
      <c r="M1369" t="s">
        <v>47</v>
      </c>
      <c r="N1369" t="s">
        <v>62</v>
      </c>
      <c r="O1369" t="s">
        <v>49</v>
      </c>
      <c r="P1369">
        <v>32.200000000000003</v>
      </c>
      <c r="Q1369" t="s">
        <v>62</v>
      </c>
      <c r="R1369" t="s">
        <v>47</v>
      </c>
      <c r="S1369" t="s">
        <v>47</v>
      </c>
      <c r="T1369" t="s">
        <v>47</v>
      </c>
      <c r="U1369" t="s">
        <v>47</v>
      </c>
      <c r="V1369" t="s">
        <v>117</v>
      </c>
      <c r="W1369" t="s">
        <v>46</v>
      </c>
      <c r="X1369" t="s">
        <v>46</v>
      </c>
      <c r="Y1369" t="s">
        <v>47</v>
      </c>
      <c r="Z1369" t="s">
        <v>47</v>
      </c>
      <c r="AA1369" t="s">
        <v>46</v>
      </c>
      <c r="AB1369" t="s">
        <v>47</v>
      </c>
      <c r="AC1369" t="s">
        <v>47</v>
      </c>
      <c r="AD1369" t="s">
        <v>47</v>
      </c>
      <c r="AE1369" t="s">
        <v>47</v>
      </c>
      <c r="AF1369" t="s">
        <v>47</v>
      </c>
      <c r="AG1369" t="s">
        <v>52</v>
      </c>
      <c r="AH1369" t="s">
        <v>53</v>
      </c>
      <c r="AI1369" t="s">
        <v>65</v>
      </c>
      <c r="AJ1369">
        <v>1.4</v>
      </c>
      <c r="AK1369" t="s">
        <v>47</v>
      </c>
      <c r="AL1369" t="s">
        <v>76</v>
      </c>
      <c r="AM1369" t="s">
        <v>118</v>
      </c>
      <c r="AN1369">
        <v>57</v>
      </c>
      <c r="AO1369" t="s">
        <v>47</v>
      </c>
    </row>
    <row r="1370" spans="1:41">
      <c r="A1370" t="s">
        <v>1522</v>
      </c>
      <c r="B1370">
        <v>2024</v>
      </c>
      <c r="C1370" s="1">
        <v>45385</v>
      </c>
      <c r="D1370" t="s">
        <v>110</v>
      </c>
      <c r="E1370" t="s">
        <v>236</v>
      </c>
      <c r="F1370">
        <v>56</v>
      </c>
      <c r="G1370" t="s">
        <v>60</v>
      </c>
      <c r="H1370" t="s">
        <v>70</v>
      </c>
      <c r="I1370">
        <v>0</v>
      </c>
      <c r="J1370">
        <v>0</v>
      </c>
      <c r="K1370" t="s">
        <v>47</v>
      </c>
      <c r="L1370" t="s">
        <v>47</v>
      </c>
      <c r="M1370" t="s">
        <v>46</v>
      </c>
      <c r="N1370" t="s">
        <v>48</v>
      </c>
      <c r="O1370" t="s">
        <v>48</v>
      </c>
      <c r="P1370">
        <v>28.4</v>
      </c>
      <c r="Q1370" t="s">
        <v>48</v>
      </c>
      <c r="R1370" t="s">
        <v>47</v>
      </c>
      <c r="S1370" t="s">
        <v>47</v>
      </c>
      <c r="T1370" t="s">
        <v>46</v>
      </c>
      <c r="U1370" t="s">
        <v>47</v>
      </c>
      <c r="V1370" t="s">
        <v>51</v>
      </c>
      <c r="W1370" t="s">
        <v>47</v>
      </c>
      <c r="X1370" t="s">
        <v>47</v>
      </c>
      <c r="Y1370" t="s">
        <v>47</v>
      </c>
      <c r="Z1370" t="s">
        <v>47</v>
      </c>
      <c r="AA1370" t="s">
        <v>46</v>
      </c>
      <c r="AB1370" t="s">
        <v>46</v>
      </c>
      <c r="AC1370" t="s">
        <v>47</v>
      </c>
      <c r="AD1370" t="s">
        <v>47</v>
      </c>
      <c r="AE1370" t="s">
        <v>47</v>
      </c>
      <c r="AF1370" t="s">
        <v>46</v>
      </c>
      <c r="AG1370" t="s">
        <v>52</v>
      </c>
      <c r="AH1370" t="s">
        <v>53</v>
      </c>
      <c r="AI1370" t="s">
        <v>65</v>
      </c>
      <c r="AJ1370">
        <v>2.2000000000000002</v>
      </c>
      <c r="AK1370" t="s">
        <v>47</v>
      </c>
      <c r="AL1370" t="s">
        <v>100</v>
      </c>
      <c r="AM1370" t="s">
        <v>73</v>
      </c>
      <c r="AN1370">
        <v>35</v>
      </c>
      <c r="AO1370" t="s">
        <v>47</v>
      </c>
    </row>
    <row r="1371" spans="1:41">
      <c r="A1371" t="s">
        <v>1523</v>
      </c>
      <c r="B1371">
        <v>2018</v>
      </c>
      <c r="C1371" s="1">
        <v>43184</v>
      </c>
      <c r="D1371" t="s">
        <v>42</v>
      </c>
      <c r="E1371" t="s">
        <v>154</v>
      </c>
      <c r="F1371">
        <v>62</v>
      </c>
      <c r="G1371" t="s">
        <v>44</v>
      </c>
      <c r="H1371" t="s">
        <v>70</v>
      </c>
      <c r="I1371">
        <v>0</v>
      </c>
      <c r="J1371">
        <v>0</v>
      </c>
      <c r="K1371" t="s">
        <v>47</v>
      </c>
      <c r="L1371" t="s">
        <v>47</v>
      </c>
      <c r="M1371" t="s">
        <v>46</v>
      </c>
      <c r="N1371" t="s">
        <v>62</v>
      </c>
      <c r="O1371" t="s">
        <v>63</v>
      </c>
      <c r="P1371">
        <v>28.2</v>
      </c>
      <c r="Q1371" t="s">
        <v>50</v>
      </c>
      <c r="R1371" t="s">
        <v>47</v>
      </c>
      <c r="S1371" t="s">
        <v>47</v>
      </c>
      <c r="T1371" t="s">
        <v>47</v>
      </c>
      <c r="U1371" t="s">
        <v>47</v>
      </c>
      <c r="V1371" t="s">
        <v>51</v>
      </c>
      <c r="W1371" t="s">
        <v>47</v>
      </c>
      <c r="X1371" t="s">
        <v>47</v>
      </c>
      <c r="Y1371" t="s">
        <v>47</v>
      </c>
      <c r="Z1371" t="s">
        <v>47</v>
      </c>
      <c r="AA1371" t="s">
        <v>47</v>
      </c>
      <c r="AB1371" t="s">
        <v>46</v>
      </c>
      <c r="AC1371" t="s">
        <v>46</v>
      </c>
      <c r="AD1371" t="s">
        <v>46</v>
      </c>
      <c r="AE1371" t="s">
        <v>47</v>
      </c>
      <c r="AF1371" t="s">
        <v>47</v>
      </c>
      <c r="AG1371" t="s">
        <v>52</v>
      </c>
      <c r="AH1371" t="s">
        <v>53</v>
      </c>
      <c r="AI1371" t="s">
        <v>54</v>
      </c>
      <c r="AJ1371">
        <v>8.4</v>
      </c>
      <c r="AK1371" t="s">
        <v>46</v>
      </c>
      <c r="AL1371" t="s">
        <v>76</v>
      </c>
      <c r="AM1371" t="s">
        <v>103</v>
      </c>
      <c r="AN1371">
        <v>8</v>
      </c>
      <c r="AO1371" t="s">
        <v>47</v>
      </c>
    </row>
    <row r="1372" spans="1:41">
      <c r="A1372" t="s">
        <v>1524</v>
      </c>
      <c r="B1372">
        <v>2023</v>
      </c>
      <c r="C1372" s="1">
        <v>44962</v>
      </c>
      <c r="D1372" t="s">
        <v>42</v>
      </c>
      <c r="E1372" t="s">
        <v>69</v>
      </c>
      <c r="F1372">
        <v>70</v>
      </c>
      <c r="G1372" t="s">
        <v>60</v>
      </c>
      <c r="H1372" t="s">
        <v>70</v>
      </c>
      <c r="I1372">
        <v>0</v>
      </c>
      <c r="J1372">
        <v>0</v>
      </c>
      <c r="K1372" t="s">
        <v>46</v>
      </c>
      <c r="L1372" t="s">
        <v>47</v>
      </c>
      <c r="M1372" t="s">
        <v>47</v>
      </c>
      <c r="N1372" t="s">
        <v>48</v>
      </c>
      <c r="O1372" t="s">
        <v>49</v>
      </c>
      <c r="P1372">
        <v>24</v>
      </c>
      <c r="Q1372" t="s">
        <v>48</v>
      </c>
      <c r="R1372" t="s">
        <v>47</v>
      </c>
      <c r="S1372" t="s">
        <v>47</v>
      </c>
      <c r="T1372" t="s">
        <v>47</v>
      </c>
      <c r="U1372" t="s">
        <v>47</v>
      </c>
      <c r="V1372" t="s">
        <v>117</v>
      </c>
      <c r="W1372" t="s">
        <v>47</v>
      </c>
      <c r="X1372" t="s">
        <v>46</v>
      </c>
      <c r="Y1372" t="s">
        <v>47</v>
      </c>
      <c r="Z1372" t="s">
        <v>46</v>
      </c>
      <c r="AA1372" t="s">
        <v>46</v>
      </c>
      <c r="AB1372" t="s">
        <v>47</v>
      </c>
      <c r="AC1372" t="s">
        <v>47</v>
      </c>
      <c r="AD1372" t="s">
        <v>47</v>
      </c>
      <c r="AE1372" t="s">
        <v>47</v>
      </c>
      <c r="AF1372" t="s">
        <v>47</v>
      </c>
      <c r="AG1372" t="s">
        <v>52</v>
      </c>
      <c r="AH1372" t="s">
        <v>53</v>
      </c>
      <c r="AI1372" t="s">
        <v>65</v>
      </c>
      <c r="AJ1372">
        <v>1.9</v>
      </c>
      <c r="AK1372" t="s">
        <v>47</v>
      </c>
      <c r="AL1372" t="s">
        <v>72</v>
      </c>
      <c r="AM1372" t="s">
        <v>73</v>
      </c>
      <c r="AN1372">
        <v>47</v>
      </c>
      <c r="AO1372" t="s">
        <v>47</v>
      </c>
    </row>
    <row r="1373" spans="1:41">
      <c r="A1373" t="s">
        <v>1525</v>
      </c>
      <c r="B1373">
        <v>2018</v>
      </c>
      <c r="C1373" s="1">
        <v>43174</v>
      </c>
      <c r="D1373" t="s">
        <v>95</v>
      </c>
      <c r="E1373" t="s">
        <v>96</v>
      </c>
      <c r="F1373">
        <v>51</v>
      </c>
      <c r="G1373" t="s">
        <v>60</v>
      </c>
      <c r="H1373" t="s">
        <v>61</v>
      </c>
      <c r="I1373">
        <v>25</v>
      </c>
      <c r="J1373">
        <v>9</v>
      </c>
      <c r="K1373" t="s">
        <v>46</v>
      </c>
      <c r="L1373" t="s">
        <v>46</v>
      </c>
      <c r="M1373" t="s">
        <v>47</v>
      </c>
      <c r="N1373" t="s">
        <v>48</v>
      </c>
      <c r="O1373" t="s">
        <v>48</v>
      </c>
      <c r="P1373">
        <v>24.7</v>
      </c>
      <c r="Q1373" t="s">
        <v>48</v>
      </c>
      <c r="R1373" t="s">
        <v>46</v>
      </c>
      <c r="S1373" t="s">
        <v>47</v>
      </c>
      <c r="T1373" t="s">
        <v>47</v>
      </c>
      <c r="U1373" t="s">
        <v>47</v>
      </c>
      <c r="V1373" t="s">
        <v>51</v>
      </c>
      <c r="W1373" t="s">
        <v>47</v>
      </c>
      <c r="X1373" t="s">
        <v>46</v>
      </c>
      <c r="Y1373" t="s">
        <v>47</v>
      </c>
      <c r="Z1373" t="s">
        <v>47</v>
      </c>
      <c r="AA1373" t="s">
        <v>46</v>
      </c>
      <c r="AB1373" t="s">
        <v>47</v>
      </c>
      <c r="AC1373" t="s">
        <v>47</v>
      </c>
      <c r="AD1373" t="s">
        <v>47</v>
      </c>
      <c r="AE1373" t="s">
        <v>47</v>
      </c>
      <c r="AF1373" t="s">
        <v>47</v>
      </c>
      <c r="AG1373" t="s">
        <v>52</v>
      </c>
      <c r="AH1373" t="s">
        <v>53</v>
      </c>
      <c r="AI1373" t="s">
        <v>87</v>
      </c>
      <c r="AJ1373">
        <v>3.5</v>
      </c>
      <c r="AK1373" t="s">
        <v>47</v>
      </c>
      <c r="AL1373" t="s">
        <v>72</v>
      </c>
      <c r="AM1373" t="s">
        <v>67</v>
      </c>
      <c r="AN1373">
        <v>6</v>
      </c>
      <c r="AO1373" t="s">
        <v>46</v>
      </c>
    </row>
    <row r="1374" spans="1:41">
      <c r="A1374" t="s">
        <v>1526</v>
      </c>
      <c r="B1374">
        <v>2019</v>
      </c>
      <c r="C1374" s="1">
        <v>43630</v>
      </c>
      <c r="D1374" t="s">
        <v>95</v>
      </c>
      <c r="E1374" t="s">
        <v>120</v>
      </c>
      <c r="F1374">
        <v>79</v>
      </c>
      <c r="G1374" t="s">
        <v>44</v>
      </c>
      <c r="H1374" t="s">
        <v>70</v>
      </c>
      <c r="I1374">
        <v>0</v>
      </c>
      <c r="J1374">
        <v>0</v>
      </c>
      <c r="K1374" t="s">
        <v>47</v>
      </c>
      <c r="L1374" t="s">
        <v>47</v>
      </c>
      <c r="M1374" t="s">
        <v>46</v>
      </c>
      <c r="N1374" t="s">
        <v>48</v>
      </c>
      <c r="O1374" t="s">
        <v>63</v>
      </c>
      <c r="P1374">
        <v>27.4</v>
      </c>
      <c r="Q1374" t="s">
        <v>48</v>
      </c>
      <c r="R1374" t="s">
        <v>47</v>
      </c>
      <c r="S1374" t="s">
        <v>47</v>
      </c>
      <c r="T1374" t="s">
        <v>47</v>
      </c>
      <c r="U1374" t="s">
        <v>47</v>
      </c>
      <c r="V1374" t="s">
        <v>86</v>
      </c>
      <c r="W1374" t="s">
        <v>47</v>
      </c>
      <c r="X1374" t="s">
        <v>46</v>
      </c>
      <c r="Y1374" t="s">
        <v>47</v>
      </c>
      <c r="Z1374" t="s">
        <v>47</v>
      </c>
      <c r="AA1374" t="s">
        <v>47</v>
      </c>
      <c r="AB1374" t="s">
        <v>47</v>
      </c>
      <c r="AC1374" t="s">
        <v>47</v>
      </c>
      <c r="AD1374" t="s">
        <v>47</v>
      </c>
      <c r="AE1374" t="s">
        <v>47</v>
      </c>
      <c r="AF1374" t="s">
        <v>47</v>
      </c>
      <c r="AG1374" t="s">
        <v>52</v>
      </c>
      <c r="AH1374" t="s">
        <v>53</v>
      </c>
      <c r="AI1374" t="s">
        <v>65</v>
      </c>
      <c r="AJ1374">
        <v>2.9</v>
      </c>
      <c r="AK1374" t="s">
        <v>47</v>
      </c>
      <c r="AL1374" t="s">
        <v>76</v>
      </c>
      <c r="AM1374" t="s">
        <v>118</v>
      </c>
      <c r="AN1374">
        <v>66</v>
      </c>
      <c r="AO1374" t="s">
        <v>46</v>
      </c>
    </row>
    <row r="1375" spans="1:41">
      <c r="A1375" t="s">
        <v>1527</v>
      </c>
      <c r="B1375">
        <v>2025</v>
      </c>
      <c r="C1375" s="1">
        <v>45912</v>
      </c>
      <c r="D1375" t="s">
        <v>95</v>
      </c>
      <c r="E1375" t="s">
        <v>132</v>
      </c>
      <c r="F1375">
        <v>52</v>
      </c>
      <c r="G1375" t="s">
        <v>44</v>
      </c>
      <c r="H1375" t="s">
        <v>70</v>
      </c>
      <c r="I1375">
        <v>0</v>
      </c>
      <c r="J1375">
        <v>0</v>
      </c>
      <c r="K1375" t="s">
        <v>46</v>
      </c>
      <c r="L1375" t="s">
        <v>47</v>
      </c>
      <c r="M1375" t="s">
        <v>46</v>
      </c>
      <c r="N1375" t="s">
        <v>62</v>
      </c>
      <c r="O1375" t="s">
        <v>63</v>
      </c>
      <c r="P1375">
        <v>37.6</v>
      </c>
      <c r="Q1375" t="s">
        <v>62</v>
      </c>
      <c r="R1375" t="s">
        <v>47</v>
      </c>
      <c r="S1375" t="s">
        <v>47</v>
      </c>
      <c r="T1375" t="s">
        <v>47</v>
      </c>
      <c r="U1375" t="s">
        <v>47</v>
      </c>
      <c r="V1375" t="s">
        <v>64</v>
      </c>
      <c r="W1375" t="s">
        <v>47</v>
      </c>
      <c r="X1375" t="s">
        <v>46</v>
      </c>
      <c r="Y1375" t="s">
        <v>47</v>
      </c>
      <c r="Z1375" t="s">
        <v>47</v>
      </c>
      <c r="AA1375" t="s">
        <v>46</v>
      </c>
      <c r="AB1375" t="s">
        <v>46</v>
      </c>
      <c r="AC1375" t="s">
        <v>47</v>
      </c>
      <c r="AD1375" t="s">
        <v>47</v>
      </c>
      <c r="AE1375" t="s">
        <v>47</v>
      </c>
      <c r="AF1375" t="s">
        <v>47</v>
      </c>
      <c r="AG1375" t="s">
        <v>52</v>
      </c>
      <c r="AH1375" t="s">
        <v>53</v>
      </c>
      <c r="AI1375" t="s">
        <v>65</v>
      </c>
      <c r="AJ1375">
        <v>1.2</v>
      </c>
      <c r="AK1375" t="s">
        <v>47</v>
      </c>
      <c r="AL1375" t="s">
        <v>72</v>
      </c>
      <c r="AM1375" t="s">
        <v>67</v>
      </c>
      <c r="AN1375">
        <v>56</v>
      </c>
      <c r="AO1375" t="s">
        <v>46</v>
      </c>
    </row>
    <row r="1376" spans="1:41">
      <c r="A1376" t="s">
        <v>1528</v>
      </c>
      <c r="B1376">
        <v>2016</v>
      </c>
      <c r="C1376" s="1">
        <v>42592</v>
      </c>
      <c r="D1376" t="s">
        <v>42</v>
      </c>
      <c r="E1376" t="s">
        <v>210</v>
      </c>
      <c r="F1376">
        <v>50</v>
      </c>
      <c r="G1376" t="s">
        <v>44</v>
      </c>
      <c r="H1376" t="s">
        <v>70</v>
      </c>
      <c r="I1376">
        <v>0</v>
      </c>
      <c r="J1376">
        <v>0</v>
      </c>
      <c r="K1376" t="s">
        <v>47</v>
      </c>
      <c r="L1376" t="s">
        <v>47</v>
      </c>
      <c r="M1376" t="s">
        <v>47</v>
      </c>
      <c r="N1376" t="s">
        <v>62</v>
      </c>
      <c r="O1376" t="s">
        <v>48</v>
      </c>
      <c r="P1376">
        <v>29.8</v>
      </c>
      <c r="Q1376" t="s">
        <v>48</v>
      </c>
      <c r="R1376" t="s">
        <v>47</v>
      </c>
      <c r="S1376" t="s">
        <v>47</v>
      </c>
      <c r="T1376" t="s">
        <v>47</v>
      </c>
      <c r="U1376" t="s">
        <v>47</v>
      </c>
      <c r="V1376" t="s">
        <v>92</v>
      </c>
      <c r="W1376" t="s">
        <v>47</v>
      </c>
      <c r="X1376" t="s">
        <v>47</v>
      </c>
      <c r="Y1376" t="s">
        <v>47</v>
      </c>
      <c r="Z1376" t="s">
        <v>47</v>
      </c>
      <c r="AA1376" t="s">
        <v>47</v>
      </c>
      <c r="AB1376" t="s">
        <v>47</v>
      </c>
      <c r="AC1376" t="s">
        <v>47</v>
      </c>
      <c r="AD1376" t="s">
        <v>47</v>
      </c>
      <c r="AE1376" t="s">
        <v>47</v>
      </c>
      <c r="AF1376" t="s">
        <v>47</v>
      </c>
      <c r="AG1376" t="s">
        <v>52</v>
      </c>
      <c r="AH1376" t="s">
        <v>53</v>
      </c>
      <c r="AI1376" t="s">
        <v>65</v>
      </c>
      <c r="AJ1376">
        <v>1.9</v>
      </c>
      <c r="AK1376" t="s">
        <v>47</v>
      </c>
      <c r="AL1376" t="s">
        <v>76</v>
      </c>
      <c r="AM1376" t="s">
        <v>67</v>
      </c>
      <c r="AN1376">
        <v>49</v>
      </c>
      <c r="AO1376" t="s">
        <v>47</v>
      </c>
    </row>
    <row r="1377" spans="1:41">
      <c r="A1377" t="s">
        <v>1529</v>
      </c>
      <c r="B1377">
        <v>2024</v>
      </c>
      <c r="C1377" s="1">
        <v>45440</v>
      </c>
      <c r="D1377" t="s">
        <v>98</v>
      </c>
      <c r="E1377" t="s">
        <v>263</v>
      </c>
      <c r="F1377">
        <v>73</v>
      </c>
      <c r="G1377" t="s">
        <v>60</v>
      </c>
      <c r="H1377" t="s">
        <v>70</v>
      </c>
      <c r="I1377">
        <v>0</v>
      </c>
      <c r="J1377">
        <v>0</v>
      </c>
      <c r="K1377" t="s">
        <v>46</v>
      </c>
      <c r="L1377" t="s">
        <v>46</v>
      </c>
      <c r="M1377" t="s">
        <v>47</v>
      </c>
      <c r="N1377" t="s">
        <v>48</v>
      </c>
      <c r="O1377" t="s">
        <v>49</v>
      </c>
      <c r="P1377">
        <v>29</v>
      </c>
      <c r="Q1377" t="s">
        <v>48</v>
      </c>
      <c r="R1377" t="s">
        <v>47</v>
      </c>
      <c r="S1377" t="s">
        <v>47</v>
      </c>
      <c r="T1377" t="s">
        <v>47</v>
      </c>
      <c r="U1377" t="s">
        <v>47</v>
      </c>
      <c r="V1377" t="s">
        <v>86</v>
      </c>
      <c r="W1377" t="s">
        <v>46</v>
      </c>
      <c r="X1377" t="s">
        <v>46</v>
      </c>
      <c r="Y1377" t="s">
        <v>47</v>
      </c>
      <c r="Z1377" t="s">
        <v>47</v>
      </c>
      <c r="AA1377" t="s">
        <v>46</v>
      </c>
      <c r="AB1377" t="s">
        <v>46</v>
      </c>
      <c r="AC1377" t="s">
        <v>47</v>
      </c>
      <c r="AD1377" t="s">
        <v>47</v>
      </c>
      <c r="AE1377" t="s">
        <v>47</v>
      </c>
      <c r="AF1377" t="s">
        <v>47</v>
      </c>
      <c r="AG1377" t="s">
        <v>52</v>
      </c>
      <c r="AH1377" t="s">
        <v>53</v>
      </c>
      <c r="AI1377" t="s">
        <v>65</v>
      </c>
      <c r="AJ1377">
        <v>2.5</v>
      </c>
      <c r="AK1377" t="s">
        <v>47</v>
      </c>
      <c r="AL1377" t="s">
        <v>72</v>
      </c>
      <c r="AM1377" t="s">
        <v>67</v>
      </c>
      <c r="AN1377">
        <v>41</v>
      </c>
      <c r="AO1377" t="s">
        <v>47</v>
      </c>
    </row>
    <row r="1378" spans="1:41">
      <c r="A1378" t="s">
        <v>1530</v>
      </c>
      <c r="B1378">
        <v>2025</v>
      </c>
      <c r="C1378" s="1">
        <v>45694</v>
      </c>
      <c r="D1378" t="s">
        <v>110</v>
      </c>
      <c r="E1378" t="s">
        <v>410</v>
      </c>
      <c r="F1378">
        <v>60</v>
      </c>
      <c r="G1378" t="s">
        <v>60</v>
      </c>
      <c r="H1378" t="s">
        <v>70</v>
      </c>
      <c r="I1378">
        <v>0</v>
      </c>
      <c r="J1378">
        <v>0</v>
      </c>
      <c r="K1378" t="s">
        <v>47</v>
      </c>
      <c r="L1378" t="s">
        <v>47</v>
      </c>
      <c r="M1378" t="s">
        <v>47</v>
      </c>
      <c r="N1378" t="s">
        <v>62</v>
      </c>
      <c r="O1378" t="s">
        <v>49</v>
      </c>
      <c r="P1378">
        <v>23</v>
      </c>
      <c r="Q1378" t="s">
        <v>50</v>
      </c>
      <c r="R1378" t="s">
        <v>47</v>
      </c>
      <c r="S1378" t="s">
        <v>47</v>
      </c>
      <c r="T1378" t="s">
        <v>47</v>
      </c>
      <c r="U1378" t="s">
        <v>47</v>
      </c>
      <c r="V1378" t="s">
        <v>51</v>
      </c>
      <c r="W1378" t="s">
        <v>47</v>
      </c>
      <c r="X1378" t="s">
        <v>46</v>
      </c>
      <c r="Y1378" t="s">
        <v>47</v>
      </c>
      <c r="Z1378" t="s">
        <v>47</v>
      </c>
      <c r="AA1378" t="s">
        <v>46</v>
      </c>
      <c r="AB1378" t="s">
        <v>47</v>
      </c>
      <c r="AC1378" t="s">
        <v>47</v>
      </c>
      <c r="AD1378" t="s">
        <v>47</v>
      </c>
      <c r="AE1378" t="s">
        <v>46</v>
      </c>
      <c r="AF1378" t="s">
        <v>47</v>
      </c>
      <c r="AG1378" t="s">
        <v>52</v>
      </c>
      <c r="AH1378" t="s">
        <v>71</v>
      </c>
      <c r="AI1378" t="s">
        <v>87</v>
      </c>
      <c r="AJ1378">
        <v>2.7</v>
      </c>
      <c r="AK1378" t="s">
        <v>47</v>
      </c>
      <c r="AL1378" t="s">
        <v>72</v>
      </c>
      <c r="AM1378" t="s">
        <v>67</v>
      </c>
      <c r="AN1378">
        <v>24</v>
      </c>
      <c r="AO1378" t="s">
        <v>46</v>
      </c>
    </row>
    <row r="1379" spans="1:41">
      <c r="A1379" t="s">
        <v>1531</v>
      </c>
      <c r="B1379">
        <v>2017</v>
      </c>
      <c r="C1379" s="1">
        <v>43092</v>
      </c>
      <c r="D1379" t="s">
        <v>42</v>
      </c>
      <c r="E1379" t="s">
        <v>154</v>
      </c>
      <c r="F1379">
        <v>52</v>
      </c>
      <c r="G1379" t="s">
        <v>60</v>
      </c>
      <c r="H1379" t="s">
        <v>45</v>
      </c>
      <c r="I1379">
        <v>35</v>
      </c>
      <c r="J1379">
        <v>21</v>
      </c>
      <c r="K1379" t="s">
        <v>46</v>
      </c>
      <c r="L1379" t="s">
        <v>46</v>
      </c>
      <c r="M1379" t="s">
        <v>47</v>
      </c>
      <c r="N1379" t="s">
        <v>48</v>
      </c>
      <c r="O1379" t="s">
        <v>49</v>
      </c>
      <c r="P1379">
        <v>25</v>
      </c>
      <c r="Q1379" t="s">
        <v>50</v>
      </c>
      <c r="R1379" t="s">
        <v>47</v>
      </c>
      <c r="S1379" t="s">
        <v>47</v>
      </c>
      <c r="T1379" t="s">
        <v>47</v>
      </c>
      <c r="U1379" t="s">
        <v>47</v>
      </c>
      <c r="V1379" t="s">
        <v>51</v>
      </c>
      <c r="W1379" t="s">
        <v>46</v>
      </c>
      <c r="X1379" t="s">
        <v>46</v>
      </c>
      <c r="Y1379" t="s">
        <v>47</v>
      </c>
      <c r="Z1379" t="s">
        <v>47</v>
      </c>
      <c r="AA1379" t="s">
        <v>46</v>
      </c>
      <c r="AB1379" t="s">
        <v>46</v>
      </c>
      <c r="AC1379" t="s">
        <v>47</v>
      </c>
      <c r="AD1379" t="s">
        <v>47</v>
      </c>
      <c r="AE1379" t="s">
        <v>47</v>
      </c>
      <c r="AF1379" t="s">
        <v>47</v>
      </c>
      <c r="AG1379" t="s">
        <v>121</v>
      </c>
      <c r="AH1379" t="s">
        <v>122</v>
      </c>
      <c r="AI1379" t="s">
        <v>87</v>
      </c>
      <c r="AJ1379">
        <v>3.9</v>
      </c>
      <c r="AK1379" t="s">
        <v>47</v>
      </c>
      <c r="AL1379" t="s">
        <v>76</v>
      </c>
      <c r="AM1379" t="s">
        <v>73</v>
      </c>
      <c r="AN1379">
        <v>40</v>
      </c>
      <c r="AO1379" t="s">
        <v>46</v>
      </c>
    </row>
    <row r="1380" spans="1:41">
      <c r="A1380" t="s">
        <v>1532</v>
      </c>
      <c r="B1380">
        <v>2018</v>
      </c>
      <c r="C1380" s="1">
        <v>43107</v>
      </c>
      <c r="D1380" t="s">
        <v>42</v>
      </c>
      <c r="E1380" t="s">
        <v>136</v>
      </c>
      <c r="F1380">
        <v>49</v>
      </c>
      <c r="G1380" t="s">
        <v>60</v>
      </c>
      <c r="H1380" t="s">
        <v>70</v>
      </c>
      <c r="I1380">
        <v>0</v>
      </c>
      <c r="J1380">
        <v>0</v>
      </c>
      <c r="K1380" t="s">
        <v>46</v>
      </c>
      <c r="L1380" t="s">
        <v>47</v>
      </c>
      <c r="M1380" t="s">
        <v>47</v>
      </c>
      <c r="N1380" t="s">
        <v>48</v>
      </c>
      <c r="O1380" t="s">
        <v>63</v>
      </c>
      <c r="P1380">
        <v>31.4</v>
      </c>
      <c r="Q1380" t="s">
        <v>48</v>
      </c>
      <c r="R1380" t="s">
        <v>47</v>
      </c>
      <c r="S1380" t="s">
        <v>47</v>
      </c>
      <c r="T1380" t="s">
        <v>47</v>
      </c>
      <c r="U1380" t="s">
        <v>47</v>
      </c>
      <c r="V1380" t="s">
        <v>86</v>
      </c>
      <c r="W1380" t="s">
        <v>47</v>
      </c>
      <c r="X1380" t="s">
        <v>46</v>
      </c>
      <c r="Y1380" t="s">
        <v>47</v>
      </c>
      <c r="Z1380" t="s">
        <v>47</v>
      </c>
      <c r="AA1380" t="s">
        <v>46</v>
      </c>
      <c r="AB1380" t="s">
        <v>47</v>
      </c>
      <c r="AC1380" t="s">
        <v>46</v>
      </c>
      <c r="AD1380" t="s">
        <v>47</v>
      </c>
      <c r="AE1380" t="s">
        <v>47</v>
      </c>
      <c r="AF1380" t="s">
        <v>47</v>
      </c>
      <c r="AG1380" t="s">
        <v>52</v>
      </c>
      <c r="AH1380" t="s">
        <v>53</v>
      </c>
      <c r="AI1380" t="s">
        <v>80</v>
      </c>
      <c r="AJ1380">
        <v>6.9</v>
      </c>
      <c r="AK1380" t="s">
        <v>47</v>
      </c>
      <c r="AL1380" t="s">
        <v>156</v>
      </c>
      <c r="AM1380" t="s">
        <v>67</v>
      </c>
      <c r="AN1380">
        <v>16</v>
      </c>
      <c r="AO1380" t="s">
        <v>47</v>
      </c>
    </row>
    <row r="1381" spans="1:41">
      <c r="A1381" t="s">
        <v>1533</v>
      </c>
      <c r="B1381">
        <v>2024</v>
      </c>
      <c r="C1381" s="1">
        <v>45354</v>
      </c>
      <c r="D1381" t="s">
        <v>110</v>
      </c>
      <c r="E1381" t="s">
        <v>236</v>
      </c>
      <c r="F1381">
        <v>64</v>
      </c>
      <c r="G1381" t="s">
        <v>60</v>
      </c>
      <c r="H1381" t="s">
        <v>70</v>
      </c>
      <c r="I1381">
        <v>0</v>
      </c>
      <c r="J1381">
        <v>0</v>
      </c>
      <c r="K1381" t="s">
        <v>46</v>
      </c>
      <c r="L1381" t="s">
        <v>46</v>
      </c>
      <c r="M1381" t="s">
        <v>47</v>
      </c>
      <c r="N1381" t="s">
        <v>62</v>
      </c>
      <c r="O1381" t="s">
        <v>63</v>
      </c>
      <c r="P1381">
        <v>27</v>
      </c>
      <c r="Q1381" t="s">
        <v>48</v>
      </c>
      <c r="R1381" t="s">
        <v>47</v>
      </c>
      <c r="S1381" t="s">
        <v>47</v>
      </c>
      <c r="T1381" t="s">
        <v>47</v>
      </c>
      <c r="U1381" t="s">
        <v>47</v>
      </c>
      <c r="V1381" t="s">
        <v>51</v>
      </c>
      <c r="W1381" t="s">
        <v>46</v>
      </c>
      <c r="X1381" t="s">
        <v>46</v>
      </c>
      <c r="Y1381" t="s">
        <v>47</v>
      </c>
      <c r="Z1381" t="s">
        <v>47</v>
      </c>
      <c r="AA1381" t="s">
        <v>47</v>
      </c>
      <c r="AB1381" t="s">
        <v>47</v>
      </c>
      <c r="AC1381" t="s">
        <v>47</v>
      </c>
      <c r="AD1381" t="s">
        <v>47</v>
      </c>
      <c r="AE1381" t="s">
        <v>47</v>
      </c>
      <c r="AF1381" t="s">
        <v>47</v>
      </c>
      <c r="AG1381" t="s">
        <v>52</v>
      </c>
      <c r="AH1381" t="s">
        <v>90</v>
      </c>
      <c r="AI1381" t="s">
        <v>54</v>
      </c>
      <c r="AJ1381">
        <v>6.6</v>
      </c>
      <c r="AK1381" t="s">
        <v>46</v>
      </c>
      <c r="AL1381" t="s">
        <v>76</v>
      </c>
      <c r="AM1381" t="s">
        <v>77</v>
      </c>
      <c r="AN1381">
        <v>7</v>
      </c>
      <c r="AO1381" t="s">
        <v>47</v>
      </c>
    </row>
    <row r="1382" spans="1:41">
      <c r="A1382" t="s">
        <v>1534</v>
      </c>
      <c r="B1382">
        <v>2022</v>
      </c>
      <c r="C1382" s="1">
        <v>44725</v>
      </c>
      <c r="D1382" t="s">
        <v>84</v>
      </c>
      <c r="E1382" t="s">
        <v>89</v>
      </c>
      <c r="F1382">
        <v>58</v>
      </c>
      <c r="G1382" t="s">
        <v>60</v>
      </c>
      <c r="H1382" t="s">
        <v>45</v>
      </c>
      <c r="I1382">
        <v>11</v>
      </c>
      <c r="J1382">
        <v>22</v>
      </c>
      <c r="K1382" t="s">
        <v>47</v>
      </c>
      <c r="L1382" t="s">
        <v>47</v>
      </c>
      <c r="M1382" t="s">
        <v>47</v>
      </c>
      <c r="N1382" t="s">
        <v>62</v>
      </c>
      <c r="O1382" t="s">
        <v>49</v>
      </c>
      <c r="P1382">
        <v>31</v>
      </c>
      <c r="Q1382" t="s">
        <v>48</v>
      </c>
      <c r="R1382" t="s">
        <v>46</v>
      </c>
      <c r="S1382" t="s">
        <v>47</v>
      </c>
      <c r="T1382" t="s">
        <v>47</v>
      </c>
      <c r="U1382" t="s">
        <v>47</v>
      </c>
      <c r="V1382" t="s">
        <v>51</v>
      </c>
      <c r="W1382" t="s">
        <v>46</v>
      </c>
      <c r="X1382" t="s">
        <v>46</v>
      </c>
      <c r="Y1382" t="s">
        <v>46</v>
      </c>
      <c r="Z1382" t="s">
        <v>46</v>
      </c>
      <c r="AA1382" t="s">
        <v>46</v>
      </c>
      <c r="AB1382" t="s">
        <v>46</v>
      </c>
      <c r="AC1382" t="s">
        <v>47</v>
      </c>
      <c r="AD1382" t="s">
        <v>47</v>
      </c>
      <c r="AE1382" t="s">
        <v>47</v>
      </c>
      <c r="AF1382" t="s">
        <v>47</v>
      </c>
      <c r="AG1382" t="s">
        <v>52</v>
      </c>
      <c r="AH1382" t="s">
        <v>53</v>
      </c>
      <c r="AI1382" t="s">
        <v>87</v>
      </c>
      <c r="AJ1382">
        <v>4</v>
      </c>
      <c r="AK1382" t="s">
        <v>47</v>
      </c>
      <c r="AL1382" t="s">
        <v>66</v>
      </c>
      <c r="AM1382" t="s">
        <v>103</v>
      </c>
      <c r="AN1382">
        <v>27</v>
      </c>
      <c r="AO1382" t="s">
        <v>47</v>
      </c>
    </row>
    <row r="1383" spans="1:41">
      <c r="A1383" t="s">
        <v>1535</v>
      </c>
      <c r="B1383">
        <v>2025</v>
      </c>
      <c r="C1383" s="1">
        <v>45679</v>
      </c>
      <c r="D1383" t="s">
        <v>42</v>
      </c>
      <c r="E1383" t="s">
        <v>247</v>
      </c>
      <c r="F1383">
        <v>50</v>
      </c>
      <c r="G1383" t="s">
        <v>60</v>
      </c>
      <c r="H1383" t="s">
        <v>70</v>
      </c>
      <c r="I1383">
        <v>0</v>
      </c>
      <c r="J1383">
        <v>0</v>
      </c>
      <c r="K1383" t="s">
        <v>47</v>
      </c>
      <c r="L1383" t="s">
        <v>46</v>
      </c>
      <c r="M1383" t="s">
        <v>46</v>
      </c>
      <c r="N1383" t="s">
        <v>48</v>
      </c>
      <c r="O1383" t="s">
        <v>49</v>
      </c>
      <c r="P1383">
        <v>29.6</v>
      </c>
      <c r="Q1383" t="s">
        <v>50</v>
      </c>
      <c r="R1383" t="s">
        <v>47</v>
      </c>
      <c r="S1383" t="s">
        <v>47</v>
      </c>
      <c r="T1383" t="s">
        <v>47</v>
      </c>
      <c r="U1383" t="s">
        <v>47</v>
      </c>
      <c r="V1383" t="s">
        <v>193</v>
      </c>
      <c r="W1383" t="s">
        <v>47</v>
      </c>
      <c r="X1383" t="s">
        <v>47</v>
      </c>
      <c r="Y1383" t="s">
        <v>46</v>
      </c>
      <c r="Z1383" t="s">
        <v>47</v>
      </c>
      <c r="AA1383" t="s">
        <v>46</v>
      </c>
      <c r="AB1383" t="s">
        <v>47</v>
      </c>
      <c r="AC1383" t="s">
        <v>47</v>
      </c>
      <c r="AD1383" t="s">
        <v>47</v>
      </c>
      <c r="AE1383" t="s">
        <v>47</v>
      </c>
      <c r="AF1383" t="s">
        <v>47</v>
      </c>
      <c r="AG1383" t="s">
        <v>52</v>
      </c>
      <c r="AH1383" t="s">
        <v>90</v>
      </c>
      <c r="AI1383" t="s">
        <v>65</v>
      </c>
      <c r="AJ1383">
        <v>2.5</v>
      </c>
      <c r="AK1383" t="s">
        <v>47</v>
      </c>
      <c r="AL1383" t="s">
        <v>100</v>
      </c>
      <c r="AM1383" t="s">
        <v>73</v>
      </c>
      <c r="AN1383">
        <v>40</v>
      </c>
      <c r="AO1383" t="s">
        <v>46</v>
      </c>
    </row>
    <row r="1384" spans="1:41">
      <c r="A1384" t="s">
        <v>1536</v>
      </c>
      <c r="B1384">
        <v>2020</v>
      </c>
      <c r="C1384" s="1">
        <v>43978</v>
      </c>
      <c r="D1384" t="s">
        <v>58</v>
      </c>
      <c r="E1384" t="s">
        <v>142</v>
      </c>
      <c r="F1384">
        <v>79</v>
      </c>
      <c r="G1384" t="s">
        <v>60</v>
      </c>
      <c r="H1384" t="s">
        <v>70</v>
      </c>
      <c r="I1384">
        <v>0</v>
      </c>
      <c r="J1384">
        <v>0</v>
      </c>
      <c r="K1384" t="s">
        <v>46</v>
      </c>
      <c r="L1384" t="s">
        <v>47</v>
      </c>
      <c r="M1384" t="s">
        <v>47</v>
      </c>
      <c r="N1384" t="s">
        <v>50</v>
      </c>
      <c r="O1384" t="s">
        <v>49</v>
      </c>
      <c r="P1384">
        <v>27</v>
      </c>
      <c r="Q1384" t="s">
        <v>50</v>
      </c>
      <c r="R1384" t="s">
        <v>47</v>
      </c>
      <c r="S1384" t="s">
        <v>47</v>
      </c>
      <c r="T1384" t="s">
        <v>47</v>
      </c>
      <c r="U1384" t="s">
        <v>47</v>
      </c>
      <c r="V1384" t="s">
        <v>51</v>
      </c>
      <c r="W1384" t="s">
        <v>47</v>
      </c>
      <c r="X1384" t="s">
        <v>47</v>
      </c>
      <c r="Y1384" t="s">
        <v>47</v>
      </c>
      <c r="Z1384" t="s">
        <v>47</v>
      </c>
      <c r="AA1384" t="s">
        <v>47</v>
      </c>
      <c r="AB1384" t="s">
        <v>47</v>
      </c>
      <c r="AC1384" t="s">
        <v>47</v>
      </c>
      <c r="AD1384" t="s">
        <v>47</v>
      </c>
      <c r="AE1384" t="s">
        <v>47</v>
      </c>
      <c r="AF1384" t="s">
        <v>47</v>
      </c>
      <c r="AG1384" t="s">
        <v>52</v>
      </c>
      <c r="AH1384" t="s">
        <v>53</v>
      </c>
      <c r="AI1384" t="s">
        <v>87</v>
      </c>
      <c r="AJ1384">
        <v>5.7</v>
      </c>
      <c r="AK1384" t="s">
        <v>47</v>
      </c>
      <c r="AL1384" t="s">
        <v>100</v>
      </c>
      <c r="AM1384" t="s">
        <v>77</v>
      </c>
      <c r="AN1384">
        <v>44</v>
      </c>
      <c r="AO1384" t="s">
        <v>47</v>
      </c>
    </row>
    <row r="1385" spans="1:41">
      <c r="A1385" t="s">
        <v>1537</v>
      </c>
      <c r="B1385">
        <v>2025</v>
      </c>
      <c r="C1385" s="1">
        <v>45670</v>
      </c>
      <c r="D1385" t="s">
        <v>42</v>
      </c>
      <c r="E1385" t="s">
        <v>210</v>
      </c>
      <c r="F1385">
        <v>78</v>
      </c>
      <c r="G1385" t="s">
        <v>60</v>
      </c>
      <c r="H1385" t="s">
        <v>70</v>
      </c>
      <c r="I1385">
        <v>0</v>
      </c>
      <c r="J1385">
        <v>0</v>
      </c>
      <c r="K1385" t="s">
        <v>47</v>
      </c>
      <c r="L1385" t="s">
        <v>47</v>
      </c>
      <c r="M1385" t="s">
        <v>47</v>
      </c>
      <c r="N1385" t="s">
        <v>48</v>
      </c>
      <c r="O1385" t="s">
        <v>48</v>
      </c>
      <c r="P1385">
        <v>24.2</v>
      </c>
      <c r="Q1385" t="s">
        <v>48</v>
      </c>
      <c r="R1385" t="s">
        <v>47</v>
      </c>
      <c r="S1385" t="s">
        <v>47</v>
      </c>
      <c r="T1385" t="s">
        <v>47</v>
      </c>
      <c r="U1385" t="s">
        <v>47</v>
      </c>
      <c r="V1385" t="s">
        <v>117</v>
      </c>
      <c r="W1385" t="s">
        <v>47</v>
      </c>
      <c r="X1385" t="s">
        <v>46</v>
      </c>
      <c r="Y1385" t="s">
        <v>47</v>
      </c>
      <c r="Z1385" t="s">
        <v>47</v>
      </c>
      <c r="AA1385" t="s">
        <v>47</v>
      </c>
      <c r="AB1385" t="s">
        <v>47</v>
      </c>
      <c r="AC1385" t="s">
        <v>47</v>
      </c>
      <c r="AD1385" t="s">
        <v>47</v>
      </c>
      <c r="AE1385" t="s">
        <v>47</v>
      </c>
      <c r="AF1385" t="s">
        <v>47</v>
      </c>
      <c r="AG1385" t="s">
        <v>52</v>
      </c>
      <c r="AH1385" t="s">
        <v>71</v>
      </c>
      <c r="AI1385" t="s">
        <v>65</v>
      </c>
      <c r="AJ1385">
        <v>2</v>
      </c>
      <c r="AK1385" t="s">
        <v>47</v>
      </c>
      <c r="AL1385" t="s">
        <v>76</v>
      </c>
      <c r="AM1385" t="s">
        <v>73</v>
      </c>
      <c r="AN1385">
        <v>16</v>
      </c>
      <c r="AO1385" t="s">
        <v>47</v>
      </c>
    </row>
    <row r="1386" spans="1:41">
      <c r="A1386" t="s">
        <v>1538</v>
      </c>
      <c r="B1386">
        <v>2022</v>
      </c>
      <c r="C1386" s="1">
        <v>44828</v>
      </c>
      <c r="D1386" t="s">
        <v>42</v>
      </c>
      <c r="E1386" t="s">
        <v>75</v>
      </c>
      <c r="F1386">
        <v>57</v>
      </c>
      <c r="G1386" t="s">
        <v>60</v>
      </c>
      <c r="H1386" t="s">
        <v>70</v>
      </c>
      <c r="I1386">
        <v>0</v>
      </c>
      <c r="J1386">
        <v>0</v>
      </c>
      <c r="K1386" t="s">
        <v>46</v>
      </c>
      <c r="L1386" t="s">
        <v>47</v>
      </c>
      <c r="M1386" t="s">
        <v>47</v>
      </c>
      <c r="N1386" t="s">
        <v>48</v>
      </c>
      <c r="O1386" t="s">
        <v>49</v>
      </c>
      <c r="P1386">
        <v>28</v>
      </c>
      <c r="Q1386" t="s">
        <v>62</v>
      </c>
      <c r="R1386" t="s">
        <v>47</v>
      </c>
      <c r="S1386" t="s">
        <v>47</v>
      </c>
      <c r="T1386" t="s">
        <v>47</v>
      </c>
      <c r="U1386" t="s">
        <v>47</v>
      </c>
      <c r="V1386" t="s">
        <v>193</v>
      </c>
      <c r="W1386" t="s">
        <v>46</v>
      </c>
      <c r="X1386" t="s">
        <v>47</v>
      </c>
      <c r="Y1386" t="s">
        <v>46</v>
      </c>
      <c r="Z1386" t="s">
        <v>47</v>
      </c>
      <c r="AA1386" t="s">
        <v>47</v>
      </c>
      <c r="AB1386" t="s">
        <v>47</v>
      </c>
      <c r="AC1386" t="s">
        <v>46</v>
      </c>
      <c r="AD1386" t="s">
        <v>47</v>
      </c>
      <c r="AE1386" t="s">
        <v>47</v>
      </c>
      <c r="AF1386" t="s">
        <v>47</v>
      </c>
      <c r="AG1386" t="s">
        <v>52</v>
      </c>
      <c r="AH1386" t="s">
        <v>90</v>
      </c>
      <c r="AI1386" t="s">
        <v>65</v>
      </c>
      <c r="AJ1386">
        <v>1.3</v>
      </c>
      <c r="AK1386" t="s">
        <v>47</v>
      </c>
      <c r="AL1386" t="s">
        <v>72</v>
      </c>
      <c r="AM1386" t="s">
        <v>73</v>
      </c>
      <c r="AN1386">
        <v>60</v>
      </c>
      <c r="AO1386" t="s">
        <v>46</v>
      </c>
    </row>
    <row r="1387" spans="1:41">
      <c r="A1387" t="s">
        <v>1539</v>
      </c>
      <c r="B1387">
        <v>2025</v>
      </c>
      <c r="C1387" s="1">
        <v>45751</v>
      </c>
      <c r="D1387" t="s">
        <v>58</v>
      </c>
      <c r="E1387" t="s">
        <v>252</v>
      </c>
      <c r="F1387">
        <v>69</v>
      </c>
      <c r="G1387" t="s">
        <v>60</v>
      </c>
      <c r="H1387" t="s">
        <v>70</v>
      </c>
      <c r="I1387">
        <v>0</v>
      </c>
      <c r="J1387">
        <v>0</v>
      </c>
      <c r="K1387" t="s">
        <v>47</v>
      </c>
      <c r="L1387" t="s">
        <v>46</v>
      </c>
      <c r="M1387" t="s">
        <v>47</v>
      </c>
      <c r="N1387" t="s">
        <v>50</v>
      </c>
      <c r="O1387" t="s">
        <v>49</v>
      </c>
      <c r="P1387">
        <v>24.4</v>
      </c>
      <c r="Q1387" t="s">
        <v>48</v>
      </c>
      <c r="R1387" t="s">
        <v>47</v>
      </c>
      <c r="S1387" t="s">
        <v>47</v>
      </c>
      <c r="T1387" t="s">
        <v>47</v>
      </c>
      <c r="U1387" t="s">
        <v>46</v>
      </c>
      <c r="V1387" t="s">
        <v>117</v>
      </c>
      <c r="W1387" t="s">
        <v>46</v>
      </c>
      <c r="X1387" t="s">
        <v>47</v>
      </c>
      <c r="Y1387" t="s">
        <v>46</v>
      </c>
      <c r="Z1387" t="s">
        <v>47</v>
      </c>
      <c r="AA1387" t="s">
        <v>46</v>
      </c>
      <c r="AB1387" t="s">
        <v>47</v>
      </c>
      <c r="AC1387" t="s">
        <v>47</v>
      </c>
      <c r="AD1387" t="s">
        <v>46</v>
      </c>
      <c r="AE1387" t="s">
        <v>47</v>
      </c>
      <c r="AF1387" t="s">
        <v>47</v>
      </c>
      <c r="AG1387" t="s">
        <v>52</v>
      </c>
      <c r="AH1387" t="s">
        <v>53</v>
      </c>
      <c r="AI1387" t="s">
        <v>87</v>
      </c>
      <c r="AJ1387">
        <v>3.5</v>
      </c>
      <c r="AK1387" t="s">
        <v>47</v>
      </c>
      <c r="AL1387" t="s">
        <v>81</v>
      </c>
      <c r="AM1387" t="s">
        <v>77</v>
      </c>
      <c r="AN1387">
        <v>30</v>
      </c>
      <c r="AO1387" t="s">
        <v>47</v>
      </c>
    </row>
    <row r="1388" spans="1:41">
      <c r="A1388" t="s">
        <v>1540</v>
      </c>
      <c r="B1388">
        <v>2016</v>
      </c>
      <c r="C1388" s="1">
        <v>42426</v>
      </c>
      <c r="D1388" t="s">
        <v>110</v>
      </c>
      <c r="E1388" t="s">
        <v>294</v>
      </c>
      <c r="F1388">
        <v>52</v>
      </c>
      <c r="G1388" t="s">
        <v>44</v>
      </c>
      <c r="H1388" t="s">
        <v>70</v>
      </c>
      <c r="I1388">
        <v>0</v>
      </c>
      <c r="J1388">
        <v>0</v>
      </c>
      <c r="K1388" t="s">
        <v>46</v>
      </c>
      <c r="L1388" t="s">
        <v>47</v>
      </c>
      <c r="M1388" t="s">
        <v>47</v>
      </c>
      <c r="N1388" t="s">
        <v>62</v>
      </c>
      <c r="O1388" t="s">
        <v>48</v>
      </c>
      <c r="P1388">
        <v>22.4</v>
      </c>
      <c r="Q1388" t="s">
        <v>50</v>
      </c>
      <c r="R1388" t="s">
        <v>47</v>
      </c>
      <c r="S1388" t="s">
        <v>47</v>
      </c>
      <c r="T1388" t="s">
        <v>47</v>
      </c>
      <c r="U1388" t="s">
        <v>47</v>
      </c>
      <c r="V1388" t="s">
        <v>51</v>
      </c>
      <c r="W1388" t="s">
        <v>47</v>
      </c>
      <c r="X1388" t="s">
        <v>47</v>
      </c>
      <c r="Y1388" t="s">
        <v>47</v>
      </c>
      <c r="Z1388" t="s">
        <v>46</v>
      </c>
      <c r="AA1388" t="s">
        <v>46</v>
      </c>
      <c r="AB1388" t="s">
        <v>46</v>
      </c>
      <c r="AC1388" t="s">
        <v>47</v>
      </c>
      <c r="AD1388" t="s">
        <v>47</v>
      </c>
      <c r="AE1388" t="s">
        <v>47</v>
      </c>
      <c r="AF1388" t="s">
        <v>47</v>
      </c>
      <c r="AG1388" t="s">
        <v>52</v>
      </c>
      <c r="AH1388" t="s">
        <v>53</v>
      </c>
      <c r="AI1388" t="s">
        <v>65</v>
      </c>
      <c r="AJ1388">
        <v>3.2</v>
      </c>
      <c r="AK1388" t="s">
        <v>47</v>
      </c>
      <c r="AL1388" t="s">
        <v>66</v>
      </c>
      <c r="AM1388" t="s">
        <v>73</v>
      </c>
      <c r="AN1388">
        <v>49</v>
      </c>
      <c r="AO1388" t="s">
        <v>47</v>
      </c>
    </row>
    <row r="1389" spans="1:41">
      <c r="A1389" t="s">
        <v>1541</v>
      </c>
      <c r="B1389">
        <v>2023</v>
      </c>
      <c r="C1389" s="1">
        <v>44958</v>
      </c>
      <c r="D1389" t="s">
        <v>95</v>
      </c>
      <c r="E1389" t="s">
        <v>114</v>
      </c>
      <c r="F1389">
        <v>61</v>
      </c>
      <c r="G1389" t="s">
        <v>44</v>
      </c>
      <c r="H1389" t="s">
        <v>70</v>
      </c>
      <c r="I1389">
        <v>0</v>
      </c>
      <c r="J1389">
        <v>0</v>
      </c>
      <c r="K1389" t="s">
        <v>46</v>
      </c>
      <c r="L1389" t="s">
        <v>47</v>
      </c>
      <c r="M1389" t="s">
        <v>47</v>
      </c>
      <c r="N1389" t="s">
        <v>48</v>
      </c>
      <c r="O1389" t="s">
        <v>48</v>
      </c>
      <c r="P1389">
        <v>32.700000000000003</v>
      </c>
      <c r="Q1389" t="s">
        <v>50</v>
      </c>
      <c r="R1389" t="s">
        <v>47</v>
      </c>
      <c r="S1389" t="s">
        <v>47</v>
      </c>
      <c r="T1389" t="s">
        <v>47</v>
      </c>
      <c r="U1389" t="s">
        <v>46</v>
      </c>
      <c r="V1389" t="s">
        <v>86</v>
      </c>
      <c r="W1389" t="s">
        <v>47</v>
      </c>
      <c r="X1389" t="s">
        <v>47</v>
      </c>
      <c r="Y1389" t="s">
        <v>46</v>
      </c>
      <c r="Z1389" t="s">
        <v>47</v>
      </c>
      <c r="AA1389" t="s">
        <v>47</v>
      </c>
      <c r="AB1389" t="s">
        <v>46</v>
      </c>
      <c r="AC1389" t="s">
        <v>47</v>
      </c>
      <c r="AD1389" t="s">
        <v>47</v>
      </c>
      <c r="AE1389" t="s">
        <v>46</v>
      </c>
      <c r="AF1389" t="s">
        <v>47</v>
      </c>
      <c r="AG1389" t="s">
        <v>52</v>
      </c>
      <c r="AH1389" t="s">
        <v>53</v>
      </c>
      <c r="AI1389" t="s">
        <v>65</v>
      </c>
      <c r="AJ1389">
        <v>1.3</v>
      </c>
      <c r="AK1389" t="s">
        <v>47</v>
      </c>
      <c r="AL1389" t="s">
        <v>76</v>
      </c>
      <c r="AM1389" t="s">
        <v>67</v>
      </c>
      <c r="AN1389">
        <v>69</v>
      </c>
      <c r="AO1389" t="s">
        <v>46</v>
      </c>
    </row>
    <row r="1390" spans="1:41">
      <c r="A1390" t="s">
        <v>1542</v>
      </c>
      <c r="B1390">
        <v>2023</v>
      </c>
      <c r="C1390" s="1">
        <v>45021</v>
      </c>
      <c r="D1390" t="s">
        <v>58</v>
      </c>
      <c r="E1390" t="s">
        <v>59</v>
      </c>
      <c r="F1390">
        <v>44</v>
      </c>
      <c r="G1390" t="s">
        <v>60</v>
      </c>
      <c r="H1390" t="s">
        <v>70</v>
      </c>
      <c r="I1390">
        <v>0</v>
      </c>
      <c r="J1390">
        <v>0</v>
      </c>
      <c r="K1390" t="s">
        <v>47</v>
      </c>
      <c r="L1390" t="s">
        <v>47</v>
      </c>
      <c r="M1390" t="s">
        <v>47</v>
      </c>
      <c r="N1390" t="s">
        <v>62</v>
      </c>
      <c r="O1390" t="s">
        <v>63</v>
      </c>
      <c r="P1390">
        <v>35.299999999999997</v>
      </c>
      <c r="Q1390" t="s">
        <v>48</v>
      </c>
      <c r="R1390" t="s">
        <v>47</v>
      </c>
      <c r="S1390" t="s">
        <v>47</v>
      </c>
      <c r="T1390" t="s">
        <v>47</v>
      </c>
      <c r="U1390" t="s">
        <v>47</v>
      </c>
      <c r="V1390" t="s">
        <v>151</v>
      </c>
      <c r="W1390" t="s">
        <v>47</v>
      </c>
      <c r="X1390" t="s">
        <v>47</v>
      </c>
      <c r="Y1390" t="s">
        <v>47</v>
      </c>
      <c r="Z1390" t="s">
        <v>47</v>
      </c>
      <c r="AA1390" t="s">
        <v>46</v>
      </c>
      <c r="AB1390" t="s">
        <v>47</v>
      </c>
      <c r="AC1390" t="s">
        <v>47</v>
      </c>
      <c r="AD1390" t="s">
        <v>47</v>
      </c>
      <c r="AE1390" t="s">
        <v>47</v>
      </c>
      <c r="AF1390" t="s">
        <v>47</v>
      </c>
      <c r="AG1390" t="s">
        <v>52</v>
      </c>
      <c r="AH1390" t="s">
        <v>53</v>
      </c>
      <c r="AI1390" t="s">
        <v>65</v>
      </c>
      <c r="AJ1390">
        <v>2.4</v>
      </c>
      <c r="AK1390" t="s">
        <v>47</v>
      </c>
      <c r="AL1390" t="s">
        <v>76</v>
      </c>
      <c r="AM1390" t="s">
        <v>73</v>
      </c>
      <c r="AN1390">
        <v>37</v>
      </c>
      <c r="AO1390" t="s">
        <v>46</v>
      </c>
    </row>
    <row r="1391" spans="1:41">
      <c r="A1391" t="s">
        <v>1543</v>
      </c>
      <c r="B1391">
        <v>2021</v>
      </c>
      <c r="C1391" s="1">
        <v>44389</v>
      </c>
      <c r="D1391" t="s">
        <v>42</v>
      </c>
      <c r="E1391" t="s">
        <v>69</v>
      </c>
      <c r="F1391">
        <v>60</v>
      </c>
      <c r="G1391" t="s">
        <v>60</v>
      </c>
      <c r="H1391" t="s">
        <v>70</v>
      </c>
      <c r="I1391">
        <v>0</v>
      </c>
      <c r="J1391">
        <v>0</v>
      </c>
      <c r="K1391" t="s">
        <v>47</v>
      </c>
      <c r="L1391" t="s">
        <v>47</v>
      </c>
      <c r="M1391" t="s">
        <v>47</v>
      </c>
      <c r="N1391" t="s">
        <v>50</v>
      </c>
      <c r="O1391" t="s">
        <v>48</v>
      </c>
      <c r="P1391">
        <v>25.2</v>
      </c>
      <c r="Q1391" t="s">
        <v>50</v>
      </c>
      <c r="R1391" t="s">
        <v>47</v>
      </c>
      <c r="S1391" t="s">
        <v>47</v>
      </c>
      <c r="T1391" t="s">
        <v>47</v>
      </c>
      <c r="U1391" t="s">
        <v>47</v>
      </c>
      <c r="V1391" t="s">
        <v>51</v>
      </c>
      <c r="W1391" t="s">
        <v>46</v>
      </c>
      <c r="X1391" t="s">
        <v>47</v>
      </c>
      <c r="Y1391" t="s">
        <v>47</v>
      </c>
      <c r="Z1391" t="s">
        <v>47</v>
      </c>
      <c r="AA1391" t="s">
        <v>46</v>
      </c>
      <c r="AB1391" t="s">
        <v>47</v>
      </c>
      <c r="AC1391" t="s">
        <v>47</v>
      </c>
      <c r="AD1391" t="s">
        <v>46</v>
      </c>
      <c r="AE1391" t="s">
        <v>47</v>
      </c>
      <c r="AF1391" t="s">
        <v>47</v>
      </c>
      <c r="AG1391" t="s">
        <v>121</v>
      </c>
      <c r="AH1391" t="s">
        <v>122</v>
      </c>
      <c r="AI1391" t="s">
        <v>54</v>
      </c>
      <c r="AJ1391">
        <v>7.5</v>
      </c>
      <c r="AK1391" t="s">
        <v>46</v>
      </c>
      <c r="AL1391" t="s">
        <v>76</v>
      </c>
      <c r="AM1391" t="s">
        <v>82</v>
      </c>
      <c r="AN1391">
        <v>10</v>
      </c>
      <c r="AO1391" t="s">
        <v>47</v>
      </c>
    </row>
    <row r="1392" spans="1:41">
      <c r="A1392" t="s">
        <v>1544</v>
      </c>
      <c r="B1392">
        <v>2018</v>
      </c>
      <c r="C1392" s="1">
        <v>43392</v>
      </c>
      <c r="D1392" t="s">
        <v>58</v>
      </c>
      <c r="E1392" t="s">
        <v>134</v>
      </c>
      <c r="F1392">
        <v>56</v>
      </c>
      <c r="G1392" t="s">
        <v>60</v>
      </c>
      <c r="H1392" t="s">
        <v>70</v>
      </c>
      <c r="I1392">
        <v>0</v>
      </c>
      <c r="J1392">
        <v>0</v>
      </c>
      <c r="K1392" t="s">
        <v>47</v>
      </c>
      <c r="L1392" t="s">
        <v>47</v>
      </c>
      <c r="M1392" t="s">
        <v>47</v>
      </c>
      <c r="N1392" t="s">
        <v>48</v>
      </c>
      <c r="O1392" t="s">
        <v>48</v>
      </c>
      <c r="P1392">
        <v>22.7</v>
      </c>
      <c r="Q1392" t="s">
        <v>50</v>
      </c>
      <c r="R1392" t="s">
        <v>47</v>
      </c>
      <c r="S1392" t="s">
        <v>46</v>
      </c>
      <c r="T1392" t="s">
        <v>47</v>
      </c>
      <c r="U1392" t="s">
        <v>47</v>
      </c>
      <c r="V1392" t="s">
        <v>117</v>
      </c>
      <c r="W1392" t="s">
        <v>47</v>
      </c>
      <c r="X1392" t="s">
        <v>46</v>
      </c>
      <c r="Y1392" t="s">
        <v>47</v>
      </c>
      <c r="Z1392" t="s">
        <v>47</v>
      </c>
      <c r="AA1392" t="s">
        <v>47</v>
      </c>
      <c r="AB1392" t="s">
        <v>47</v>
      </c>
      <c r="AC1392" t="s">
        <v>46</v>
      </c>
      <c r="AD1392" t="s">
        <v>47</v>
      </c>
      <c r="AE1392" t="s">
        <v>47</v>
      </c>
      <c r="AF1392" t="s">
        <v>47</v>
      </c>
      <c r="AG1392" t="s">
        <v>52</v>
      </c>
      <c r="AH1392" t="s">
        <v>53</v>
      </c>
      <c r="AI1392" t="s">
        <v>80</v>
      </c>
      <c r="AJ1392">
        <v>6.1</v>
      </c>
      <c r="AK1392" t="s">
        <v>47</v>
      </c>
      <c r="AL1392" t="s">
        <v>156</v>
      </c>
      <c r="AM1392" t="s">
        <v>118</v>
      </c>
      <c r="AN1392">
        <v>15</v>
      </c>
      <c r="AO1392" t="s">
        <v>47</v>
      </c>
    </row>
    <row r="1393" spans="1:41">
      <c r="A1393" t="s">
        <v>1545</v>
      </c>
      <c r="B1393">
        <v>2017</v>
      </c>
      <c r="C1393" s="1">
        <v>42767</v>
      </c>
      <c r="D1393" t="s">
        <v>95</v>
      </c>
      <c r="E1393" t="s">
        <v>120</v>
      </c>
      <c r="F1393">
        <v>68</v>
      </c>
      <c r="G1393" t="s">
        <v>44</v>
      </c>
      <c r="H1393" t="s">
        <v>70</v>
      </c>
      <c r="I1393">
        <v>0</v>
      </c>
      <c r="J1393">
        <v>0</v>
      </c>
      <c r="K1393" t="s">
        <v>46</v>
      </c>
      <c r="L1393" t="s">
        <v>46</v>
      </c>
      <c r="M1393" t="s">
        <v>47</v>
      </c>
      <c r="N1393" t="s">
        <v>48</v>
      </c>
      <c r="O1393" t="s">
        <v>49</v>
      </c>
      <c r="P1393">
        <v>27.6</v>
      </c>
      <c r="Q1393" t="s">
        <v>62</v>
      </c>
      <c r="R1393" t="s">
        <v>46</v>
      </c>
      <c r="S1393" t="s">
        <v>47</v>
      </c>
      <c r="T1393" t="s">
        <v>47</v>
      </c>
      <c r="U1393" t="s">
        <v>47</v>
      </c>
      <c r="V1393" t="s">
        <v>51</v>
      </c>
      <c r="W1393" t="s">
        <v>47</v>
      </c>
      <c r="X1393" t="s">
        <v>47</v>
      </c>
      <c r="Y1393" t="s">
        <v>46</v>
      </c>
      <c r="Z1393" t="s">
        <v>47</v>
      </c>
      <c r="AA1393" t="s">
        <v>46</v>
      </c>
      <c r="AB1393" t="s">
        <v>46</v>
      </c>
      <c r="AC1393" t="s">
        <v>47</v>
      </c>
      <c r="AD1393" t="s">
        <v>47</v>
      </c>
      <c r="AE1393" t="s">
        <v>47</v>
      </c>
      <c r="AF1393" t="s">
        <v>46</v>
      </c>
      <c r="AG1393" t="s">
        <v>121</v>
      </c>
      <c r="AH1393" t="s">
        <v>122</v>
      </c>
      <c r="AI1393" t="s">
        <v>80</v>
      </c>
      <c r="AJ1393">
        <v>7.8</v>
      </c>
      <c r="AK1393" t="s">
        <v>47</v>
      </c>
      <c r="AL1393" t="s">
        <v>100</v>
      </c>
      <c r="AM1393" t="s">
        <v>67</v>
      </c>
      <c r="AN1393">
        <v>8</v>
      </c>
      <c r="AO1393" t="s">
        <v>47</v>
      </c>
    </row>
    <row r="1394" spans="1:41">
      <c r="A1394" t="s">
        <v>1546</v>
      </c>
      <c r="B1394">
        <v>2025</v>
      </c>
      <c r="C1394" s="1">
        <v>45768</v>
      </c>
      <c r="D1394" t="s">
        <v>42</v>
      </c>
      <c r="E1394" t="s">
        <v>210</v>
      </c>
      <c r="F1394">
        <v>75</v>
      </c>
      <c r="G1394" t="s">
        <v>60</v>
      </c>
      <c r="H1394" t="s">
        <v>70</v>
      </c>
      <c r="I1394">
        <v>0</v>
      </c>
      <c r="J1394">
        <v>0</v>
      </c>
      <c r="K1394" t="s">
        <v>46</v>
      </c>
      <c r="L1394" t="s">
        <v>47</v>
      </c>
      <c r="M1394" t="s">
        <v>47</v>
      </c>
      <c r="N1394" t="s">
        <v>50</v>
      </c>
      <c r="O1394" t="s">
        <v>48</v>
      </c>
      <c r="P1394">
        <v>33.4</v>
      </c>
      <c r="Q1394" t="s">
        <v>50</v>
      </c>
      <c r="R1394" t="s">
        <v>47</v>
      </c>
      <c r="S1394" t="s">
        <v>47</v>
      </c>
      <c r="T1394" t="s">
        <v>47</v>
      </c>
      <c r="U1394" t="s">
        <v>47</v>
      </c>
      <c r="V1394" t="s">
        <v>117</v>
      </c>
      <c r="W1394" t="s">
        <v>47</v>
      </c>
      <c r="X1394" t="s">
        <v>46</v>
      </c>
      <c r="Y1394" t="s">
        <v>47</v>
      </c>
      <c r="Z1394" t="s">
        <v>46</v>
      </c>
      <c r="AA1394" t="s">
        <v>46</v>
      </c>
      <c r="AB1394" t="s">
        <v>47</v>
      </c>
      <c r="AC1394" t="s">
        <v>46</v>
      </c>
      <c r="AD1394" t="s">
        <v>47</v>
      </c>
      <c r="AE1394" t="s">
        <v>46</v>
      </c>
      <c r="AF1394" t="s">
        <v>47</v>
      </c>
      <c r="AG1394" t="s">
        <v>52</v>
      </c>
      <c r="AH1394" t="s">
        <v>53</v>
      </c>
      <c r="AI1394" t="s">
        <v>65</v>
      </c>
      <c r="AJ1394">
        <v>1.7</v>
      </c>
      <c r="AK1394" t="s">
        <v>47</v>
      </c>
      <c r="AL1394" t="s">
        <v>72</v>
      </c>
      <c r="AM1394" t="s">
        <v>82</v>
      </c>
      <c r="AN1394">
        <v>55</v>
      </c>
      <c r="AO1394" t="s">
        <v>46</v>
      </c>
    </row>
    <row r="1395" spans="1:41">
      <c r="A1395" t="s">
        <v>1547</v>
      </c>
      <c r="B1395">
        <v>2022</v>
      </c>
      <c r="C1395" s="1">
        <v>44623</v>
      </c>
      <c r="D1395" t="s">
        <v>110</v>
      </c>
      <c r="E1395" t="s">
        <v>111</v>
      </c>
      <c r="F1395">
        <v>59</v>
      </c>
      <c r="G1395" t="s">
        <v>44</v>
      </c>
      <c r="H1395" t="s">
        <v>70</v>
      </c>
      <c r="I1395">
        <v>0</v>
      </c>
      <c r="J1395">
        <v>0</v>
      </c>
      <c r="K1395" t="s">
        <v>46</v>
      </c>
      <c r="L1395" t="s">
        <v>47</v>
      </c>
      <c r="M1395" t="s">
        <v>47</v>
      </c>
      <c r="N1395" t="s">
        <v>48</v>
      </c>
      <c r="O1395" t="s">
        <v>49</v>
      </c>
      <c r="P1395">
        <v>21.9</v>
      </c>
      <c r="Q1395" t="s">
        <v>50</v>
      </c>
      <c r="R1395" t="s">
        <v>47</v>
      </c>
      <c r="S1395" t="s">
        <v>47</v>
      </c>
      <c r="T1395" t="s">
        <v>47</v>
      </c>
      <c r="U1395" t="s">
        <v>46</v>
      </c>
      <c r="V1395" t="s">
        <v>112</v>
      </c>
      <c r="W1395" t="s">
        <v>46</v>
      </c>
      <c r="X1395" t="s">
        <v>47</v>
      </c>
      <c r="Y1395" t="s">
        <v>47</v>
      </c>
      <c r="Z1395" t="s">
        <v>47</v>
      </c>
      <c r="AA1395" t="s">
        <v>46</v>
      </c>
      <c r="AB1395" t="s">
        <v>46</v>
      </c>
      <c r="AC1395" t="s">
        <v>47</v>
      </c>
      <c r="AD1395" t="s">
        <v>47</v>
      </c>
      <c r="AE1395" t="s">
        <v>47</v>
      </c>
      <c r="AF1395" t="s">
        <v>46</v>
      </c>
      <c r="AG1395" t="s">
        <v>52</v>
      </c>
      <c r="AH1395" t="s">
        <v>53</v>
      </c>
      <c r="AI1395" t="s">
        <v>54</v>
      </c>
      <c r="AJ1395">
        <v>7.8</v>
      </c>
      <c r="AK1395" t="s">
        <v>46</v>
      </c>
      <c r="AL1395" t="s">
        <v>81</v>
      </c>
      <c r="AM1395" t="s">
        <v>77</v>
      </c>
      <c r="AN1395">
        <v>4</v>
      </c>
      <c r="AO1395" t="s">
        <v>47</v>
      </c>
    </row>
    <row r="1396" spans="1:41">
      <c r="A1396" t="s">
        <v>1548</v>
      </c>
      <c r="B1396">
        <v>2020</v>
      </c>
      <c r="C1396" s="1">
        <v>43863</v>
      </c>
      <c r="D1396" t="s">
        <v>58</v>
      </c>
      <c r="E1396" t="s">
        <v>252</v>
      </c>
      <c r="F1396">
        <v>81</v>
      </c>
      <c r="G1396" t="s">
        <v>44</v>
      </c>
      <c r="H1396" t="s">
        <v>70</v>
      </c>
      <c r="I1396">
        <v>0</v>
      </c>
      <c r="J1396">
        <v>0</v>
      </c>
      <c r="K1396" t="s">
        <v>47</v>
      </c>
      <c r="L1396" t="s">
        <v>47</v>
      </c>
      <c r="M1396" t="s">
        <v>47</v>
      </c>
      <c r="N1396" t="s">
        <v>50</v>
      </c>
      <c r="O1396" t="s">
        <v>49</v>
      </c>
      <c r="P1396">
        <v>22.5</v>
      </c>
      <c r="Q1396" t="s">
        <v>48</v>
      </c>
      <c r="R1396" t="s">
        <v>47</v>
      </c>
      <c r="S1396" t="s">
        <v>47</v>
      </c>
      <c r="T1396" t="s">
        <v>47</v>
      </c>
      <c r="U1396" t="s">
        <v>47</v>
      </c>
      <c r="V1396" t="s">
        <v>51</v>
      </c>
      <c r="W1396" t="s">
        <v>47</v>
      </c>
      <c r="X1396" t="s">
        <v>47</v>
      </c>
      <c r="Y1396" t="s">
        <v>47</v>
      </c>
      <c r="Z1396" t="s">
        <v>47</v>
      </c>
      <c r="AA1396" t="s">
        <v>46</v>
      </c>
      <c r="AB1396" t="s">
        <v>47</v>
      </c>
      <c r="AC1396" t="s">
        <v>46</v>
      </c>
      <c r="AD1396" t="s">
        <v>47</v>
      </c>
      <c r="AE1396" t="s">
        <v>47</v>
      </c>
      <c r="AF1396" t="s">
        <v>46</v>
      </c>
      <c r="AG1396" t="s">
        <v>52</v>
      </c>
      <c r="AH1396" t="s">
        <v>53</v>
      </c>
      <c r="AI1396" t="s">
        <v>87</v>
      </c>
      <c r="AJ1396">
        <v>2.6</v>
      </c>
      <c r="AK1396" t="s">
        <v>47</v>
      </c>
      <c r="AL1396" t="s">
        <v>76</v>
      </c>
      <c r="AM1396" t="s">
        <v>77</v>
      </c>
      <c r="AN1396">
        <v>26</v>
      </c>
      <c r="AO1396" t="s">
        <v>46</v>
      </c>
    </row>
    <row r="1397" spans="1:41">
      <c r="A1397" t="s">
        <v>1549</v>
      </c>
      <c r="B1397">
        <v>2015</v>
      </c>
      <c r="C1397" s="1">
        <v>42010</v>
      </c>
      <c r="D1397" t="s">
        <v>110</v>
      </c>
      <c r="E1397" t="s">
        <v>124</v>
      </c>
      <c r="F1397">
        <v>75</v>
      </c>
      <c r="G1397" t="s">
        <v>60</v>
      </c>
      <c r="H1397" t="s">
        <v>70</v>
      </c>
      <c r="I1397">
        <v>0</v>
      </c>
      <c r="J1397">
        <v>0</v>
      </c>
      <c r="K1397" t="s">
        <v>47</v>
      </c>
      <c r="L1397" t="s">
        <v>46</v>
      </c>
      <c r="M1397" t="s">
        <v>47</v>
      </c>
      <c r="N1397" t="s">
        <v>62</v>
      </c>
      <c r="O1397" t="s">
        <v>49</v>
      </c>
      <c r="P1397">
        <v>28.6</v>
      </c>
      <c r="Q1397" t="s">
        <v>48</v>
      </c>
      <c r="R1397" t="s">
        <v>47</v>
      </c>
      <c r="S1397" t="s">
        <v>47</v>
      </c>
      <c r="T1397" t="s">
        <v>47</v>
      </c>
      <c r="U1397" t="s">
        <v>47</v>
      </c>
      <c r="V1397" t="s">
        <v>64</v>
      </c>
      <c r="W1397" t="s">
        <v>47</v>
      </c>
      <c r="X1397" t="s">
        <v>46</v>
      </c>
      <c r="Y1397" t="s">
        <v>47</v>
      </c>
      <c r="Z1397" t="s">
        <v>47</v>
      </c>
      <c r="AA1397" t="s">
        <v>46</v>
      </c>
      <c r="AB1397" t="s">
        <v>47</v>
      </c>
      <c r="AC1397" t="s">
        <v>47</v>
      </c>
      <c r="AD1397" t="s">
        <v>47</v>
      </c>
      <c r="AE1397" t="s">
        <v>46</v>
      </c>
      <c r="AF1397" t="s">
        <v>47</v>
      </c>
      <c r="AG1397" t="s">
        <v>52</v>
      </c>
      <c r="AH1397" t="s">
        <v>90</v>
      </c>
      <c r="AI1397" t="s">
        <v>80</v>
      </c>
      <c r="AJ1397">
        <v>5.2</v>
      </c>
      <c r="AK1397" t="s">
        <v>47</v>
      </c>
      <c r="AL1397" t="s">
        <v>100</v>
      </c>
      <c r="AM1397" t="s">
        <v>77</v>
      </c>
      <c r="AN1397">
        <v>34</v>
      </c>
      <c r="AO1397" t="s">
        <v>46</v>
      </c>
    </row>
    <row r="1398" spans="1:41">
      <c r="A1398" t="s">
        <v>1550</v>
      </c>
      <c r="B1398">
        <v>2024</v>
      </c>
      <c r="C1398" s="1">
        <v>45500</v>
      </c>
      <c r="D1398" t="s">
        <v>58</v>
      </c>
      <c r="E1398" t="s">
        <v>229</v>
      </c>
      <c r="F1398">
        <v>58</v>
      </c>
      <c r="G1398" t="s">
        <v>44</v>
      </c>
      <c r="H1398" t="s">
        <v>70</v>
      </c>
      <c r="I1398">
        <v>0</v>
      </c>
      <c r="J1398">
        <v>0</v>
      </c>
      <c r="K1398" t="s">
        <v>47</v>
      </c>
      <c r="L1398" t="s">
        <v>47</v>
      </c>
      <c r="M1398" t="s">
        <v>46</v>
      </c>
      <c r="N1398" t="s">
        <v>48</v>
      </c>
      <c r="O1398" t="s">
        <v>49</v>
      </c>
      <c r="P1398">
        <v>25.2</v>
      </c>
      <c r="Q1398" t="s">
        <v>62</v>
      </c>
      <c r="R1398" t="s">
        <v>47</v>
      </c>
      <c r="S1398" t="s">
        <v>47</v>
      </c>
      <c r="T1398" t="s">
        <v>47</v>
      </c>
      <c r="U1398" t="s">
        <v>47</v>
      </c>
      <c r="V1398" t="s">
        <v>117</v>
      </c>
      <c r="W1398" t="s">
        <v>46</v>
      </c>
      <c r="X1398" t="s">
        <v>47</v>
      </c>
      <c r="Y1398" t="s">
        <v>47</v>
      </c>
      <c r="Z1398" t="s">
        <v>47</v>
      </c>
      <c r="AA1398" t="s">
        <v>46</v>
      </c>
      <c r="AB1398" t="s">
        <v>46</v>
      </c>
      <c r="AC1398" t="s">
        <v>47</v>
      </c>
      <c r="AD1398" t="s">
        <v>46</v>
      </c>
      <c r="AE1398" t="s">
        <v>47</v>
      </c>
      <c r="AF1398" t="s">
        <v>47</v>
      </c>
      <c r="AG1398" t="s">
        <v>52</v>
      </c>
      <c r="AH1398" t="s">
        <v>53</v>
      </c>
      <c r="AI1398" t="s">
        <v>80</v>
      </c>
      <c r="AJ1398">
        <v>5.5</v>
      </c>
      <c r="AK1398" t="s">
        <v>46</v>
      </c>
      <c r="AL1398" t="s">
        <v>72</v>
      </c>
      <c r="AM1398" t="s">
        <v>103</v>
      </c>
      <c r="AN1398">
        <v>20</v>
      </c>
      <c r="AO1398" t="s">
        <v>47</v>
      </c>
    </row>
    <row r="1399" spans="1:41">
      <c r="A1399" t="s">
        <v>1551</v>
      </c>
      <c r="B1399">
        <v>2025</v>
      </c>
      <c r="C1399" s="1">
        <v>45870</v>
      </c>
      <c r="D1399" t="s">
        <v>95</v>
      </c>
      <c r="E1399" t="s">
        <v>145</v>
      </c>
      <c r="F1399">
        <v>68</v>
      </c>
      <c r="G1399" t="s">
        <v>60</v>
      </c>
      <c r="H1399" t="s">
        <v>70</v>
      </c>
      <c r="I1399">
        <v>0</v>
      </c>
      <c r="J1399">
        <v>0</v>
      </c>
      <c r="K1399" t="s">
        <v>47</v>
      </c>
      <c r="L1399" t="s">
        <v>47</v>
      </c>
      <c r="M1399" t="s">
        <v>47</v>
      </c>
      <c r="N1399" t="s">
        <v>48</v>
      </c>
      <c r="O1399" t="s">
        <v>48</v>
      </c>
      <c r="P1399">
        <v>31.5</v>
      </c>
      <c r="Q1399" t="s">
        <v>50</v>
      </c>
      <c r="R1399" t="s">
        <v>47</v>
      </c>
      <c r="S1399" t="s">
        <v>47</v>
      </c>
      <c r="T1399" t="s">
        <v>47</v>
      </c>
      <c r="U1399" t="s">
        <v>47</v>
      </c>
      <c r="V1399" t="s">
        <v>86</v>
      </c>
      <c r="W1399" t="s">
        <v>47</v>
      </c>
      <c r="X1399" t="s">
        <v>46</v>
      </c>
      <c r="Y1399" t="s">
        <v>46</v>
      </c>
      <c r="Z1399" t="s">
        <v>47</v>
      </c>
      <c r="AA1399" t="s">
        <v>47</v>
      </c>
      <c r="AB1399" t="s">
        <v>47</v>
      </c>
      <c r="AC1399" t="s">
        <v>47</v>
      </c>
      <c r="AD1399" t="s">
        <v>46</v>
      </c>
      <c r="AE1399" t="s">
        <v>47</v>
      </c>
      <c r="AF1399" t="s">
        <v>47</v>
      </c>
      <c r="AG1399" t="s">
        <v>52</v>
      </c>
      <c r="AH1399" t="s">
        <v>53</v>
      </c>
      <c r="AI1399" t="s">
        <v>65</v>
      </c>
      <c r="AJ1399">
        <v>2.2000000000000002</v>
      </c>
      <c r="AK1399" t="s">
        <v>47</v>
      </c>
      <c r="AL1399" t="s">
        <v>156</v>
      </c>
      <c r="AM1399" t="s">
        <v>67</v>
      </c>
      <c r="AN1399">
        <v>92</v>
      </c>
      <c r="AO1399" t="s">
        <v>46</v>
      </c>
    </row>
    <row r="1400" spans="1:41">
      <c r="A1400" t="s">
        <v>1552</v>
      </c>
      <c r="B1400">
        <v>2022</v>
      </c>
      <c r="C1400" s="1">
        <v>44879</v>
      </c>
      <c r="D1400" t="s">
        <v>58</v>
      </c>
      <c r="E1400" t="s">
        <v>142</v>
      </c>
      <c r="F1400">
        <v>76</v>
      </c>
      <c r="G1400" t="s">
        <v>44</v>
      </c>
      <c r="H1400" t="s">
        <v>70</v>
      </c>
      <c r="I1400">
        <v>0</v>
      </c>
      <c r="J1400">
        <v>0</v>
      </c>
      <c r="K1400" t="s">
        <v>46</v>
      </c>
      <c r="L1400" t="s">
        <v>47</v>
      </c>
      <c r="M1400" t="s">
        <v>47</v>
      </c>
      <c r="N1400" t="s">
        <v>50</v>
      </c>
      <c r="O1400" t="s">
        <v>49</v>
      </c>
      <c r="P1400">
        <v>29.4</v>
      </c>
      <c r="Q1400" t="s">
        <v>48</v>
      </c>
      <c r="R1400" t="s">
        <v>46</v>
      </c>
      <c r="S1400" t="s">
        <v>46</v>
      </c>
      <c r="T1400" t="s">
        <v>47</v>
      </c>
      <c r="U1400" t="s">
        <v>47</v>
      </c>
      <c r="V1400" t="s">
        <v>51</v>
      </c>
      <c r="W1400" t="s">
        <v>46</v>
      </c>
      <c r="X1400" t="s">
        <v>46</v>
      </c>
      <c r="Y1400" t="s">
        <v>46</v>
      </c>
      <c r="Z1400" t="s">
        <v>47</v>
      </c>
      <c r="AA1400" t="s">
        <v>46</v>
      </c>
      <c r="AB1400" t="s">
        <v>47</v>
      </c>
      <c r="AC1400" t="s">
        <v>47</v>
      </c>
      <c r="AD1400" t="s">
        <v>47</v>
      </c>
      <c r="AE1400" t="s">
        <v>46</v>
      </c>
      <c r="AF1400" t="s">
        <v>47</v>
      </c>
      <c r="AG1400" t="s">
        <v>52</v>
      </c>
      <c r="AH1400" t="s">
        <v>53</v>
      </c>
      <c r="AI1400" t="s">
        <v>65</v>
      </c>
      <c r="AJ1400">
        <v>2.5</v>
      </c>
      <c r="AK1400" t="s">
        <v>47</v>
      </c>
      <c r="AL1400" t="s">
        <v>76</v>
      </c>
      <c r="AM1400" t="s">
        <v>73</v>
      </c>
      <c r="AN1400">
        <v>30</v>
      </c>
      <c r="AO1400" t="s">
        <v>47</v>
      </c>
    </row>
    <row r="1401" spans="1:41">
      <c r="A1401" t="s">
        <v>1553</v>
      </c>
      <c r="B1401">
        <v>2024</v>
      </c>
      <c r="C1401" s="1">
        <v>45450</v>
      </c>
      <c r="D1401" t="s">
        <v>98</v>
      </c>
      <c r="E1401" t="s">
        <v>465</v>
      </c>
      <c r="F1401">
        <v>61</v>
      </c>
      <c r="G1401" t="s">
        <v>44</v>
      </c>
      <c r="H1401" t="s">
        <v>70</v>
      </c>
      <c r="I1401">
        <v>0</v>
      </c>
      <c r="J1401">
        <v>0</v>
      </c>
      <c r="K1401" t="s">
        <v>47</v>
      </c>
      <c r="L1401" t="s">
        <v>47</v>
      </c>
      <c r="M1401" t="s">
        <v>47</v>
      </c>
      <c r="N1401" t="s">
        <v>62</v>
      </c>
      <c r="O1401" t="s">
        <v>63</v>
      </c>
      <c r="P1401">
        <v>30.7</v>
      </c>
      <c r="Q1401" t="s">
        <v>62</v>
      </c>
      <c r="R1401" t="s">
        <v>47</v>
      </c>
      <c r="S1401" t="s">
        <v>47</v>
      </c>
      <c r="T1401" t="s">
        <v>46</v>
      </c>
      <c r="U1401" t="s">
        <v>47</v>
      </c>
      <c r="V1401" t="s">
        <v>117</v>
      </c>
      <c r="W1401" t="s">
        <v>47</v>
      </c>
      <c r="X1401" t="s">
        <v>47</v>
      </c>
      <c r="Y1401" t="s">
        <v>47</v>
      </c>
      <c r="Z1401" t="s">
        <v>47</v>
      </c>
      <c r="AA1401" t="s">
        <v>47</v>
      </c>
      <c r="AB1401" t="s">
        <v>47</v>
      </c>
      <c r="AC1401" t="s">
        <v>47</v>
      </c>
      <c r="AD1401" t="s">
        <v>47</v>
      </c>
      <c r="AE1401" t="s">
        <v>47</v>
      </c>
      <c r="AF1401" t="s">
        <v>47</v>
      </c>
      <c r="AG1401" t="s">
        <v>52</v>
      </c>
      <c r="AH1401" t="s">
        <v>53</v>
      </c>
      <c r="AI1401" t="s">
        <v>87</v>
      </c>
      <c r="AJ1401">
        <v>4.0999999999999996</v>
      </c>
      <c r="AK1401" t="s">
        <v>47</v>
      </c>
      <c r="AL1401" t="s">
        <v>66</v>
      </c>
      <c r="AM1401" t="s">
        <v>118</v>
      </c>
      <c r="AN1401">
        <v>61</v>
      </c>
      <c r="AO1401" t="s">
        <v>47</v>
      </c>
    </row>
    <row r="1402" spans="1:41">
      <c r="A1402" t="s">
        <v>1554</v>
      </c>
      <c r="B1402">
        <v>2016</v>
      </c>
      <c r="C1402" s="1">
        <v>42499</v>
      </c>
      <c r="D1402" t="s">
        <v>58</v>
      </c>
      <c r="E1402" t="s">
        <v>252</v>
      </c>
      <c r="F1402">
        <v>52</v>
      </c>
      <c r="G1402" t="s">
        <v>60</v>
      </c>
      <c r="H1402" t="s">
        <v>70</v>
      </c>
      <c r="I1402">
        <v>0</v>
      </c>
      <c r="J1402">
        <v>0</v>
      </c>
      <c r="K1402" t="s">
        <v>47</v>
      </c>
      <c r="L1402" t="s">
        <v>47</v>
      </c>
      <c r="M1402" t="s">
        <v>47</v>
      </c>
      <c r="N1402" t="s">
        <v>50</v>
      </c>
      <c r="O1402" t="s">
        <v>48</v>
      </c>
      <c r="P1402">
        <v>27.1</v>
      </c>
      <c r="Q1402" t="s">
        <v>48</v>
      </c>
      <c r="R1402" t="s">
        <v>47</v>
      </c>
      <c r="S1402" t="s">
        <v>47</v>
      </c>
      <c r="T1402" t="s">
        <v>47</v>
      </c>
      <c r="U1402" t="s">
        <v>47</v>
      </c>
      <c r="V1402" t="s">
        <v>51</v>
      </c>
      <c r="W1402" t="s">
        <v>47</v>
      </c>
      <c r="X1402" t="s">
        <v>47</v>
      </c>
      <c r="Y1402" t="s">
        <v>47</v>
      </c>
      <c r="Z1402" t="s">
        <v>47</v>
      </c>
      <c r="AA1402" t="s">
        <v>46</v>
      </c>
      <c r="AB1402" t="s">
        <v>47</v>
      </c>
      <c r="AC1402" t="s">
        <v>47</v>
      </c>
      <c r="AD1402" t="s">
        <v>46</v>
      </c>
      <c r="AE1402" t="s">
        <v>47</v>
      </c>
      <c r="AF1402" t="s">
        <v>47</v>
      </c>
      <c r="AG1402" t="s">
        <v>52</v>
      </c>
      <c r="AH1402" t="s">
        <v>53</v>
      </c>
      <c r="AI1402" t="s">
        <v>80</v>
      </c>
      <c r="AJ1402">
        <v>5.7</v>
      </c>
      <c r="AK1402" t="s">
        <v>47</v>
      </c>
      <c r="AL1402" t="s">
        <v>100</v>
      </c>
      <c r="AM1402" t="s">
        <v>56</v>
      </c>
      <c r="AN1402">
        <v>12</v>
      </c>
      <c r="AO1402" t="s">
        <v>47</v>
      </c>
    </row>
    <row r="1403" spans="1:41">
      <c r="A1403" t="s">
        <v>1555</v>
      </c>
      <c r="B1403">
        <v>2022</v>
      </c>
      <c r="C1403" s="1">
        <v>44622</v>
      </c>
      <c r="D1403" t="s">
        <v>42</v>
      </c>
      <c r="E1403" t="s">
        <v>154</v>
      </c>
      <c r="F1403">
        <v>59</v>
      </c>
      <c r="G1403" t="s">
        <v>44</v>
      </c>
      <c r="H1403" t="s">
        <v>70</v>
      </c>
      <c r="I1403">
        <v>0</v>
      </c>
      <c r="J1403">
        <v>0</v>
      </c>
      <c r="K1403" t="s">
        <v>47</v>
      </c>
      <c r="L1403" t="s">
        <v>47</v>
      </c>
      <c r="M1403" t="s">
        <v>47</v>
      </c>
      <c r="N1403" t="s">
        <v>62</v>
      </c>
      <c r="O1403" t="s">
        <v>49</v>
      </c>
      <c r="P1403">
        <v>25.8</v>
      </c>
      <c r="Q1403" t="s">
        <v>48</v>
      </c>
      <c r="R1403" t="s">
        <v>47</v>
      </c>
      <c r="S1403" t="s">
        <v>47</v>
      </c>
      <c r="T1403" t="s">
        <v>46</v>
      </c>
      <c r="U1403" t="s">
        <v>47</v>
      </c>
      <c r="V1403" t="s">
        <v>86</v>
      </c>
      <c r="W1403" t="s">
        <v>47</v>
      </c>
      <c r="X1403" t="s">
        <v>47</v>
      </c>
      <c r="Y1403" t="s">
        <v>47</v>
      </c>
      <c r="Z1403" t="s">
        <v>47</v>
      </c>
      <c r="AA1403" t="s">
        <v>46</v>
      </c>
      <c r="AB1403" t="s">
        <v>47</v>
      </c>
      <c r="AC1403" t="s">
        <v>47</v>
      </c>
      <c r="AD1403" t="s">
        <v>47</v>
      </c>
      <c r="AE1403" t="s">
        <v>47</v>
      </c>
      <c r="AF1403" t="s">
        <v>47</v>
      </c>
      <c r="AG1403" t="s">
        <v>52</v>
      </c>
      <c r="AH1403" t="s">
        <v>53</v>
      </c>
      <c r="AI1403" t="s">
        <v>65</v>
      </c>
      <c r="AJ1403">
        <v>1</v>
      </c>
      <c r="AK1403" t="s">
        <v>47</v>
      </c>
      <c r="AL1403" t="s">
        <v>66</v>
      </c>
      <c r="AM1403" t="s">
        <v>118</v>
      </c>
      <c r="AN1403">
        <v>64</v>
      </c>
      <c r="AO1403" t="s">
        <v>46</v>
      </c>
    </row>
    <row r="1404" spans="1:41">
      <c r="A1404" t="s">
        <v>1556</v>
      </c>
      <c r="B1404">
        <v>2020</v>
      </c>
      <c r="C1404" s="1">
        <v>44124</v>
      </c>
      <c r="D1404" t="s">
        <v>42</v>
      </c>
      <c r="E1404" t="s">
        <v>160</v>
      </c>
      <c r="F1404">
        <v>56</v>
      </c>
      <c r="G1404" t="s">
        <v>60</v>
      </c>
      <c r="H1404" t="s">
        <v>70</v>
      </c>
      <c r="I1404">
        <v>0</v>
      </c>
      <c r="J1404">
        <v>0</v>
      </c>
      <c r="K1404" t="s">
        <v>47</v>
      </c>
      <c r="L1404" t="s">
        <v>47</v>
      </c>
      <c r="M1404" t="s">
        <v>47</v>
      </c>
      <c r="N1404" t="s">
        <v>48</v>
      </c>
      <c r="O1404" t="s">
        <v>49</v>
      </c>
      <c r="P1404">
        <v>29</v>
      </c>
      <c r="Q1404" t="s">
        <v>50</v>
      </c>
      <c r="R1404" t="s">
        <v>47</v>
      </c>
      <c r="S1404" t="s">
        <v>47</v>
      </c>
      <c r="T1404" t="s">
        <v>47</v>
      </c>
      <c r="U1404" t="s">
        <v>46</v>
      </c>
      <c r="V1404" t="s">
        <v>86</v>
      </c>
      <c r="W1404" t="s">
        <v>47</v>
      </c>
      <c r="X1404" t="s">
        <v>47</v>
      </c>
      <c r="Y1404" t="s">
        <v>46</v>
      </c>
      <c r="Z1404" t="s">
        <v>47</v>
      </c>
      <c r="AA1404" t="s">
        <v>47</v>
      </c>
      <c r="AB1404" t="s">
        <v>46</v>
      </c>
      <c r="AC1404" t="s">
        <v>47</v>
      </c>
      <c r="AD1404" t="s">
        <v>47</v>
      </c>
      <c r="AE1404" t="s">
        <v>47</v>
      </c>
      <c r="AF1404" t="s">
        <v>47</v>
      </c>
      <c r="AG1404" t="s">
        <v>52</v>
      </c>
      <c r="AH1404" t="s">
        <v>53</v>
      </c>
      <c r="AI1404" t="s">
        <v>87</v>
      </c>
      <c r="AJ1404">
        <v>3.6</v>
      </c>
      <c r="AK1404" t="s">
        <v>47</v>
      </c>
      <c r="AL1404" t="s">
        <v>81</v>
      </c>
      <c r="AM1404" t="s">
        <v>103</v>
      </c>
      <c r="AN1404">
        <v>37</v>
      </c>
      <c r="AO1404" t="s">
        <v>47</v>
      </c>
    </row>
    <row r="1405" spans="1:41">
      <c r="A1405" t="s">
        <v>1557</v>
      </c>
      <c r="B1405">
        <v>2020</v>
      </c>
      <c r="C1405" s="1">
        <v>44145</v>
      </c>
      <c r="D1405" t="s">
        <v>42</v>
      </c>
      <c r="E1405" t="s">
        <v>210</v>
      </c>
      <c r="F1405">
        <v>52</v>
      </c>
      <c r="G1405" t="s">
        <v>44</v>
      </c>
      <c r="H1405" t="s">
        <v>70</v>
      </c>
      <c r="I1405">
        <v>0</v>
      </c>
      <c r="J1405">
        <v>0</v>
      </c>
      <c r="K1405" t="s">
        <v>46</v>
      </c>
      <c r="L1405" t="s">
        <v>47</v>
      </c>
      <c r="M1405" t="s">
        <v>47</v>
      </c>
      <c r="N1405" t="s">
        <v>62</v>
      </c>
      <c r="O1405" t="s">
        <v>63</v>
      </c>
      <c r="P1405">
        <v>28.2</v>
      </c>
      <c r="Q1405" t="s">
        <v>50</v>
      </c>
      <c r="R1405" t="s">
        <v>47</v>
      </c>
      <c r="S1405" t="s">
        <v>47</v>
      </c>
      <c r="T1405" t="s">
        <v>47</v>
      </c>
      <c r="U1405" t="s">
        <v>47</v>
      </c>
      <c r="V1405" t="s">
        <v>171</v>
      </c>
      <c r="W1405" t="s">
        <v>47</v>
      </c>
      <c r="X1405" t="s">
        <v>47</v>
      </c>
      <c r="Y1405" t="s">
        <v>46</v>
      </c>
      <c r="Z1405" t="s">
        <v>47</v>
      </c>
      <c r="AA1405" t="s">
        <v>46</v>
      </c>
      <c r="AB1405" t="s">
        <v>46</v>
      </c>
      <c r="AC1405" t="s">
        <v>47</v>
      </c>
      <c r="AD1405" t="s">
        <v>46</v>
      </c>
      <c r="AE1405" t="s">
        <v>47</v>
      </c>
      <c r="AF1405" t="s">
        <v>47</v>
      </c>
      <c r="AG1405" t="s">
        <v>52</v>
      </c>
      <c r="AH1405" t="s">
        <v>53</v>
      </c>
      <c r="AI1405" t="s">
        <v>87</v>
      </c>
      <c r="AJ1405">
        <v>3.6</v>
      </c>
      <c r="AK1405" t="s">
        <v>47</v>
      </c>
      <c r="AL1405" t="s">
        <v>76</v>
      </c>
      <c r="AM1405" t="s">
        <v>73</v>
      </c>
      <c r="AN1405">
        <v>30</v>
      </c>
      <c r="AO1405" t="s">
        <v>47</v>
      </c>
    </row>
    <row r="1406" spans="1:41">
      <c r="A1406" t="s">
        <v>1558</v>
      </c>
      <c r="B1406">
        <v>2017</v>
      </c>
      <c r="C1406" s="1">
        <v>42934</v>
      </c>
      <c r="D1406" t="s">
        <v>42</v>
      </c>
      <c r="E1406" t="s">
        <v>210</v>
      </c>
      <c r="F1406">
        <v>57</v>
      </c>
      <c r="G1406" t="s">
        <v>60</v>
      </c>
      <c r="H1406" t="s">
        <v>70</v>
      </c>
      <c r="I1406">
        <v>0</v>
      </c>
      <c r="J1406">
        <v>0</v>
      </c>
      <c r="K1406" t="s">
        <v>47</v>
      </c>
      <c r="L1406" t="s">
        <v>46</v>
      </c>
      <c r="M1406" t="s">
        <v>46</v>
      </c>
      <c r="N1406" t="s">
        <v>62</v>
      </c>
      <c r="O1406" t="s">
        <v>48</v>
      </c>
      <c r="P1406">
        <v>25</v>
      </c>
      <c r="Q1406" t="s">
        <v>62</v>
      </c>
      <c r="R1406" t="s">
        <v>47</v>
      </c>
      <c r="S1406" t="s">
        <v>47</v>
      </c>
      <c r="T1406" t="s">
        <v>47</v>
      </c>
      <c r="U1406" t="s">
        <v>47</v>
      </c>
      <c r="V1406" t="s">
        <v>117</v>
      </c>
      <c r="W1406" t="s">
        <v>46</v>
      </c>
      <c r="X1406" t="s">
        <v>47</v>
      </c>
      <c r="Y1406" t="s">
        <v>47</v>
      </c>
      <c r="Z1406" t="s">
        <v>47</v>
      </c>
      <c r="AA1406" t="s">
        <v>46</v>
      </c>
      <c r="AB1406" t="s">
        <v>47</v>
      </c>
      <c r="AC1406" t="s">
        <v>47</v>
      </c>
      <c r="AD1406" t="s">
        <v>46</v>
      </c>
      <c r="AE1406" t="s">
        <v>47</v>
      </c>
      <c r="AF1406" t="s">
        <v>47</v>
      </c>
      <c r="AG1406" t="s">
        <v>52</v>
      </c>
      <c r="AH1406" t="s">
        <v>53</v>
      </c>
      <c r="AI1406" t="s">
        <v>65</v>
      </c>
      <c r="AJ1406">
        <v>0.6</v>
      </c>
      <c r="AK1406" t="s">
        <v>47</v>
      </c>
      <c r="AL1406" t="s">
        <v>76</v>
      </c>
      <c r="AM1406" t="s">
        <v>73</v>
      </c>
      <c r="AN1406">
        <v>60</v>
      </c>
      <c r="AO1406" t="s">
        <v>47</v>
      </c>
    </row>
    <row r="1407" spans="1:41">
      <c r="A1407" t="s">
        <v>1559</v>
      </c>
      <c r="B1407">
        <v>2015</v>
      </c>
      <c r="C1407" s="1">
        <v>42007</v>
      </c>
      <c r="D1407" t="s">
        <v>95</v>
      </c>
      <c r="E1407" t="s">
        <v>130</v>
      </c>
      <c r="F1407">
        <v>52</v>
      </c>
      <c r="G1407" t="s">
        <v>60</v>
      </c>
      <c r="H1407" t="s">
        <v>70</v>
      </c>
      <c r="I1407">
        <v>0</v>
      </c>
      <c r="J1407">
        <v>0</v>
      </c>
      <c r="K1407" t="s">
        <v>47</v>
      </c>
      <c r="L1407" t="s">
        <v>47</v>
      </c>
      <c r="M1407" t="s">
        <v>47</v>
      </c>
      <c r="N1407" t="s">
        <v>62</v>
      </c>
      <c r="O1407" t="s">
        <v>48</v>
      </c>
      <c r="P1407">
        <v>30.4</v>
      </c>
      <c r="Q1407" t="s">
        <v>62</v>
      </c>
      <c r="R1407" t="s">
        <v>47</v>
      </c>
      <c r="S1407" t="s">
        <v>47</v>
      </c>
      <c r="T1407" t="s">
        <v>47</v>
      </c>
      <c r="U1407" t="s">
        <v>47</v>
      </c>
      <c r="V1407" t="s">
        <v>51</v>
      </c>
      <c r="W1407" t="s">
        <v>46</v>
      </c>
      <c r="X1407" t="s">
        <v>47</v>
      </c>
      <c r="Y1407" t="s">
        <v>46</v>
      </c>
      <c r="Z1407" t="s">
        <v>47</v>
      </c>
      <c r="AA1407" t="s">
        <v>46</v>
      </c>
      <c r="AB1407" t="s">
        <v>46</v>
      </c>
      <c r="AC1407" t="s">
        <v>47</v>
      </c>
      <c r="AD1407" t="s">
        <v>47</v>
      </c>
      <c r="AE1407" t="s">
        <v>47</v>
      </c>
      <c r="AF1407" t="s">
        <v>46</v>
      </c>
      <c r="AG1407" t="s">
        <v>52</v>
      </c>
      <c r="AH1407" t="s">
        <v>71</v>
      </c>
      <c r="AI1407" t="s">
        <v>54</v>
      </c>
      <c r="AJ1407">
        <v>5.7</v>
      </c>
      <c r="AK1407" t="s">
        <v>46</v>
      </c>
      <c r="AL1407" t="s">
        <v>156</v>
      </c>
      <c r="AM1407" t="s">
        <v>77</v>
      </c>
      <c r="AN1407">
        <v>4</v>
      </c>
      <c r="AO1407" t="s">
        <v>47</v>
      </c>
    </row>
    <row r="1408" spans="1:41">
      <c r="A1408" t="s">
        <v>1560</v>
      </c>
      <c r="B1408">
        <v>2023</v>
      </c>
      <c r="C1408" s="1">
        <v>45112</v>
      </c>
      <c r="D1408" t="s">
        <v>58</v>
      </c>
      <c r="E1408" t="s">
        <v>229</v>
      </c>
      <c r="F1408">
        <v>53</v>
      </c>
      <c r="G1408" t="s">
        <v>44</v>
      </c>
      <c r="H1408" t="s">
        <v>70</v>
      </c>
      <c r="I1408">
        <v>0</v>
      </c>
      <c r="J1408">
        <v>0</v>
      </c>
      <c r="K1408" t="s">
        <v>46</v>
      </c>
      <c r="L1408" t="s">
        <v>47</v>
      </c>
      <c r="M1408" t="s">
        <v>47</v>
      </c>
      <c r="N1408" t="s">
        <v>50</v>
      </c>
      <c r="O1408" t="s">
        <v>48</v>
      </c>
      <c r="P1408">
        <v>32.200000000000003</v>
      </c>
      <c r="Q1408" t="s">
        <v>50</v>
      </c>
      <c r="R1408" t="s">
        <v>47</v>
      </c>
      <c r="S1408" t="s">
        <v>47</v>
      </c>
      <c r="T1408" t="s">
        <v>46</v>
      </c>
      <c r="U1408" t="s">
        <v>47</v>
      </c>
      <c r="V1408" t="s">
        <v>86</v>
      </c>
      <c r="W1408" t="s">
        <v>46</v>
      </c>
      <c r="X1408" t="s">
        <v>47</v>
      </c>
      <c r="Y1408" t="s">
        <v>47</v>
      </c>
      <c r="Z1408" t="s">
        <v>47</v>
      </c>
      <c r="AA1408" t="s">
        <v>46</v>
      </c>
      <c r="AB1408" t="s">
        <v>47</v>
      </c>
      <c r="AC1408" t="s">
        <v>46</v>
      </c>
      <c r="AD1408" t="s">
        <v>46</v>
      </c>
      <c r="AE1408" t="s">
        <v>47</v>
      </c>
      <c r="AF1408" t="s">
        <v>47</v>
      </c>
      <c r="AG1408" t="s">
        <v>52</v>
      </c>
      <c r="AH1408" t="s">
        <v>53</v>
      </c>
      <c r="AI1408" t="s">
        <v>65</v>
      </c>
      <c r="AJ1408">
        <v>3.5</v>
      </c>
      <c r="AK1408" t="s">
        <v>47</v>
      </c>
      <c r="AL1408" t="s">
        <v>76</v>
      </c>
      <c r="AM1408" t="s">
        <v>73</v>
      </c>
      <c r="AN1408">
        <v>59</v>
      </c>
      <c r="AO1408" t="s">
        <v>46</v>
      </c>
    </row>
    <row r="1409" spans="1:41">
      <c r="A1409" t="s">
        <v>1561</v>
      </c>
      <c r="B1409">
        <v>2025</v>
      </c>
      <c r="C1409" s="1">
        <v>45768</v>
      </c>
      <c r="D1409" t="s">
        <v>95</v>
      </c>
      <c r="E1409" t="s">
        <v>147</v>
      </c>
      <c r="F1409">
        <v>74</v>
      </c>
      <c r="G1409" t="s">
        <v>44</v>
      </c>
      <c r="H1409" t="s">
        <v>45</v>
      </c>
      <c r="I1409">
        <v>15</v>
      </c>
      <c r="J1409">
        <v>40</v>
      </c>
      <c r="K1409" t="s">
        <v>46</v>
      </c>
      <c r="L1409" t="s">
        <v>46</v>
      </c>
      <c r="M1409" t="s">
        <v>47</v>
      </c>
      <c r="N1409" t="s">
        <v>48</v>
      </c>
      <c r="O1409" t="s">
        <v>48</v>
      </c>
      <c r="P1409">
        <v>29.3</v>
      </c>
      <c r="Q1409" t="s">
        <v>48</v>
      </c>
      <c r="R1409" t="s">
        <v>47</v>
      </c>
      <c r="S1409" t="s">
        <v>47</v>
      </c>
      <c r="T1409" t="s">
        <v>47</v>
      </c>
      <c r="U1409" t="s">
        <v>46</v>
      </c>
      <c r="V1409" t="s">
        <v>171</v>
      </c>
      <c r="W1409" t="s">
        <v>46</v>
      </c>
      <c r="X1409" t="s">
        <v>47</v>
      </c>
      <c r="Y1409" t="s">
        <v>47</v>
      </c>
      <c r="Z1409" t="s">
        <v>47</v>
      </c>
      <c r="AA1409" t="s">
        <v>46</v>
      </c>
      <c r="AB1409" t="s">
        <v>46</v>
      </c>
      <c r="AC1409" t="s">
        <v>46</v>
      </c>
      <c r="AD1409" t="s">
        <v>46</v>
      </c>
      <c r="AE1409" t="s">
        <v>47</v>
      </c>
      <c r="AF1409" t="s">
        <v>46</v>
      </c>
      <c r="AG1409" t="s">
        <v>52</v>
      </c>
      <c r="AH1409" t="s">
        <v>71</v>
      </c>
      <c r="AI1409" t="s">
        <v>65</v>
      </c>
      <c r="AJ1409">
        <v>1.7</v>
      </c>
      <c r="AK1409" t="s">
        <v>47</v>
      </c>
      <c r="AL1409" t="s">
        <v>76</v>
      </c>
      <c r="AM1409" t="s">
        <v>103</v>
      </c>
      <c r="AN1409">
        <v>71</v>
      </c>
      <c r="AO1409" t="s">
        <v>46</v>
      </c>
    </row>
    <row r="1410" spans="1:41">
      <c r="A1410" t="s">
        <v>1562</v>
      </c>
      <c r="B1410">
        <v>2016</v>
      </c>
      <c r="C1410" s="1">
        <v>42481</v>
      </c>
      <c r="D1410" t="s">
        <v>95</v>
      </c>
      <c r="E1410" t="s">
        <v>147</v>
      </c>
      <c r="F1410">
        <v>73</v>
      </c>
      <c r="G1410" t="s">
        <v>44</v>
      </c>
      <c r="H1410" t="s">
        <v>61</v>
      </c>
      <c r="I1410">
        <v>22</v>
      </c>
      <c r="J1410">
        <v>19</v>
      </c>
      <c r="K1410" t="s">
        <v>46</v>
      </c>
      <c r="L1410" t="s">
        <v>46</v>
      </c>
      <c r="M1410" t="s">
        <v>46</v>
      </c>
      <c r="N1410" t="s">
        <v>50</v>
      </c>
      <c r="O1410" t="s">
        <v>63</v>
      </c>
      <c r="P1410">
        <v>29.2</v>
      </c>
      <c r="Q1410" t="s">
        <v>50</v>
      </c>
      <c r="R1410" t="s">
        <v>46</v>
      </c>
      <c r="S1410" t="s">
        <v>47</v>
      </c>
      <c r="T1410" t="s">
        <v>47</v>
      </c>
      <c r="U1410" t="s">
        <v>47</v>
      </c>
      <c r="V1410" t="s">
        <v>86</v>
      </c>
      <c r="W1410" t="s">
        <v>46</v>
      </c>
      <c r="X1410" t="s">
        <v>47</v>
      </c>
      <c r="Y1410" t="s">
        <v>46</v>
      </c>
      <c r="Z1410" t="s">
        <v>47</v>
      </c>
      <c r="AA1410" t="s">
        <v>46</v>
      </c>
      <c r="AB1410" t="s">
        <v>47</v>
      </c>
      <c r="AC1410" t="s">
        <v>47</v>
      </c>
      <c r="AD1410" t="s">
        <v>47</v>
      </c>
      <c r="AE1410" t="s">
        <v>47</v>
      </c>
      <c r="AF1410" t="s">
        <v>47</v>
      </c>
      <c r="AG1410" t="s">
        <v>52</v>
      </c>
      <c r="AH1410" t="s">
        <v>53</v>
      </c>
      <c r="AI1410" t="s">
        <v>80</v>
      </c>
      <c r="AJ1410">
        <v>7.3</v>
      </c>
      <c r="AK1410" t="s">
        <v>47</v>
      </c>
      <c r="AL1410" t="s">
        <v>100</v>
      </c>
      <c r="AM1410" t="s">
        <v>56</v>
      </c>
      <c r="AN1410">
        <v>15</v>
      </c>
      <c r="AO1410" t="s">
        <v>47</v>
      </c>
    </row>
    <row r="1411" spans="1:41">
      <c r="A1411" t="s">
        <v>1563</v>
      </c>
      <c r="B1411">
        <v>2025</v>
      </c>
      <c r="C1411" s="1">
        <v>45670</v>
      </c>
      <c r="D1411" t="s">
        <v>42</v>
      </c>
      <c r="E1411" t="s">
        <v>136</v>
      </c>
      <c r="F1411">
        <v>62</v>
      </c>
      <c r="G1411" t="s">
        <v>60</v>
      </c>
      <c r="H1411" t="s">
        <v>70</v>
      </c>
      <c r="I1411">
        <v>0</v>
      </c>
      <c r="J1411">
        <v>0</v>
      </c>
      <c r="K1411" t="s">
        <v>46</v>
      </c>
      <c r="L1411" t="s">
        <v>47</v>
      </c>
      <c r="M1411" t="s">
        <v>46</v>
      </c>
      <c r="N1411" t="s">
        <v>62</v>
      </c>
      <c r="O1411" t="s">
        <v>48</v>
      </c>
      <c r="P1411">
        <v>27.6</v>
      </c>
      <c r="Q1411" t="s">
        <v>48</v>
      </c>
      <c r="R1411" t="s">
        <v>47</v>
      </c>
      <c r="S1411" t="s">
        <v>47</v>
      </c>
      <c r="T1411" t="s">
        <v>46</v>
      </c>
      <c r="U1411" t="s">
        <v>47</v>
      </c>
      <c r="V1411" t="s">
        <v>51</v>
      </c>
      <c r="W1411" t="s">
        <v>47</v>
      </c>
      <c r="X1411" t="s">
        <v>46</v>
      </c>
      <c r="Y1411" t="s">
        <v>46</v>
      </c>
      <c r="Z1411" t="s">
        <v>47</v>
      </c>
      <c r="AA1411" t="s">
        <v>47</v>
      </c>
      <c r="AB1411" t="s">
        <v>47</v>
      </c>
      <c r="AC1411" t="s">
        <v>46</v>
      </c>
      <c r="AD1411" t="s">
        <v>47</v>
      </c>
      <c r="AE1411" t="s">
        <v>47</v>
      </c>
      <c r="AF1411" t="s">
        <v>46</v>
      </c>
      <c r="AG1411" t="s">
        <v>52</v>
      </c>
      <c r="AH1411" t="s">
        <v>53</v>
      </c>
      <c r="AI1411" t="s">
        <v>87</v>
      </c>
      <c r="AJ1411">
        <v>3.7</v>
      </c>
      <c r="AK1411" t="s">
        <v>47</v>
      </c>
      <c r="AL1411" t="s">
        <v>66</v>
      </c>
      <c r="AM1411" t="s">
        <v>73</v>
      </c>
      <c r="AN1411">
        <v>28</v>
      </c>
      <c r="AO1411" t="s">
        <v>46</v>
      </c>
    </row>
    <row r="1412" spans="1:41">
      <c r="A1412" t="s">
        <v>1564</v>
      </c>
      <c r="B1412">
        <v>2018</v>
      </c>
      <c r="C1412" s="1">
        <v>43330</v>
      </c>
      <c r="D1412" t="s">
        <v>42</v>
      </c>
      <c r="E1412" t="s">
        <v>210</v>
      </c>
      <c r="F1412">
        <v>73</v>
      </c>
      <c r="G1412" t="s">
        <v>60</v>
      </c>
      <c r="H1412" t="s">
        <v>45</v>
      </c>
      <c r="I1412">
        <v>22</v>
      </c>
      <c r="J1412">
        <v>21</v>
      </c>
      <c r="K1412" t="s">
        <v>46</v>
      </c>
      <c r="L1412" t="s">
        <v>47</v>
      </c>
      <c r="M1412" t="s">
        <v>47</v>
      </c>
      <c r="N1412" t="s">
        <v>50</v>
      </c>
      <c r="O1412" t="s">
        <v>63</v>
      </c>
      <c r="P1412">
        <v>27.2</v>
      </c>
      <c r="Q1412" t="s">
        <v>48</v>
      </c>
      <c r="R1412" t="s">
        <v>47</v>
      </c>
      <c r="S1412" t="s">
        <v>47</v>
      </c>
      <c r="T1412" t="s">
        <v>47</v>
      </c>
      <c r="U1412" t="s">
        <v>47</v>
      </c>
      <c r="V1412" t="s">
        <v>151</v>
      </c>
      <c r="W1412" t="s">
        <v>46</v>
      </c>
      <c r="X1412" t="s">
        <v>46</v>
      </c>
      <c r="Y1412" t="s">
        <v>46</v>
      </c>
      <c r="Z1412" t="s">
        <v>46</v>
      </c>
      <c r="AA1412" t="s">
        <v>47</v>
      </c>
      <c r="AB1412" t="s">
        <v>46</v>
      </c>
      <c r="AC1412" t="s">
        <v>46</v>
      </c>
      <c r="AD1412" t="s">
        <v>47</v>
      </c>
      <c r="AE1412" t="s">
        <v>47</v>
      </c>
      <c r="AF1412" t="s">
        <v>47</v>
      </c>
      <c r="AG1412" t="s">
        <v>121</v>
      </c>
      <c r="AH1412" t="s">
        <v>122</v>
      </c>
      <c r="AI1412" t="s">
        <v>54</v>
      </c>
      <c r="AJ1412">
        <v>7.9</v>
      </c>
      <c r="AK1412" t="s">
        <v>46</v>
      </c>
      <c r="AL1412" t="s">
        <v>81</v>
      </c>
      <c r="AM1412" t="s">
        <v>56</v>
      </c>
      <c r="AN1412">
        <v>18</v>
      </c>
      <c r="AO1412" t="s">
        <v>47</v>
      </c>
    </row>
    <row r="1413" spans="1:41">
      <c r="A1413" t="s">
        <v>1565</v>
      </c>
      <c r="B1413">
        <v>2018</v>
      </c>
      <c r="C1413" s="1">
        <v>43270</v>
      </c>
      <c r="D1413" t="s">
        <v>110</v>
      </c>
      <c r="E1413" t="s">
        <v>116</v>
      </c>
      <c r="F1413">
        <v>67</v>
      </c>
      <c r="G1413" t="s">
        <v>60</v>
      </c>
      <c r="H1413" t="s">
        <v>45</v>
      </c>
      <c r="I1413">
        <v>5</v>
      </c>
      <c r="J1413">
        <v>36</v>
      </c>
      <c r="K1413" t="s">
        <v>47</v>
      </c>
      <c r="L1413" t="s">
        <v>46</v>
      </c>
      <c r="M1413" t="s">
        <v>47</v>
      </c>
      <c r="N1413" t="s">
        <v>62</v>
      </c>
      <c r="O1413" t="s">
        <v>63</v>
      </c>
      <c r="P1413">
        <v>26.6</v>
      </c>
      <c r="Q1413" t="s">
        <v>62</v>
      </c>
      <c r="R1413" t="s">
        <v>46</v>
      </c>
      <c r="S1413" t="s">
        <v>47</v>
      </c>
      <c r="T1413" t="s">
        <v>47</v>
      </c>
      <c r="U1413" t="s">
        <v>47</v>
      </c>
      <c r="V1413" t="s">
        <v>117</v>
      </c>
      <c r="W1413" t="s">
        <v>46</v>
      </c>
      <c r="X1413" t="s">
        <v>47</v>
      </c>
      <c r="Y1413" t="s">
        <v>46</v>
      </c>
      <c r="Z1413" t="s">
        <v>47</v>
      </c>
      <c r="AA1413" t="s">
        <v>46</v>
      </c>
      <c r="AB1413" t="s">
        <v>47</v>
      </c>
      <c r="AC1413" t="s">
        <v>46</v>
      </c>
      <c r="AD1413" t="s">
        <v>46</v>
      </c>
      <c r="AE1413" t="s">
        <v>47</v>
      </c>
      <c r="AF1413" t="s">
        <v>47</v>
      </c>
      <c r="AG1413" t="s">
        <v>52</v>
      </c>
      <c r="AH1413" t="s">
        <v>90</v>
      </c>
      <c r="AI1413" t="s">
        <v>65</v>
      </c>
      <c r="AJ1413">
        <v>2.1</v>
      </c>
      <c r="AK1413" t="s">
        <v>47</v>
      </c>
      <c r="AL1413" t="s">
        <v>72</v>
      </c>
      <c r="AM1413" t="s">
        <v>103</v>
      </c>
      <c r="AN1413">
        <v>61</v>
      </c>
      <c r="AO1413" t="s">
        <v>46</v>
      </c>
    </row>
    <row r="1414" spans="1:41">
      <c r="A1414" t="s">
        <v>1566</v>
      </c>
      <c r="B1414">
        <v>2018</v>
      </c>
      <c r="C1414" s="1">
        <v>43264</v>
      </c>
      <c r="D1414" t="s">
        <v>98</v>
      </c>
      <c r="E1414" t="s">
        <v>196</v>
      </c>
      <c r="F1414">
        <v>60</v>
      </c>
      <c r="G1414" t="s">
        <v>60</v>
      </c>
      <c r="H1414" t="s">
        <v>70</v>
      </c>
      <c r="I1414">
        <v>0</v>
      </c>
      <c r="J1414">
        <v>0</v>
      </c>
      <c r="K1414" t="s">
        <v>46</v>
      </c>
      <c r="L1414" t="s">
        <v>47</v>
      </c>
      <c r="M1414" t="s">
        <v>47</v>
      </c>
      <c r="N1414" t="s">
        <v>48</v>
      </c>
      <c r="O1414" t="s">
        <v>49</v>
      </c>
      <c r="P1414">
        <v>31.7</v>
      </c>
      <c r="Q1414" t="s">
        <v>62</v>
      </c>
      <c r="R1414" t="s">
        <v>47</v>
      </c>
      <c r="S1414" t="s">
        <v>47</v>
      </c>
      <c r="T1414" t="s">
        <v>47</v>
      </c>
      <c r="U1414" t="s">
        <v>47</v>
      </c>
      <c r="V1414" t="s">
        <v>64</v>
      </c>
      <c r="W1414" t="s">
        <v>47</v>
      </c>
      <c r="X1414" t="s">
        <v>47</v>
      </c>
      <c r="Y1414" t="s">
        <v>47</v>
      </c>
      <c r="Z1414" t="s">
        <v>47</v>
      </c>
      <c r="AA1414" t="s">
        <v>47</v>
      </c>
      <c r="AB1414" t="s">
        <v>47</v>
      </c>
      <c r="AC1414" t="s">
        <v>47</v>
      </c>
      <c r="AD1414" t="s">
        <v>47</v>
      </c>
      <c r="AE1414" t="s">
        <v>47</v>
      </c>
      <c r="AF1414" t="s">
        <v>47</v>
      </c>
      <c r="AG1414" t="s">
        <v>52</v>
      </c>
      <c r="AH1414" t="s">
        <v>53</v>
      </c>
      <c r="AI1414" t="s">
        <v>65</v>
      </c>
      <c r="AJ1414">
        <v>2.2000000000000002</v>
      </c>
      <c r="AK1414" t="s">
        <v>47</v>
      </c>
      <c r="AL1414" t="s">
        <v>66</v>
      </c>
      <c r="AM1414" t="s">
        <v>73</v>
      </c>
      <c r="AN1414">
        <v>42</v>
      </c>
      <c r="AO1414" t="s">
        <v>46</v>
      </c>
    </row>
    <row r="1415" spans="1:41">
      <c r="A1415" t="s">
        <v>1567</v>
      </c>
      <c r="B1415">
        <v>2025</v>
      </c>
      <c r="C1415" s="1">
        <v>45717</v>
      </c>
      <c r="D1415" t="s">
        <v>42</v>
      </c>
      <c r="E1415" t="s">
        <v>136</v>
      </c>
      <c r="F1415">
        <v>79</v>
      </c>
      <c r="G1415" t="s">
        <v>60</v>
      </c>
      <c r="H1415" t="s">
        <v>70</v>
      </c>
      <c r="I1415">
        <v>0</v>
      </c>
      <c r="J1415">
        <v>0</v>
      </c>
      <c r="K1415" t="s">
        <v>47</v>
      </c>
      <c r="L1415" t="s">
        <v>47</v>
      </c>
      <c r="M1415" t="s">
        <v>47</v>
      </c>
      <c r="N1415" t="s">
        <v>50</v>
      </c>
      <c r="O1415" t="s">
        <v>48</v>
      </c>
      <c r="P1415">
        <v>32.6</v>
      </c>
      <c r="Q1415" t="s">
        <v>62</v>
      </c>
      <c r="R1415" t="s">
        <v>47</v>
      </c>
      <c r="S1415" t="s">
        <v>47</v>
      </c>
      <c r="T1415" t="s">
        <v>47</v>
      </c>
      <c r="U1415" t="s">
        <v>47</v>
      </c>
      <c r="V1415" t="s">
        <v>86</v>
      </c>
      <c r="W1415" t="s">
        <v>47</v>
      </c>
      <c r="X1415" t="s">
        <v>46</v>
      </c>
      <c r="Y1415" t="s">
        <v>46</v>
      </c>
      <c r="Z1415" t="s">
        <v>47</v>
      </c>
      <c r="AA1415" t="s">
        <v>47</v>
      </c>
      <c r="AB1415" t="s">
        <v>47</v>
      </c>
      <c r="AC1415" t="s">
        <v>47</v>
      </c>
      <c r="AD1415" t="s">
        <v>46</v>
      </c>
      <c r="AE1415" t="s">
        <v>47</v>
      </c>
      <c r="AF1415" t="s">
        <v>47</v>
      </c>
      <c r="AG1415" t="s">
        <v>121</v>
      </c>
      <c r="AH1415" t="s">
        <v>122</v>
      </c>
      <c r="AI1415" t="s">
        <v>80</v>
      </c>
      <c r="AJ1415">
        <v>5.5</v>
      </c>
      <c r="AK1415" t="s">
        <v>47</v>
      </c>
      <c r="AL1415" t="s">
        <v>76</v>
      </c>
      <c r="AM1415" t="s">
        <v>82</v>
      </c>
      <c r="AN1415">
        <v>11</v>
      </c>
      <c r="AO1415" t="s">
        <v>47</v>
      </c>
    </row>
    <row r="1416" spans="1:41">
      <c r="A1416" t="s">
        <v>1568</v>
      </c>
      <c r="B1416">
        <v>2020</v>
      </c>
      <c r="C1416" s="1">
        <v>44112</v>
      </c>
      <c r="D1416" t="s">
        <v>95</v>
      </c>
      <c r="E1416" t="s">
        <v>114</v>
      </c>
      <c r="F1416">
        <v>65</v>
      </c>
      <c r="G1416" t="s">
        <v>44</v>
      </c>
      <c r="H1416" t="s">
        <v>45</v>
      </c>
      <c r="I1416">
        <v>25</v>
      </c>
      <c r="J1416">
        <v>36</v>
      </c>
      <c r="K1416" t="s">
        <v>46</v>
      </c>
      <c r="L1416" t="s">
        <v>47</v>
      </c>
      <c r="M1416" t="s">
        <v>47</v>
      </c>
      <c r="N1416" t="s">
        <v>48</v>
      </c>
      <c r="O1416" t="s">
        <v>49</v>
      </c>
      <c r="P1416">
        <v>21.4</v>
      </c>
      <c r="Q1416" t="s">
        <v>62</v>
      </c>
      <c r="R1416" t="s">
        <v>46</v>
      </c>
      <c r="S1416" t="s">
        <v>47</v>
      </c>
      <c r="T1416" t="s">
        <v>47</v>
      </c>
      <c r="U1416" t="s">
        <v>47</v>
      </c>
      <c r="V1416" t="s">
        <v>86</v>
      </c>
      <c r="W1416" t="s">
        <v>47</v>
      </c>
      <c r="X1416" t="s">
        <v>46</v>
      </c>
      <c r="Y1416" t="s">
        <v>46</v>
      </c>
      <c r="Z1416" t="s">
        <v>46</v>
      </c>
      <c r="AA1416" t="s">
        <v>46</v>
      </c>
      <c r="AB1416" t="s">
        <v>46</v>
      </c>
      <c r="AC1416" t="s">
        <v>46</v>
      </c>
      <c r="AD1416" t="s">
        <v>47</v>
      </c>
      <c r="AE1416" t="s">
        <v>47</v>
      </c>
      <c r="AF1416" t="s">
        <v>47</v>
      </c>
      <c r="AG1416" t="s">
        <v>52</v>
      </c>
      <c r="AH1416" t="s">
        <v>90</v>
      </c>
      <c r="AI1416" t="s">
        <v>54</v>
      </c>
      <c r="AJ1416">
        <v>4.7</v>
      </c>
      <c r="AK1416" t="s">
        <v>46</v>
      </c>
      <c r="AL1416" t="s">
        <v>100</v>
      </c>
      <c r="AM1416" t="s">
        <v>82</v>
      </c>
      <c r="AN1416">
        <v>7</v>
      </c>
      <c r="AO1416" t="s">
        <v>47</v>
      </c>
    </row>
    <row r="1417" spans="1:41">
      <c r="A1417" t="s">
        <v>1569</v>
      </c>
      <c r="B1417">
        <v>2025</v>
      </c>
      <c r="C1417" s="1">
        <v>45779</v>
      </c>
      <c r="D1417" t="s">
        <v>58</v>
      </c>
      <c r="E1417" t="s">
        <v>252</v>
      </c>
      <c r="F1417">
        <v>47</v>
      </c>
      <c r="G1417" t="s">
        <v>60</v>
      </c>
      <c r="H1417" t="s">
        <v>70</v>
      </c>
      <c r="I1417">
        <v>0</v>
      </c>
      <c r="J1417">
        <v>0</v>
      </c>
      <c r="K1417" t="s">
        <v>47</v>
      </c>
      <c r="L1417" t="s">
        <v>47</v>
      </c>
      <c r="M1417" t="s">
        <v>47</v>
      </c>
      <c r="N1417" t="s">
        <v>50</v>
      </c>
      <c r="O1417" t="s">
        <v>49</v>
      </c>
      <c r="P1417">
        <v>31.2</v>
      </c>
      <c r="Q1417" t="s">
        <v>62</v>
      </c>
      <c r="R1417" t="s">
        <v>47</v>
      </c>
      <c r="S1417" t="s">
        <v>47</v>
      </c>
      <c r="T1417" t="s">
        <v>47</v>
      </c>
      <c r="U1417" t="s">
        <v>47</v>
      </c>
      <c r="V1417" t="s">
        <v>51</v>
      </c>
      <c r="W1417" t="s">
        <v>47</v>
      </c>
      <c r="X1417" t="s">
        <v>47</v>
      </c>
      <c r="Y1417" t="s">
        <v>46</v>
      </c>
      <c r="Z1417" t="s">
        <v>47</v>
      </c>
      <c r="AA1417" t="s">
        <v>46</v>
      </c>
      <c r="AB1417" t="s">
        <v>47</v>
      </c>
      <c r="AC1417" t="s">
        <v>46</v>
      </c>
      <c r="AD1417" t="s">
        <v>47</v>
      </c>
      <c r="AE1417" t="s">
        <v>47</v>
      </c>
      <c r="AF1417" t="s">
        <v>47</v>
      </c>
      <c r="AG1417" t="s">
        <v>52</v>
      </c>
      <c r="AH1417" t="s">
        <v>53</v>
      </c>
      <c r="AI1417" t="s">
        <v>80</v>
      </c>
      <c r="AJ1417">
        <v>5.0999999999999996</v>
      </c>
      <c r="AK1417" t="s">
        <v>47</v>
      </c>
      <c r="AL1417" t="s">
        <v>100</v>
      </c>
      <c r="AM1417" t="s">
        <v>77</v>
      </c>
      <c r="AN1417">
        <v>25</v>
      </c>
      <c r="AO1417" t="s">
        <v>47</v>
      </c>
    </row>
    <row r="1418" spans="1:41">
      <c r="A1418" t="s">
        <v>1570</v>
      </c>
      <c r="B1418">
        <v>2015</v>
      </c>
      <c r="C1418" s="1">
        <v>42259</v>
      </c>
      <c r="D1418" t="s">
        <v>58</v>
      </c>
      <c r="E1418" t="s">
        <v>163</v>
      </c>
      <c r="F1418">
        <v>45</v>
      </c>
      <c r="G1418" t="s">
        <v>44</v>
      </c>
      <c r="H1418" t="s">
        <v>70</v>
      </c>
      <c r="I1418">
        <v>0</v>
      </c>
      <c r="J1418">
        <v>0</v>
      </c>
      <c r="K1418" t="s">
        <v>47</v>
      </c>
      <c r="L1418" t="s">
        <v>47</v>
      </c>
      <c r="M1418" t="s">
        <v>47</v>
      </c>
      <c r="N1418" t="s">
        <v>50</v>
      </c>
      <c r="O1418" t="s">
        <v>48</v>
      </c>
      <c r="P1418">
        <v>30.2</v>
      </c>
      <c r="Q1418" t="s">
        <v>48</v>
      </c>
      <c r="R1418" t="s">
        <v>47</v>
      </c>
      <c r="S1418" t="s">
        <v>47</v>
      </c>
      <c r="T1418" t="s">
        <v>47</v>
      </c>
      <c r="U1418" t="s">
        <v>47</v>
      </c>
      <c r="V1418" t="s">
        <v>117</v>
      </c>
      <c r="W1418" t="s">
        <v>47</v>
      </c>
      <c r="X1418" t="s">
        <v>47</v>
      </c>
      <c r="Y1418" t="s">
        <v>47</v>
      </c>
      <c r="Z1418" t="s">
        <v>46</v>
      </c>
      <c r="AA1418" t="s">
        <v>46</v>
      </c>
      <c r="AB1418" t="s">
        <v>47</v>
      </c>
      <c r="AC1418" t="s">
        <v>47</v>
      </c>
      <c r="AD1418" t="s">
        <v>46</v>
      </c>
      <c r="AE1418" t="s">
        <v>47</v>
      </c>
      <c r="AF1418" t="s">
        <v>47</v>
      </c>
      <c r="AG1418" t="s">
        <v>52</v>
      </c>
      <c r="AH1418" t="s">
        <v>53</v>
      </c>
      <c r="AI1418" t="s">
        <v>80</v>
      </c>
      <c r="AJ1418">
        <v>9.4</v>
      </c>
      <c r="AK1418" t="s">
        <v>47</v>
      </c>
      <c r="AL1418" t="s">
        <v>76</v>
      </c>
      <c r="AM1418" t="s">
        <v>77</v>
      </c>
      <c r="AN1418">
        <v>24</v>
      </c>
      <c r="AO1418" t="s">
        <v>47</v>
      </c>
    </row>
    <row r="1419" spans="1:41">
      <c r="A1419" t="s">
        <v>1571</v>
      </c>
      <c r="B1419">
        <v>2017</v>
      </c>
      <c r="C1419" s="1">
        <v>42831</v>
      </c>
      <c r="D1419" t="s">
        <v>58</v>
      </c>
      <c r="E1419" t="s">
        <v>169</v>
      </c>
      <c r="F1419">
        <v>61</v>
      </c>
      <c r="G1419" t="s">
        <v>60</v>
      </c>
      <c r="H1419" t="s">
        <v>70</v>
      </c>
      <c r="I1419">
        <v>0</v>
      </c>
      <c r="J1419">
        <v>0</v>
      </c>
      <c r="K1419" t="s">
        <v>46</v>
      </c>
      <c r="L1419" t="s">
        <v>47</v>
      </c>
      <c r="M1419" t="s">
        <v>46</v>
      </c>
      <c r="N1419" t="s">
        <v>48</v>
      </c>
      <c r="O1419" t="s">
        <v>49</v>
      </c>
      <c r="P1419">
        <v>29.9</v>
      </c>
      <c r="Q1419" t="s">
        <v>48</v>
      </c>
      <c r="R1419" t="s">
        <v>47</v>
      </c>
      <c r="S1419" t="s">
        <v>47</v>
      </c>
      <c r="T1419" t="s">
        <v>47</v>
      </c>
      <c r="U1419" t="s">
        <v>47</v>
      </c>
      <c r="V1419" t="s">
        <v>51</v>
      </c>
      <c r="W1419" t="s">
        <v>46</v>
      </c>
      <c r="X1419" t="s">
        <v>47</v>
      </c>
      <c r="Y1419" t="s">
        <v>47</v>
      </c>
      <c r="Z1419" t="s">
        <v>47</v>
      </c>
      <c r="AA1419" t="s">
        <v>46</v>
      </c>
      <c r="AB1419" t="s">
        <v>47</v>
      </c>
      <c r="AC1419" t="s">
        <v>47</v>
      </c>
      <c r="AD1419" t="s">
        <v>46</v>
      </c>
      <c r="AE1419" t="s">
        <v>47</v>
      </c>
      <c r="AF1419" t="s">
        <v>47</v>
      </c>
      <c r="AG1419" t="s">
        <v>52</v>
      </c>
      <c r="AH1419" t="s">
        <v>53</v>
      </c>
      <c r="AI1419" t="s">
        <v>87</v>
      </c>
      <c r="AJ1419">
        <v>3.4</v>
      </c>
      <c r="AK1419" t="s">
        <v>47</v>
      </c>
      <c r="AL1419" t="s">
        <v>55</v>
      </c>
      <c r="AM1419" t="s">
        <v>67</v>
      </c>
      <c r="AN1419">
        <v>25</v>
      </c>
      <c r="AO1419" t="s">
        <v>46</v>
      </c>
    </row>
    <row r="1420" spans="1:41">
      <c r="A1420" t="s">
        <v>1572</v>
      </c>
      <c r="B1420">
        <v>2025</v>
      </c>
      <c r="C1420" s="1">
        <v>45769</v>
      </c>
      <c r="D1420" t="s">
        <v>84</v>
      </c>
      <c r="E1420" t="s">
        <v>126</v>
      </c>
      <c r="F1420">
        <v>60</v>
      </c>
      <c r="G1420" t="s">
        <v>60</v>
      </c>
      <c r="H1420" t="s">
        <v>45</v>
      </c>
      <c r="I1420">
        <v>24</v>
      </c>
      <c r="J1420">
        <v>26</v>
      </c>
      <c r="K1420" t="s">
        <v>46</v>
      </c>
      <c r="L1420" t="s">
        <v>47</v>
      </c>
      <c r="M1420" t="s">
        <v>47</v>
      </c>
      <c r="N1420" t="s">
        <v>62</v>
      </c>
      <c r="O1420" t="s">
        <v>48</v>
      </c>
      <c r="P1420">
        <v>32.299999999999997</v>
      </c>
      <c r="Q1420" t="s">
        <v>62</v>
      </c>
      <c r="R1420" t="s">
        <v>47</v>
      </c>
      <c r="S1420" t="s">
        <v>47</v>
      </c>
      <c r="T1420" t="s">
        <v>47</v>
      </c>
      <c r="U1420" t="s">
        <v>47</v>
      </c>
      <c r="V1420" t="s">
        <v>64</v>
      </c>
      <c r="W1420" t="s">
        <v>47</v>
      </c>
      <c r="X1420" t="s">
        <v>46</v>
      </c>
      <c r="Y1420" t="s">
        <v>46</v>
      </c>
      <c r="Z1420" t="s">
        <v>47</v>
      </c>
      <c r="AA1420" t="s">
        <v>46</v>
      </c>
      <c r="AB1420" t="s">
        <v>46</v>
      </c>
      <c r="AC1420" t="s">
        <v>47</v>
      </c>
      <c r="AD1420" t="s">
        <v>47</v>
      </c>
      <c r="AE1420" t="s">
        <v>47</v>
      </c>
      <c r="AF1420" t="s">
        <v>47</v>
      </c>
      <c r="AG1420" t="s">
        <v>121</v>
      </c>
      <c r="AH1420" t="s">
        <v>122</v>
      </c>
      <c r="AI1420" t="s">
        <v>54</v>
      </c>
      <c r="AJ1420">
        <v>8.8000000000000007</v>
      </c>
      <c r="AK1420" t="s">
        <v>46</v>
      </c>
      <c r="AL1420" t="s">
        <v>66</v>
      </c>
      <c r="AM1420" t="s">
        <v>77</v>
      </c>
      <c r="AN1420">
        <v>2</v>
      </c>
      <c r="AO1420" t="s">
        <v>47</v>
      </c>
    </row>
    <row r="1421" spans="1:41">
      <c r="A1421" t="s">
        <v>1573</v>
      </c>
      <c r="B1421">
        <v>2019</v>
      </c>
      <c r="C1421" s="1">
        <v>43603</v>
      </c>
      <c r="D1421" t="s">
        <v>42</v>
      </c>
      <c r="E1421" t="s">
        <v>43</v>
      </c>
      <c r="F1421">
        <v>54</v>
      </c>
      <c r="G1421" t="s">
        <v>60</v>
      </c>
      <c r="H1421" t="s">
        <v>70</v>
      </c>
      <c r="I1421">
        <v>0</v>
      </c>
      <c r="J1421">
        <v>0</v>
      </c>
      <c r="K1421" t="s">
        <v>47</v>
      </c>
      <c r="L1421" t="s">
        <v>47</v>
      </c>
      <c r="M1421" t="s">
        <v>46</v>
      </c>
      <c r="N1421" t="s">
        <v>62</v>
      </c>
      <c r="O1421" t="s">
        <v>49</v>
      </c>
      <c r="P1421">
        <v>17</v>
      </c>
      <c r="Q1421" t="s">
        <v>48</v>
      </c>
      <c r="R1421" t="s">
        <v>47</v>
      </c>
      <c r="S1421" t="s">
        <v>47</v>
      </c>
      <c r="T1421" t="s">
        <v>47</v>
      </c>
      <c r="U1421" t="s">
        <v>47</v>
      </c>
      <c r="V1421" t="s">
        <v>51</v>
      </c>
      <c r="W1421" t="s">
        <v>47</v>
      </c>
      <c r="X1421" t="s">
        <v>47</v>
      </c>
      <c r="Y1421" t="s">
        <v>46</v>
      </c>
      <c r="Z1421" t="s">
        <v>46</v>
      </c>
      <c r="AA1421" t="s">
        <v>46</v>
      </c>
      <c r="AB1421" t="s">
        <v>47</v>
      </c>
      <c r="AC1421" t="s">
        <v>47</v>
      </c>
      <c r="AD1421" t="s">
        <v>47</v>
      </c>
      <c r="AE1421" t="s">
        <v>47</v>
      </c>
      <c r="AF1421" t="s">
        <v>47</v>
      </c>
      <c r="AG1421" t="s">
        <v>52</v>
      </c>
      <c r="AH1421" t="s">
        <v>53</v>
      </c>
      <c r="AI1421" t="s">
        <v>54</v>
      </c>
      <c r="AJ1421">
        <v>5.2</v>
      </c>
      <c r="AK1421" t="s">
        <v>46</v>
      </c>
      <c r="AL1421" t="s">
        <v>156</v>
      </c>
      <c r="AM1421" t="s">
        <v>118</v>
      </c>
      <c r="AN1421">
        <v>8</v>
      </c>
      <c r="AO1421" t="s">
        <v>47</v>
      </c>
    </row>
    <row r="1422" spans="1:41">
      <c r="A1422" t="s">
        <v>1574</v>
      </c>
      <c r="B1422">
        <v>2019</v>
      </c>
      <c r="C1422" s="1">
        <v>43574</v>
      </c>
      <c r="D1422" t="s">
        <v>95</v>
      </c>
      <c r="E1422" t="s">
        <v>145</v>
      </c>
      <c r="F1422">
        <v>62</v>
      </c>
      <c r="G1422" t="s">
        <v>60</v>
      </c>
      <c r="H1422" t="s">
        <v>45</v>
      </c>
      <c r="I1422">
        <v>16</v>
      </c>
      <c r="J1422">
        <v>18</v>
      </c>
      <c r="K1422" t="s">
        <v>46</v>
      </c>
      <c r="L1422" t="s">
        <v>47</v>
      </c>
      <c r="M1422" t="s">
        <v>47</v>
      </c>
      <c r="N1422" t="s">
        <v>50</v>
      </c>
      <c r="O1422" t="s">
        <v>48</v>
      </c>
      <c r="P1422">
        <v>23.8</v>
      </c>
      <c r="Q1422" t="s">
        <v>48</v>
      </c>
      <c r="R1422" t="s">
        <v>47</v>
      </c>
      <c r="S1422" t="s">
        <v>47</v>
      </c>
      <c r="T1422" t="s">
        <v>47</v>
      </c>
      <c r="U1422" t="s">
        <v>47</v>
      </c>
      <c r="V1422" t="s">
        <v>171</v>
      </c>
      <c r="W1422" t="s">
        <v>46</v>
      </c>
      <c r="X1422" t="s">
        <v>46</v>
      </c>
      <c r="Y1422" t="s">
        <v>46</v>
      </c>
      <c r="Z1422" t="s">
        <v>47</v>
      </c>
      <c r="AA1422" t="s">
        <v>46</v>
      </c>
      <c r="AB1422" t="s">
        <v>47</v>
      </c>
      <c r="AC1422" t="s">
        <v>47</v>
      </c>
      <c r="AD1422" t="s">
        <v>47</v>
      </c>
      <c r="AE1422" t="s">
        <v>47</v>
      </c>
      <c r="AF1422" t="s">
        <v>47</v>
      </c>
      <c r="AG1422" t="s">
        <v>52</v>
      </c>
      <c r="AH1422" t="s">
        <v>90</v>
      </c>
      <c r="AI1422" t="s">
        <v>65</v>
      </c>
      <c r="AJ1422">
        <v>2.5</v>
      </c>
      <c r="AK1422" t="s">
        <v>47</v>
      </c>
      <c r="AL1422" t="s">
        <v>76</v>
      </c>
      <c r="AM1422" t="s">
        <v>73</v>
      </c>
      <c r="AN1422">
        <v>44</v>
      </c>
      <c r="AO1422" t="s">
        <v>47</v>
      </c>
    </row>
    <row r="1423" spans="1:41">
      <c r="A1423" t="s">
        <v>1575</v>
      </c>
      <c r="B1423">
        <v>2025</v>
      </c>
      <c r="C1423" s="1">
        <v>45835</v>
      </c>
      <c r="D1423" t="s">
        <v>42</v>
      </c>
      <c r="E1423" t="s">
        <v>166</v>
      </c>
      <c r="F1423">
        <v>47</v>
      </c>
      <c r="G1423" t="s">
        <v>44</v>
      </c>
      <c r="H1423" t="s">
        <v>70</v>
      </c>
      <c r="I1423">
        <v>0</v>
      </c>
      <c r="J1423">
        <v>0</v>
      </c>
      <c r="K1423" t="s">
        <v>47</v>
      </c>
      <c r="L1423" t="s">
        <v>47</v>
      </c>
      <c r="M1423" t="s">
        <v>47</v>
      </c>
      <c r="N1423" t="s">
        <v>50</v>
      </c>
      <c r="O1423" t="s">
        <v>48</v>
      </c>
      <c r="P1423">
        <v>27.9</v>
      </c>
      <c r="Q1423" t="s">
        <v>50</v>
      </c>
      <c r="R1423" t="s">
        <v>47</v>
      </c>
      <c r="S1423" t="s">
        <v>47</v>
      </c>
      <c r="T1423" t="s">
        <v>47</v>
      </c>
      <c r="U1423" t="s">
        <v>47</v>
      </c>
      <c r="V1423" t="s">
        <v>51</v>
      </c>
      <c r="W1423" t="s">
        <v>47</v>
      </c>
      <c r="X1423" t="s">
        <v>47</v>
      </c>
      <c r="Y1423" t="s">
        <v>47</v>
      </c>
      <c r="Z1423" t="s">
        <v>47</v>
      </c>
      <c r="AA1423" t="s">
        <v>46</v>
      </c>
      <c r="AB1423" t="s">
        <v>47</v>
      </c>
      <c r="AC1423" t="s">
        <v>47</v>
      </c>
      <c r="AD1423" t="s">
        <v>47</v>
      </c>
      <c r="AE1423" t="s">
        <v>47</v>
      </c>
      <c r="AF1423" t="s">
        <v>47</v>
      </c>
      <c r="AG1423" t="s">
        <v>52</v>
      </c>
      <c r="AH1423" t="s">
        <v>53</v>
      </c>
      <c r="AI1423" t="s">
        <v>54</v>
      </c>
      <c r="AJ1423">
        <v>8</v>
      </c>
      <c r="AK1423" t="s">
        <v>46</v>
      </c>
      <c r="AL1423" t="s">
        <v>76</v>
      </c>
      <c r="AM1423" t="s">
        <v>82</v>
      </c>
      <c r="AN1423">
        <v>9</v>
      </c>
      <c r="AO1423" t="s">
        <v>47</v>
      </c>
    </row>
    <row r="1424" spans="1:41">
      <c r="A1424" t="s">
        <v>1576</v>
      </c>
      <c r="B1424">
        <v>2023</v>
      </c>
      <c r="C1424" s="1">
        <v>44993</v>
      </c>
      <c r="D1424" t="s">
        <v>110</v>
      </c>
      <c r="E1424" t="s">
        <v>124</v>
      </c>
      <c r="F1424">
        <v>48</v>
      </c>
      <c r="G1424" t="s">
        <v>60</v>
      </c>
      <c r="H1424" t="s">
        <v>70</v>
      </c>
      <c r="I1424">
        <v>0</v>
      </c>
      <c r="J1424">
        <v>0</v>
      </c>
      <c r="K1424" t="s">
        <v>46</v>
      </c>
      <c r="L1424" t="s">
        <v>46</v>
      </c>
      <c r="M1424" t="s">
        <v>46</v>
      </c>
      <c r="N1424" t="s">
        <v>62</v>
      </c>
      <c r="O1424" t="s">
        <v>63</v>
      </c>
      <c r="P1424">
        <v>30.4</v>
      </c>
      <c r="Q1424" t="s">
        <v>48</v>
      </c>
      <c r="R1424" t="s">
        <v>46</v>
      </c>
      <c r="S1424" t="s">
        <v>47</v>
      </c>
      <c r="T1424" t="s">
        <v>47</v>
      </c>
      <c r="U1424" t="s">
        <v>47</v>
      </c>
      <c r="V1424" t="s">
        <v>86</v>
      </c>
      <c r="W1424" t="s">
        <v>47</v>
      </c>
      <c r="X1424" t="s">
        <v>47</v>
      </c>
      <c r="Y1424" t="s">
        <v>47</v>
      </c>
      <c r="Z1424" t="s">
        <v>47</v>
      </c>
      <c r="AA1424" t="s">
        <v>46</v>
      </c>
      <c r="AB1424" t="s">
        <v>47</v>
      </c>
      <c r="AC1424" t="s">
        <v>47</v>
      </c>
      <c r="AD1424" t="s">
        <v>46</v>
      </c>
      <c r="AE1424" t="s">
        <v>47</v>
      </c>
      <c r="AF1424" t="s">
        <v>46</v>
      </c>
      <c r="AG1424" t="s">
        <v>52</v>
      </c>
      <c r="AH1424" t="s">
        <v>53</v>
      </c>
      <c r="AI1424" t="s">
        <v>54</v>
      </c>
      <c r="AJ1424">
        <v>6.8</v>
      </c>
      <c r="AK1424" t="s">
        <v>46</v>
      </c>
      <c r="AL1424" t="s">
        <v>81</v>
      </c>
      <c r="AM1424" t="s">
        <v>82</v>
      </c>
      <c r="AN1424">
        <v>7</v>
      </c>
      <c r="AO1424" t="s">
        <v>47</v>
      </c>
    </row>
    <row r="1425" spans="1:41">
      <c r="A1425" t="s">
        <v>1577</v>
      </c>
      <c r="B1425">
        <v>2022</v>
      </c>
      <c r="C1425" s="1">
        <v>44738</v>
      </c>
      <c r="D1425" t="s">
        <v>42</v>
      </c>
      <c r="E1425" t="s">
        <v>136</v>
      </c>
      <c r="F1425">
        <v>66</v>
      </c>
      <c r="G1425" t="s">
        <v>60</v>
      </c>
      <c r="H1425" t="s">
        <v>45</v>
      </c>
      <c r="I1425">
        <v>24</v>
      </c>
      <c r="J1425">
        <v>17</v>
      </c>
      <c r="K1425" t="s">
        <v>46</v>
      </c>
      <c r="L1425" t="s">
        <v>47</v>
      </c>
      <c r="M1425" t="s">
        <v>47</v>
      </c>
      <c r="N1425" t="s">
        <v>48</v>
      </c>
      <c r="O1425" t="s">
        <v>49</v>
      </c>
      <c r="P1425">
        <v>23.8</v>
      </c>
      <c r="Q1425" t="s">
        <v>62</v>
      </c>
      <c r="R1425" t="s">
        <v>46</v>
      </c>
      <c r="S1425" t="s">
        <v>47</v>
      </c>
      <c r="T1425" t="s">
        <v>47</v>
      </c>
      <c r="U1425" t="s">
        <v>47</v>
      </c>
      <c r="V1425" t="s">
        <v>51</v>
      </c>
      <c r="W1425" t="s">
        <v>46</v>
      </c>
      <c r="X1425" t="s">
        <v>46</v>
      </c>
      <c r="Y1425" t="s">
        <v>47</v>
      </c>
      <c r="Z1425" t="s">
        <v>47</v>
      </c>
      <c r="AA1425" t="s">
        <v>46</v>
      </c>
      <c r="AB1425" t="s">
        <v>46</v>
      </c>
      <c r="AC1425" t="s">
        <v>46</v>
      </c>
      <c r="AD1425" t="s">
        <v>46</v>
      </c>
      <c r="AE1425" t="s">
        <v>47</v>
      </c>
      <c r="AF1425" t="s">
        <v>47</v>
      </c>
      <c r="AG1425" t="s">
        <v>52</v>
      </c>
      <c r="AH1425" t="s">
        <v>53</v>
      </c>
      <c r="AI1425" t="s">
        <v>65</v>
      </c>
      <c r="AJ1425">
        <v>0.9</v>
      </c>
      <c r="AK1425" t="s">
        <v>47</v>
      </c>
      <c r="AL1425" t="s">
        <v>72</v>
      </c>
      <c r="AM1425" t="s">
        <v>73</v>
      </c>
      <c r="AN1425">
        <v>53</v>
      </c>
      <c r="AO1425" t="s">
        <v>46</v>
      </c>
    </row>
    <row r="1426" spans="1:41">
      <c r="A1426" t="s">
        <v>1578</v>
      </c>
      <c r="B1426">
        <v>2017</v>
      </c>
      <c r="C1426" s="1">
        <v>43009</v>
      </c>
      <c r="D1426" t="s">
        <v>42</v>
      </c>
      <c r="E1426" t="s">
        <v>136</v>
      </c>
      <c r="F1426">
        <v>71</v>
      </c>
      <c r="G1426" t="s">
        <v>60</v>
      </c>
      <c r="H1426" t="s">
        <v>45</v>
      </c>
      <c r="I1426">
        <v>35</v>
      </c>
      <c r="J1426">
        <v>48</v>
      </c>
      <c r="K1426" t="s">
        <v>46</v>
      </c>
      <c r="L1426" t="s">
        <v>47</v>
      </c>
      <c r="M1426" t="s">
        <v>47</v>
      </c>
      <c r="N1426" t="s">
        <v>48</v>
      </c>
      <c r="O1426" t="s">
        <v>49</v>
      </c>
      <c r="P1426">
        <v>31.4</v>
      </c>
      <c r="Q1426" t="s">
        <v>50</v>
      </c>
      <c r="R1426" t="s">
        <v>46</v>
      </c>
      <c r="S1426" t="s">
        <v>47</v>
      </c>
      <c r="T1426" t="s">
        <v>47</v>
      </c>
      <c r="U1426" t="s">
        <v>47</v>
      </c>
      <c r="V1426" t="s">
        <v>51</v>
      </c>
      <c r="W1426" t="s">
        <v>46</v>
      </c>
      <c r="X1426" t="s">
        <v>46</v>
      </c>
      <c r="Y1426" t="s">
        <v>46</v>
      </c>
      <c r="Z1426" t="s">
        <v>46</v>
      </c>
      <c r="AA1426" t="s">
        <v>47</v>
      </c>
      <c r="AB1426" t="s">
        <v>46</v>
      </c>
      <c r="AC1426" t="s">
        <v>46</v>
      </c>
      <c r="AD1426" t="s">
        <v>47</v>
      </c>
      <c r="AE1426" t="s">
        <v>47</v>
      </c>
      <c r="AF1426" t="s">
        <v>47</v>
      </c>
      <c r="AG1426" t="s">
        <v>121</v>
      </c>
      <c r="AH1426" t="s">
        <v>122</v>
      </c>
      <c r="AI1426" t="s">
        <v>65</v>
      </c>
      <c r="AJ1426">
        <v>1.8</v>
      </c>
      <c r="AK1426" t="s">
        <v>47</v>
      </c>
      <c r="AL1426" t="s">
        <v>156</v>
      </c>
      <c r="AM1426" t="s">
        <v>82</v>
      </c>
      <c r="AN1426">
        <v>77</v>
      </c>
      <c r="AO1426" t="s">
        <v>46</v>
      </c>
    </row>
    <row r="1427" spans="1:41">
      <c r="A1427" t="s">
        <v>1579</v>
      </c>
      <c r="B1427">
        <v>2023</v>
      </c>
      <c r="C1427" s="1">
        <v>45218</v>
      </c>
      <c r="D1427" t="s">
        <v>84</v>
      </c>
      <c r="E1427" t="s">
        <v>182</v>
      </c>
      <c r="F1427">
        <v>41</v>
      </c>
      <c r="G1427" t="s">
        <v>44</v>
      </c>
      <c r="H1427" t="s">
        <v>70</v>
      </c>
      <c r="I1427">
        <v>0</v>
      </c>
      <c r="J1427">
        <v>0</v>
      </c>
      <c r="K1427" t="s">
        <v>46</v>
      </c>
      <c r="L1427" t="s">
        <v>47</v>
      </c>
      <c r="M1427" t="s">
        <v>47</v>
      </c>
      <c r="N1427" t="s">
        <v>48</v>
      </c>
      <c r="O1427" t="s">
        <v>48</v>
      </c>
      <c r="P1427">
        <v>24.8</v>
      </c>
      <c r="Q1427" t="s">
        <v>62</v>
      </c>
      <c r="R1427" t="s">
        <v>47</v>
      </c>
      <c r="S1427" t="s">
        <v>47</v>
      </c>
      <c r="T1427" t="s">
        <v>47</v>
      </c>
      <c r="U1427" t="s">
        <v>47</v>
      </c>
      <c r="V1427" t="s">
        <v>51</v>
      </c>
      <c r="W1427" t="s">
        <v>46</v>
      </c>
      <c r="X1427" t="s">
        <v>46</v>
      </c>
      <c r="Y1427" t="s">
        <v>47</v>
      </c>
      <c r="Z1427" t="s">
        <v>47</v>
      </c>
      <c r="AA1427" t="s">
        <v>46</v>
      </c>
      <c r="AB1427" t="s">
        <v>47</v>
      </c>
      <c r="AC1427" t="s">
        <v>47</v>
      </c>
      <c r="AD1427" t="s">
        <v>47</v>
      </c>
      <c r="AE1427" t="s">
        <v>47</v>
      </c>
      <c r="AF1427" t="s">
        <v>47</v>
      </c>
      <c r="AG1427" t="s">
        <v>52</v>
      </c>
      <c r="AH1427" t="s">
        <v>53</v>
      </c>
      <c r="AI1427" t="s">
        <v>65</v>
      </c>
      <c r="AJ1427">
        <v>3.3</v>
      </c>
      <c r="AK1427" t="s">
        <v>47</v>
      </c>
      <c r="AL1427" t="s">
        <v>72</v>
      </c>
      <c r="AM1427" t="s">
        <v>103</v>
      </c>
      <c r="AN1427">
        <v>40</v>
      </c>
      <c r="AO1427" t="s">
        <v>46</v>
      </c>
    </row>
    <row r="1428" spans="1:41">
      <c r="A1428" t="s">
        <v>1580</v>
      </c>
      <c r="B1428">
        <v>2024</v>
      </c>
      <c r="C1428" s="1">
        <v>45572</v>
      </c>
      <c r="D1428" t="s">
        <v>98</v>
      </c>
      <c r="E1428" t="s">
        <v>202</v>
      </c>
      <c r="F1428">
        <v>54</v>
      </c>
      <c r="G1428" t="s">
        <v>60</v>
      </c>
      <c r="H1428" t="s">
        <v>70</v>
      </c>
      <c r="I1428">
        <v>0</v>
      </c>
      <c r="J1428">
        <v>0</v>
      </c>
      <c r="K1428" t="s">
        <v>47</v>
      </c>
      <c r="L1428" t="s">
        <v>47</v>
      </c>
      <c r="M1428" t="s">
        <v>47</v>
      </c>
      <c r="N1428" t="s">
        <v>48</v>
      </c>
      <c r="O1428" t="s">
        <v>63</v>
      </c>
      <c r="P1428">
        <v>26.7</v>
      </c>
      <c r="Q1428" t="s">
        <v>50</v>
      </c>
      <c r="R1428" t="s">
        <v>47</v>
      </c>
      <c r="S1428" t="s">
        <v>47</v>
      </c>
      <c r="T1428" t="s">
        <v>47</v>
      </c>
      <c r="U1428" t="s">
        <v>47</v>
      </c>
      <c r="V1428" t="s">
        <v>86</v>
      </c>
      <c r="W1428" t="s">
        <v>47</v>
      </c>
      <c r="X1428" t="s">
        <v>46</v>
      </c>
      <c r="Y1428" t="s">
        <v>46</v>
      </c>
      <c r="Z1428" t="s">
        <v>47</v>
      </c>
      <c r="AA1428" t="s">
        <v>46</v>
      </c>
      <c r="AB1428" t="s">
        <v>47</v>
      </c>
      <c r="AC1428" t="s">
        <v>47</v>
      </c>
      <c r="AD1428" t="s">
        <v>47</v>
      </c>
      <c r="AE1428" t="s">
        <v>47</v>
      </c>
      <c r="AF1428" t="s">
        <v>47</v>
      </c>
      <c r="AG1428" t="s">
        <v>52</v>
      </c>
      <c r="AH1428" t="s">
        <v>53</v>
      </c>
      <c r="AI1428" t="s">
        <v>54</v>
      </c>
      <c r="AJ1428">
        <v>4</v>
      </c>
      <c r="AK1428" t="s">
        <v>46</v>
      </c>
      <c r="AL1428" t="s">
        <v>76</v>
      </c>
      <c r="AM1428" t="s">
        <v>118</v>
      </c>
      <c r="AN1428">
        <v>5</v>
      </c>
      <c r="AO1428" t="s">
        <v>47</v>
      </c>
    </row>
    <row r="1429" spans="1:41">
      <c r="A1429" t="s">
        <v>1581</v>
      </c>
      <c r="B1429">
        <v>2024</v>
      </c>
      <c r="C1429" s="1">
        <v>45545</v>
      </c>
      <c r="D1429" t="s">
        <v>110</v>
      </c>
      <c r="E1429" t="s">
        <v>294</v>
      </c>
      <c r="F1429">
        <v>63</v>
      </c>
      <c r="G1429" t="s">
        <v>44</v>
      </c>
      <c r="H1429" t="s">
        <v>45</v>
      </c>
      <c r="I1429">
        <v>15</v>
      </c>
      <c r="J1429">
        <v>30</v>
      </c>
      <c r="K1429" t="s">
        <v>47</v>
      </c>
      <c r="L1429" t="s">
        <v>47</v>
      </c>
      <c r="M1429" t="s">
        <v>47</v>
      </c>
      <c r="N1429" t="s">
        <v>48</v>
      </c>
      <c r="O1429" t="s">
        <v>49</v>
      </c>
      <c r="P1429">
        <v>32</v>
      </c>
      <c r="Q1429" t="s">
        <v>48</v>
      </c>
      <c r="R1429" t="s">
        <v>47</v>
      </c>
      <c r="S1429" t="s">
        <v>47</v>
      </c>
      <c r="T1429" t="s">
        <v>47</v>
      </c>
      <c r="U1429" t="s">
        <v>47</v>
      </c>
      <c r="V1429" t="s">
        <v>64</v>
      </c>
      <c r="W1429" t="s">
        <v>46</v>
      </c>
      <c r="X1429" t="s">
        <v>46</v>
      </c>
      <c r="Y1429" t="s">
        <v>46</v>
      </c>
      <c r="Z1429" t="s">
        <v>47</v>
      </c>
      <c r="AA1429" t="s">
        <v>47</v>
      </c>
      <c r="AB1429" t="s">
        <v>47</v>
      </c>
      <c r="AC1429" t="s">
        <v>47</v>
      </c>
      <c r="AD1429" t="s">
        <v>47</v>
      </c>
      <c r="AE1429" t="s">
        <v>47</v>
      </c>
      <c r="AF1429" t="s">
        <v>47</v>
      </c>
      <c r="AG1429" t="s">
        <v>52</v>
      </c>
      <c r="AH1429" t="s">
        <v>53</v>
      </c>
      <c r="AI1429" t="s">
        <v>80</v>
      </c>
      <c r="AJ1429">
        <v>6.4</v>
      </c>
      <c r="AK1429" t="s">
        <v>47</v>
      </c>
      <c r="AL1429" t="s">
        <v>66</v>
      </c>
      <c r="AM1429" t="s">
        <v>56</v>
      </c>
      <c r="AN1429">
        <v>10</v>
      </c>
      <c r="AO1429" t="s">
        <v>47</v>
      </c>
    </row>
    <row r="1430" spans="1:41">
      <c r="A1430" t="s">
        <v>1582</v>
      </c>
      <c r="B1430">
        <v>2017</v>
      </c>
      <c r="C1430" s="1">
        <v>42949</v>
      </c>
      <c r="D1430" t="s">
        <v>42</v>
      </c>
      <c r="E1430" t="s">
        <v>69</v>
      </c>
      <c r="F1430">
        <v>60</v>
      </c>
      <c r="G1430" t="s">
        <v>44</v>
      </c>
      <c r="H1430" t="s">
        <v>70</v>
      </c>
      <c r="I1430">
        <v>0</v>
      </c>
      <c r="J1430">
        <v>0</v>
      </c>
      <c r="K1430" t="s">
        <v>46</v>
      </c>
      <c r="L1430" t="s">
        <v>47</v>
      </c>
      <c r="M1430" t="s">
        <v>47</v>
      </c>
      <c r="N1430" t="s">
        <v>62</v>
      </c>
      <c r="O1430" t="s">
        <v>63</v>
      </c>
      <c r="P1430">
        <v>24.5</v>
      </c>
      <c r="Q1430" t="s">
        <v>50</v>
      </c>
      <c r="R1430" t="s">
        <v>46</v>
      </c>
      <c r="S1430" t="s">
        <v>47</v>
      </c>
      <c r="T1430" t="s">
        <v>47</v>
      </c>
      <c r="U1430" t="s">
        <v>47</v>
      </c>
      <c r="V1430" t="s">
        <v>51</v>
      </c>
      <c r="W1430" t="s">
        <v>47</v>
      </c>
      <c r="X1430" t="s">
        <v>47</v>
      </c>
      <c r="Y1430" t="s">
        <v>47</v>
      </c>
      <c r="Z1430" t="s">
        <v>47</v>
      </c>
      <c r="AA1430" t="s">
        <v>46</v>
      </c>
      <c r="AB1430" t="s">
        <v>47</v>
      </c>
      <c r="AC1430" t="s">
        <v>47</v>
      </c>
      <c r="AD1430" t="s">
        <v>47</v>
      </c>
      <c r="AE1430" t="s">
        <v>47</v>
      </c>
      <c r="AF1430" t="s">
        <v>47</v>
      </c>
      <c r="AG1430" t="s">
        <v>52</v>
      </c>
      <c r="AH1430" t="s">
        <v>90</v>
      </c>
      <c r="AI1430" t="s">
        <v>54</v>
      </c>
      <c r="AJ1430">
        <v>6.7</v>
      </c>
      <c r="AK1430" t="s">
        <v>46</v>
      </c>
      <c r="AL1430" t="s">
        <v>66</v>
      </c>
      <c r="AM1430" t="s">
        <v>265</v>
      </c>
      <c r="AN1430">
        <v>15</v>
      </c>
      <c r="AO1430" t="s">
        <v>46</v>
      </c>
    </row>
    <row r="1431" spans="1:41">
      <c r="A1431" t="s">
        <v>1583</v>
      </c>
      <c r="B1431">
        <v>2025</v>
      </c>
      <c r="C1431" s="1">
        <v>45665</v>
      </c>
      <c r="D1431" t="s">
        <v>84</v>
      </c>
      <c r="E1431" t="s">
        <v>449</v>
      </c>
      <c r="F1431">
        <v>51</v>
      </c>
      <c r="G1431" t="s">
        <v>60</v>
      </c>
      <c r="H1431" t="s">
        <v>70</v>
      </c>
      <c r="I1431">
        <v>0</v>
      </c>
      <c r="J1431">
        <v>0</v>
      </c>
      <c r="K1431" t="s">
        <v>46</v>
      </c>
      <c r="L1431" t="s">
        <v>47</v>
      </c>
      <c r="M1431" t="s">
        <v>47</v>
      </c>
      <c r="N1431" t="s">
        <v>62</v>
      </c>
      <c r="O1431" t="s">
        <v>49</v>
      </c>
      <c r="P1431">
        <v>24.2</v>
      </c>
      <c r="Q1431" t="s">
        <v>50</v>
      </c>
      <c r="R1431" t="s">
        <v>47</v>
      </c>
      <c r="S1431" t="s">
        <v>47</v>
      </c>
      <c r="T1431" t="s">
        <v>47</v>
      </c>
      <c r="U1431" t="s">
        <v>47</v>
      </c>
      <c r="V1431" t="s">
        <v>128</v>
      </c>
      <c r="W1431" t="s">
        <v>46</v>
      </c>
      <c r="X1431" t="s">
        <v>47</v>
      </c>
      <c r="Y1431" t="s">
        <v>47</v>
      </c>
      <c r="Z1431" t="s">
        <v>47</v>
      </c>
      <c r="AA1431" t="s">
        <v>47</v>
      </c>
      <c r="AB1431" t="s">
        <v>46</v>
      </c>
      <c r="AC1431" t="s">
        <v>46</v>
      </c>
      <c r="AD1431" t="s">
        <v>47</v>
      </c>
      <c r="AE1431" t="s">
        <v>47</v>
      </c>
      <c r="AF1431" t="s">
        <v>47</v>
      </c>
      <c r="AG1431" t="s">
        <v>52</v>
      </c>
      <c r="AH1431" t="s">
        <v>53</v>
      </c>
      <c r="AI1431" t="s">
        <v>80</v>
      </c>
      <c r="AJ1431">
        <v>8.6999999999999993</v>
      </c>
      <c r="AK1431" t="s">
        <v>47</v>
      </c>
      <c r="AL1431" t="s">
        <v>81</v>
      </c>
      <c r="AM1431" t="s">
        <v>77</v>
      </c>
      <c r="AN1431">
        <v>15</v>
      </c>
      <c r="AO1431" t="s">
        <v>47</v>
      </c>
    </row>
    <row r="1432" spans="1:41">
      <c r="A1432" t="s">
        <v>1584</v>
      </c>
      <c r="B1432">
        <v>2021</v>
      </c>
      <c r="C1432" s="1">
        <v>44287</v>
      </c>
      <c r="D1432" t="s">
        <v>58</v>
      </c>
      <c r="E1432" t="s">
        <v>220</v>
      </c>
      <c r="F1432">
        <v>60</v>
      </c>
      <c r="G1432" t="s">
        <v>60</v>
      </c>
      <c r="H1432" t="s">
        <v>70</v>
      </c>
      <c r="I1432">
        <v>0</v>
      </c>
      <c r="J1432">
        <v>0</v>
      </c>
      <c r="K1432" t="s">
        <v>46</v>
      </c>
      <c r="L1432" t="s">
        <v>47</v>
      </c>
      <c r="M1432" t="s">
        <v>47</v>
      </c>
      <c r="N1432" t="s">
        <v>50</v>
      </c>
      <c r="O1432" t="s">
        <v>49</v>
      </c>
      <c r="P1432">
        <v>26.2</v>
      </c>
      <c r="Q1432" t="s">
        <v>48</v>
      </c>
      <c r="R1432" t="s">
        <v>47</v>
      </c>
      <c r="S1432" t="s">
        <v>47</v>
      </c>
      <c r="T1432" t="s">
        <v>47</v>
      </c>
      <c r="U1432" t="s">
        <v>47</v>
      </c>
      <c r="V1432" t="s">
        <v>51</v>
      </c>
      <c r="W1432" t="s">
        <v>46</v>
      </c>
      <c r="X1432" t="s">
        <v>47</v>
      </c>
      <c r="Y1432" t="s">
        <v>46</v>
      </c>
      <c r="Z1432" t="s">
        <v>47</v>
      </c>
      <c r="AA1432" t="s">
        <v>46</v>
      </c>
      <c r="AB1432" t="s">
        <v>47</v>
      </c>
      <c r="AC1432" t="s">
        <v>47</v>
      </c>
      <c r="AD1432" t="s">
        <v>47</v>
      </c>
      <c r="AE1432" t="s">
        <v>47</v>
      </c>
      <c r="AF1432" t="s">
        <v>47</v>
      </c>
      <c r="AG1432" t="s">
        <v>52</v>
      </c>
      <c r="AH1432" t="s">
        <v>90</v>
      </c>
      <c r="AI1432" t="s">
        <v>87</v>
      </c>
      <c r="AJ1432">
        <v>5.7</v>
      </c>
      <c r="AK1432" t="s">
        <v>47</v>
      </c>
      <c r="AL1432" t="s">
        <v>72</v>
      </c>
      <c r="AM1432" t="s">
        <v>73</v>
      </c>
      <c r="AN1432">
        <v>41</v>
      </c>
      <c r="AO1432" t="s">
        <v>47</v>
      </c>
    </row>
    <row r="1433" spans="1:41">
      <c r="A1433" t="s">
        <v>1585</v>
      </c>
      <c r="B1433">
        <v>2023</v>
      </c>
      <c r="C1433" s="1">
        <v>45139</v>
      </c>
      <c r="D1433" t="s">
        <v>95</v>
      </c>
      <c r="E1433" t="s">
        <v>107</v>
      </c>
      <c r="F1433">
        <v>49</v>
      </c>
      <c r="G1433" t="s">
        <v>44</v>
      </c>
      <c r="H1433" t="s">
        <v>45</v>
      </c>
      <c r="I1433">
        <v>24</v>
      </c>
      <c r="J1433">
        <v>22</v>
      </c>
      <c r="K1433" t="s">
        <v>46</v>
      </c>
      <c r="L1433" t="s">
        <v>47</v>
      </c>
      <c r="M1433" t="s">
        <v>47</v>
      </c>
      <c r="N1433" t="s">
        <v>50</v>
      </c>
      <c r="O1433" t="s">
        <v>49</v>
      </c>
      <c r="P1433">
        <v>29.6</v>
      </c>
      <c r="Q1433" t="s">
        <v>48</v>
      </c>
      <c r="R1433" t="s">
        <v>46</v>
      </c>
      <c r="S1433" t="s">
        <v>47</v>
      </c>
      <c r="T1433" t="s">
        <v>47</v>
      </c>
      <c r="U1433" t="s">
        <v>47</v>
      </c>
      <c r="V1433" t="s">
        <v>86</v>
      </c>
      <c r="W1433" t="s">
        <v>47</v>
      </c>
      <c r="X1433" t="s">
        <v>46</v>
      </c>
      <c r="Y1433" t="s">
        <v>46</v>
      </c>
      <c r="Z1433" t="s">
        <v>47</v>
      </c>
      <c r="AA1433" t="s">
        <v>46</v>
      </c>
      <c r="AB1433" t="s">
        <v>47</v>
      </c>
      <c r="AC1433" t="s">
        <v>47</v>
      </c>
      <c r="AD1433" t="s">
        <v>46</v>
      </c>
      <c r="AE1433" t="s">
        <v>47</v>
      </c>
      <c r="AF1433" t="s">
        <v>47</v>
      </c>
      <c r="AG1433" t="s">
        <v>52</v>
      </c>
      <c r="AH1433" t="s">
        <v>53</v>
      </c>
      <c r="AI1433" t="s">
        <v>54</v>
      </c>
      <c r="AJ1433">
        <v>8.1999999999999993</v>
      </c>
      <c r="AK1433" t="s">
        <v>46</v>
      </c>
      <c r="AL1433" t="s">
        <v>76</v>
      </c>
      <c r="AM1433" t="s">
        <v>82</v>
      </c>
      <c r="AN1433">
        <v>10</v>
      </c>
      <c r="AO1433" t="s">
        <v>47</v>
      </c>
    </row>
    <row r="1434" spans="1:41">
      <c r="A1434" t="s">
        <v>1586</v>
      </c>
      <c r="B1434">
        <v>2017</v>
      </c>
      <c r="C1434" s="1">
        <v>43015</v>
      </c>
      <c r="D1434" t="s">
        <v>95</v>
      </c>
      <c r="E1434" t="s">
        <v>105</v>
      </c>
      <c r="F1434">
        <v>65</v>
      </c>
      <c r="G1434" t="s">
        <v>44</v>
      </c>
      <c r="H1434" t="s">
        <v>70</v>
      </c>
      <c r="I1434">
        <v>0</v>
      </c>
      <c r="J1434">
        <v>0</v>
      </c>
      <c r="K1434" t="s">
        <v>47</v>
      </c>
      <c r="L1434" t="s">
        <v>47</v>
      </c>
      <c r="M1434" t="s">
        <v>47</v>
      </c>
      <c r="N1434" t="s">
        <v>50</v>
      </c>
      <c r="O1434" t="s">
        <v>48</v>
      </c>
      <c r="P1434">
        <v>21.8</v>
      </c>
      <c r="Q1434" t="s">
        <v>48</v>
      </c>
      <c r="R1434" t="s">
        <v>47</v>
      </c>
      <c r="S1434" t="s">
        <v>47</v>
      </c>
      <c r="T1434" t="s">
        <v>47</v>
      </c>
      <c r="U1434" t="s">
        <v>47</v>
      </c>
      <c r="V1434" t="s">
        <v>117</v>
      </c>
      <c r="W1434" t="s">
        <v>47</v>
      </c>
      <c r="X1434" t="s">
        <v>47</v>
      </c>
      <c r="Y1434" t="s">
        <v>47</v>
      </c>
      <c r="Z1434" t="s">
        <v>46</v>
      </c>
      <c r="AA1434" t="s">
        <v>46</v>
      </c>
      <c r="AB1434" t="s">
        <v>46</v>
      </c>
      <c r="AC1434" t="s">
        <v>46</v>
      </c>
      <c r="AD1434" t="s">
        <v>47</v>
      </c>
      <c r="AE1434" t="s">
        <v>47</v>
      </c>
      <c r="AF1434" t="s">
        <v>47</v>
      </c>
      <c r="AG1434" t="s">
        <v>52</v>
      </c>
      <c r="AH1434" t="s">
        <v>53</v>
      </c>
      <c r="AI1434" t="s">
        <v>87</v>
      </c>
      <c r="AJ1434">
        <v>4</v>
      </c>
      <c r="AK1434" t="s">
        <v>47</v>
      </c>
      <c r="AL1434" t="s">
        <v>76</v>
      </c>
      <c r="AM1434" t="s">
        <v>103</v>
      </c>
      <c r="AN1434">
        <v>43</v>
      </c>
      <c r="AO1434" t="s">
        <v>46</v>
      </c>
    </row>
    <row r="1435" spans="1:41">
      <c r="A1435" t="s">
        <v>1587</v>
      </c>
      <c r="B1435">
        <v>2019</v>
      </c>
      <c r="C1435" s="1">
        <v>43639</v>
      </c>
      <c r="D1435" t="s">
        <v>58</v>
      </c>
      <c r="E1435" t="s">
        <v>142</v>
      </c>
      <c r="F1435">
        <v>50</v>
      </c>
      <c r="G1435" t="s">
        <v>44</v>
      </c>
      <c r="H1435" t="s">
        <v>70</v>
      </c>
      <c r="I1435">
        <v>0</v>
      </c>
      <c r="J1435">
        <v>0</v>
      </c>
      <c r="K1435" t="s">
        <v>46</v>
      </c>
      <c r="L1435" t="s">
        <v>47</v>
      </c>
      <c r="M1435" t="s">
        <v>47</v>
      </c>
      <c r="N1435" t="s">
        <v>48</v>
      </c>
      <c r="O1435" t="s">
        <v>48</v>
      </c>
      <c r="P1435">
        <v>23.4</v>
      </c>
      <c r="Q1435" t="s">
        <v>62</v>
      </c>
      <c r="R1435" t="s">
        <v>47</v>
      </c>
      <c r="S1435" t="s">
        <v>46</v>
      </c>
      <c r="T1435" t="s">
        <v>47</v>
      </c>
      <c r="U1435" t="s">
        <v>46</v>
      </c>
      <c r="V1435" t="s">
        <v>92</v>
      </c>
      <c r="W1435" t="s">
        <v>46</v>
      </c>
      <c r="X1435" t="s">
        <v>46</v>
      </c>
      <c r="Y1435" t="s">
        <v>47</v>
      </c>
      <c r="Z1435" t="s">
        <v>47</v>
      </c>
      <c r="AA1435" t="s">
        <v>46</v>
      </c>
      <c r="AB1435" t="s">
        <v>47</v>
      </c>
      <c r="AC1435" t="s">
        <v>47</v>
      </c>
      <c r="AD1435" t="s">
        <v>46</v>
      </c>
      <c r="AE1435" t="s">
        <v>47</v>
      </c>
      <c r="AF1435" t="s">
        <v>47</v>
      </c>
      <c r="AG1435" t="s">
        <v>52</v>
      </c>
      <c r="AH1435" t="s">
        <v>90</v>
      </c>
      <c r="AI1435" t="s">
        <v>80</v>
      </c>
      <c r="AJ1435">
        <v>4.0999999999999996</v>
      </c>
      <c r="AK1435" t="s">
        <v>47</v>
      </c>
      <c r="AL1435" t="s">
        <v>66</v>
      </c>
      <c r="AM1435" t="s">
        <v>67</v>
      </c>
      <c r="AN1435">
        <v>10</v>
      </c>
      <c r="AO1435" t="s">
        <v>47</v>
      </c>
    </row>
    <row r="1436" spans="1:41">
      <c r="A1436" t="s">
        <v>1588</v>
      </c>
      <c r="B1436">
        <v>2022</v>
      </c>
      <c r="C1436" s="1">
        <v>44714</v>
      </c>
      <c r="D1436" t="s">
        <v>42</v>
      </c>
      <c r="E1436" t="s">
        <v>43</v>
      </c>
      <c r="F1436">
        <v>68</v>
      </c>
      <c r="G1436" t="s">
        <v>60</v>
      </c>
      <c r="H1436" t="s">
        <v>45</v>
      </c>
      <c r="I1436">
        <v>24</v>
      </c>
      <c r="J1436">
        <v>30</v>
      </c>
      <c r="K1436" t="s">
        <v>47</v>
      </c>
      <c r="L1436" t="s">
        <v>46</v>
      </c>
      <c r="M1436" t="s">
        <v>46</v>
      </c>
      <c r="N1436" t="s">
        <v>50</v>
      </c>
      <c r="O1436" t="s">
        <v>48</v>
      </c>
      <c r="P1436">
        <v>23.5</v>
      </c>
      <c r="Q1436" t="s">
        <v>48</v>
      </c>
      <c r="R1436" t="s">
        <v>47</v>
      </c>
      <c r="S1436" t="s">
        <v>47</v>
      </c>
      <c r="T1436" t="s">
        <v>47</v>
      </c>
      <c r="U1436" t="s">
        <v>46</v>
      </c>
      <c r="V1436" t="s">
        <v>51</v>
      </c>
      <c r="W1436" t="s">
        <v>47</v>
      </c>
      <c r="X1436" t="s">
        <v>46</v>
      </c>
      <c r="Y1436" t="s">
        <v>46</v>
      </c>
      <c r="Z1436" t="s">
        <v>47</v>
      </c>
      <c r="AA1436" t="s">
        <v>46</v>
      </c>
      <c r="AB1436" t="s">
        <v>46</v>
      </c>
      <c r="AC1436" t="s">
        <v>46</v>
      </c>
      <c r="AD1436" t="s">
        <v>47</v>
      </c>
      <c r="AE1436" t="s">
        <v>47</v>
      </c>
      <c r="AF1436" t="s">
        <v>47</v>
      </c>
      <c r="AG1436" t="s">
        <v>52</v>
      </c>
      <c r="AH1436" t="s">
        <v>53</v>
      </c>
      <c r="AI1436" t="s">
        <v>87</v>
      </c>
      <c r="AJ1436">
        <v>4.2</v>
      </c>
      <c r="AK1436" t="s">
        <v>47</v>
      </c>
      <c r="AL1436" t="s">
        <v>72</v>
      </c>
      <c r="AM1436" t="s">
        <v>118</v>
      </c>
      <c r="AN1436">
        <v>35</v>
      </c>
      <c r="AO1436" t="s">
        <v>47</v>
      </c>
    </row>
    <row r="1437" spans="1:41">
      <c r="A1437" t="s">
        <v>1589</v>
      </c>
      <c r="B1437">
        <v>2019</v>
      </c>
      <c r="C1437" s="1">
        <v>43543</v>
      </c>
      <c r="D1437" t="s">
        <v>58</v>
      </c>
      <c r="E1437" t="s">
        <v>142</v>
      </c>
      <c r="F1437">
        <v>68</v>
      </c>
      <c r="G1437" t="s">
        <v>60</v>
      </c>
      <c r="H1437" t="s">
        <v>70</v>
      </c>
      <c r="I1437">
        <v>0</v>
      </c>
      <c r="J1437">
        <v>0</v>
      </c>
      <c r="K1437" t="s">
        <v>46</v>
      </c>
      <c r="L1437" t="s">
        <v>47</v>
      </c>
      <c r="M1437" t="s">
        <v>47</v>
      </c>
      <c r="N1437" t="s">
        <v>50</v>
      </c>
      <c r="O1437" t="s">
        <v>49</v>
      </c>
      <c r="P1437">
        <v>18.600000000000001</v>
      </c>
      <c r="Q1437" t="s">
        <v>48</v>
      </c>
      <c r="R1437" t="s">
        <v>47</v>
      </c>
      <c r="S1437" t="s">
        <v>47</v>
      </c>
      <c r="T1437" t="s">
        <v>47</v>
      </c>
      <c r="U1437" t="s">
        <v>47</v>
      </c>
      <c r="V1437" t="s">
        <v>151</v>
      </c>
      <c r="W1437" t="s">
        <v>47</v>
      </c>
      <c r="X1437" t="s">
        <v>46</v>
      </c>
      <c r="Y1437" t="s">
        <v>47</v>
      </c>
      <c r="Z1437" t="s">
        <v>47</v>
      </c>
      <c r="AA1437" t="s">
        <v>46</v>
      </c>
      <c r="AB1437" t="s">
        <v>47</v>
      </c>
      <c r="AC1437" t="s">
        <v>47</v>
      </c>
      <c r="AD1437" t="s">
        <v>47</v>
      </c>
      <c r="AE1437" t="s">
        <v>47</v>
      </c>
      <c r="AF1437" t="s">
        <v>47</v>
      </c>
      <c r="AG1437" t="s">
        <v>52</v>
      </c>
      <c r="AH1437" t="s">
        <v>53</v>
      </c>
      <c r="AI1437" t="s">
        <v>54</v>
      </c>
      <c r="AJ1437">
        <v>9.6999999999999993</v>
      </c>
      <c r="AK1437" t="s">
        <v>46</v>
      </c>
      <c r="AL1437" t="s">
        <v>66</v>
      </c>
      <c r="AM1437" t="s">
        <v>265</v>
      </c>
      <c r="AN1437">
        <v>14</v>
      </c>
      <c r="AO1437" t="s">
        <v>47</v>
      </c>
    </row>
    <row r="1438" spans="1:41">
      <c r="A1438" t="s">
        <v>1590</v>
      </c>
      <c r="B1438">
        <v>2024</v>
      </c>
      <c r="C1438" s="1">
        <v>45350</v>
      </c>
      <c r="D1438" t="s">
        <v>98</v>
      </c>
      <c r="E1438" t="s">
        <v>175</v>
      </c>
      <c r="F1438">
        <v>77</v>
      </c>
      <c r="G1438" t="s">
        <v>60</v>
      </c>
      <c r="H1438" t="s">
        <v>70</v>
      </c>
      <c r="I1438">
        <v>0</v>
      </c>
      <c r="J1438">
        <v>0</v>
      </c>
      <c r="K1438" t="s">
        <v>47</v>
      </c>
      <c r="L1438" t="s">
        <v>46</v>
      </c>
      <c r="M1438" t="s">
        <v>47</v>
      </c>
      <c r="N1438" t="s">
        <v>62</v>
      </c>
      <c r="O1438" t="s">
        <v>49</v>
      </c>
      <c r="P1438">
        <v>31</v>
      </c>
      <c r="Q1438" t="s">
        <v>48</v>
      </c>
      <c r="R1438" t="s">
        <v>47</v>
      </c>
      <c r="S1438" t="s">
        <v>47</v>
      </c>
      <c r="T1438" t="s">
        <v>47</v>
      </c>
      <c r="U1438" t="s">
        <v>47</v>
      </c>
      <c r="V1438" t="s">
        <v>86</v>
      </c>
      <c r="W1438" t="s">
        <v>47</v>
      </c>
      <c r="X1438" t="s">
        <v>47</v>
      </c>
      <c r="Y1438" t="s">
        <v>47</v>
      </c>
      <c r="Z1438" t="s">
        <v>47</v>
      </c>
      <c r="AA1438" t="s">
        <v>47</v>
      </c>
      <c r="AB1438" t="s">
        <v>47</v>
      </c>
      <c r="AC1438" t="s">
        <v>47</v>
      </c>
      <c r="AD1438" t="s">
        <v>46</v>
      </c>
      <c r="AE1438" t="s">
        <v>47</v>
      </c>
      <c r="AF1438" t="s">
        <v>47</v>
      </c>
      <c r="AG1438" t="s">
        <v>52</v>
      </c>
      <c r="AH1438" t="s">
        <v>71</v>
      </c>
      <c r="AI1438" t="s">
        <v>54</v>
      </c>
      <c r="AJ1438">
        <v>9.1999999999999993</v>
      </c>
      <c r="AK1438" t="s">
        <v>46</v>
      </c>
      <c r="AL1438" t="s">
        <v>55</v>
      </c>
      <c r="AM1438" t="s">
        <v>56</v>
      </c>
      <c r="AN1438">
        <v>6</v>
      </c>
      <c r="AO1438" t="s">
        <v>47</v>
      </c>
    </row>
    <row r="1439" spans="1:41">
      <c r="A1439" t="s">
        <v>1591</v>
      </c>
      <c r="B1439">
        <v>2024</v>
      </c>
      <c r="C1439" s="1">
        <v>45446</v>
      </c>
      <c r="D1439" t="s">
        <v>42</v>
      </c>
      <c r="E1439" t="s">
        <v>136</v>
      </c>
      <c r="F1439">
        <v>62</v>
      </c>
      <c r="G1439" t="s">
        <v>44</v>
      </c>
      <c r="H1439" t="s">
        <v>70</v>
      </c>
      <c r="I1439">
        <v>0</v>
      </c>
      <c r="J1439">
        <v>0</v>
      </c>
      <c r="K1439" t="s">
        <v>47</v>
      </c>
      <c r="L1439" t="s">
        <v>46</v>
      </c>
      <c r="M1439" t="s">
        <v>47</v>
      </c>
      <c r="N1439" t="s">
        <v>48</v>
      </c>
      <c r="O1439" t="s">
        <v>48</v>
      </c>
      <c r="P1439">
        <v>23.4</v>
      </c>
      <c r="Q1439" t="s">
        <v>48</v>
      </c>
      <c r="R1439" t="s">
        <v>47</v>
      </c>
      <c r="S1439" t="s">
        <v>47</v>
      </c>
      <c r="T1439" t="s">
        <v>47</v>
      </c>
      <c r="U1439" t="s">
        <v>47</v>
      </c>
      <c r="V1439" t="s">
        <v>51</v>
      </c>
      <c r="W1439" t="s">
        <v>46</v>
      </c>
      <c r="X1439" t="s">
        <v>47</v>
      </c>
      <c r="Y1439" t="s">
        <v>47</v>
      </c>
      <c r="Z1439" t="s">
        <v>47</v>
      </c>
      <c r="AA1439" t="s">
        <v>47</v>
      </c>
      <c r="AB1439" t="s">
        <v>47</v>
      </c>
      <c r="AC1439" t="s">
        <v>47</v>
      </c>
      <c r="AD1439" t="s">
        <v>47</v>
      </c>
      <c r="AE1439" t="s">
        <v>47</v>
      </c>
      <c r="AF1439" t="s">
        <v>47</v>
      </c>
      <c r="AG1439" t="s">
        <v>52</v>
      </c>
      <c r="AH1439" t="s">
        <v>90</v>
      </c>
      <c r="AI1439" t="s">
        <v>65</v>
      </c>
      <c r="AJ1439">
        <v>2.4</v>
      </c>
      <c r="AK1439" t="s">
        <v>47</v>
      </c>
      <c r="AL1439" t="s">
        <v>72</v>
      </c>
      <c r="AM1439" t="s">
        <v>73</v>
      </c>
      <c r="AN1439">
        <v>29</v>
      </c>
      <c r="AO1439" t="s">
        <v>47</v>
      </c>
    </row>
    <row r="1440" spans="1:41">
      <c r="A1440" t="s">
        <v>1592</v>
      </c>
      <c r="B1440">
        <v>2024</v>
      </c>
      <c r="C1440" s="1">
        <v>45648</v>
      </c>
      <c r="D1440" t="s">
        <v>42</v>
      </c>
      <c r="E1440" t="s">
        <v>79</v>
      </c>
      <c r="F1440">
        <v>72</v>
      </c>
      <c r="G1440" t="s">
        <v>60</v>
      </c>
      <c r="H1440" t="s">
        <v>70</v>
      </c>
      <c r="I1440">
        <v>0</v>
      </c>
      <c r="J1440">
        <v>0</v>
      </c>
      <c r="K1440" t="s">
        <v>47</v>
      </c>
      <c r="L1440" t="s">
        <v>47</v>
      </c>
      <c r="M1440" t="s">
        <v>47</v>
      </c>
      <c r="N1440" t="s">
        <v>62</v>
      </c>
      <c r="O1440" t="s">
        <v>49</v>
      </c>
      <c r="P1440">
        <v>24.1</v>
      </c>
      <c r="Q1440" t="s">
        <v>48</v>
      </c>
      <c r="R1440" t="s">
        <v>47</v>
      </c>
      <c r="S1440" t="s">
        <v>47</v>
      </c>
      <c r="T1440" t="s">
        <v>47</v>
      </c>
      <c r="U1440" t="s">
        <v>47</v>
      </c>
      <c r="V1440" t="s">
        <v>86</v>
      </c>
      <c r="W1440" t="s">
        <v>47</v>
      </c>
      <c r="X1440" t="s">
        <v>47</v>
      </c>
      <c r="Y1440" t="s">
        <v>47</v>
      </c>
      <c r="Z1440" t="s">
        <v>47</v>
      </c>
      <c r="AA1440" t="s">
        <v>46</v>
      </c>
      <c r="AB1440" t="s">
        <v>47</v>
      </c>
      <c r="AC1440" t="s">
        <v>47</v>
      </c>
      <c r="AD1440" t="s">
        <v>47</v>
      </c>
      <c r="AE1440" t="s">
        <v>47</v>
      </c>
      <c r="AF1440" t="s">
        <v>47</v>
      </c>
      <c r="AG1440" t="s">
        <v>52</v>
      </c>
      <c r="AH1440" t="s">
        <v>53</v>
      </c>
      <c r="AI1440" t="s">
        <v>87</v>
      </c>
      <c r="AJ1440">
        <v>2.7</v>
      </c>
      <c r="AK1440" t="s">
        <v>47</v>
      </c>
      <c r="AL1440" t="s">
        <v>66</v>
      </c>
      <c r="AM1440" t="s">
        <v>67</v>
      </c>
      <c r="AN1440">
        <v>40</v>
      </c>
      <c r="AO1440" t="s">
        <v>46</v>
      </c>
    </row>
    <row r="1441" spans="1:41">
      <c r="A1441" t="s">
        <v>1593</v>
      </c>
      <c r="B1441">
        <v>2018</v>
      </c>
      <c r="C1441" s="1">
        <v>43377</v>
      </c>
      <c r="D1441" t="s">
        <v>58</v>
      </c>
      <c r="E1441" t="s">
        <v>138</v>
      </c>
      <c r="F1441">
        <v>54</v>
      </c>
      <c r="G1441" t="s">
        <v>60</v>
      </c>
      <c r="H1441" t="s">
        <v>45</v>
      </c>
      <c r="I1441">
        <v>22</v>
      </c>
      <c r="J1441">
        <v>19</v>
      </c>
      <c r="K1441" t="s">
        <v>47</v>
      </c>
      <c r="L1441" t="s">
        <v>46</v>
      </c>
      <c r="M1441" t="s">
        <v>46</v>
      </c>
      <c r="N1441" t="s">
        <v>48</v>
      </c>
      <c r="O1441" t="s">
        <v>48</v>
      </c>
      <c r="P1441">
        <v>29.8</v>
      </c>
      <c r="Q1441" t="s">
        <v>50</v>
      </c>
      <c r="R1441" t="s">
        <v>46</v>
      </c>
      <c r="S1441" t="s">
        <v>46</v>
      </c>
      <c r="T1441" t="s">
        <v>47</v>
      </c>
      <c r="U1441" t="s">
        <v>47</v>
      </c>
      <c r="V1441" t="s">
        <v>64</v>
      </c>
      <c r="W1441" t="s">
        <v>47</v>
      </c>
      <c r="X1441" t="s">
        <v>46</v>
      </c>
      <c r="Y1441" t="s">
        <v>46</v>
      </c>
      <c r="Z1441" t="s">
        <v>46</v>
      </c>
      <c r="AA1441" t="s">
        <v>46</v>
      </c>
      <c r="AB1441" t="s">
        <v>46</v>
      </c>
      <c r="AC1441" t="s">
        <v>47</v>
      </c>
      <c r="AD1441" t="s">
        <v>47</v>
      </c>
      <c r="AE1441" t="s">
        <v>47</v>
      </c>
      <c r="AF1441" t="s">
        <v>47</v>
      </c>
      <c r="AG1441" t="s">
        <v>52</v>
      </c>
      <c r="AH1441" t="s">
        <v>53</v>
      </c>
      <c r="AI1441" t="s">
        <v>54</v>
      </c>
      <c r="AJ1441">
        <v>10.3</v>
      </c>
      <c r="AK1441" t="s">
        <v>46</v>
      </c>
      <c r="AL1441" t="s">
        <v>100</v>
      </c>
      <c r="AM1441" t="s">
        <v>77</v>
      </c>
      <c r="AN1441">
        <v>3</v>
      </c>
      <c r="AO1441" t="s">
        <v>47</v>
      </c>
    </row>
    <row r="1442" spans="1:41">
      <c r="A1442" t="s">
        <v>1594</v>
      </c>
      <c r="B1442">
        <v>2019</v>
      </c>
      <c r="C1442" s="1">
        <v>43596</v>
      </c>
      <c r="D1442" t="s">
        <v>95</v>
      </c>
      <c r="E1442" t="s">
        <v>105</v>
      </c>
      <c r="F1442">
        <v>52</v>
      </c>
      <c r="G1442" t="s">
        <v>44</v>
      </c>
      <c r="H1442" t="s">
        <v>70</v>
      </c>
      <c r="I1442">
        <v>0</v>
      </c>
      <c r="J1442">
        <v>0</v>
      </c>
      <c r="K1442" t="s">
        <v>47</v>
      </c>
      <c r="L1442" t="s">
        <v>47</v>
      </c>
      <c r="M1442" t="s">
        <v>47</v>
      </c>
      <c r="N1442" t="s">
        <v>48</v>
      </c>
      <c r="O1442" t="s">
        <v>49</v>
      </c>
      <c r="P1442">
        <v>33.9</v>
      </c>
      <c r="Q1442" t="s">
        <v>50</v>
      </c>
      <c r="R1442" t="s">
        <v>47</v>
      </c>
      <c r="S1442" t="s">
        <v>47</v>
      </c>
      <c r="T1442" t="s">
        <v>47</v>
      </c>
      <c r="U1442" t="s">
        <v>47</v>
      </c>
      <c r="V1442" t="s">
        <v>51</v>
      </c>
      <c r="W1442" t="s">
        <v>46</v>
      </c>
      <c r="X1442" t="s">
        <v>47</v>
      </c>
      <c r="Y1442" t="s">
        <v>47</v>
      </c>
      <c r="Z1442" t="s">
        <v>46</v>
      </c>
      <c r="AA1442" t="s">
        <v>47</v>
      </c>
      <c r="AB1442" t="s">
        <v>47</v>
      </c>
      <c r="AC1442" t="s">
        <v>47</v>
      </c>
      <c r="AD1442" t="s">
        <v>47</v>
      </c>
      <c r="AE1442" t="s">
        <v>47</v>
      </c>
      <c r="AF1442" t="s">
        <v>47</v>
      </c>
      <c r="AG1442" t="s">
        <v>52</v>
      </c>
      <c r="AH1442" t="s">
        <v>53</v>
      </c>
      <c r="AI1442" t="s">
        <v>65</v>
      </c>
      <c r="AJ1442">
        <v>0.7</v>
      </c>
      <c r="AK1442" t="s">
        <v>47</v>
      </c>
      <c r="AL1442" t="s">
        <v>156</v>
      </c>
      <c r="AM1442" t="s">
        <v>67</v>
      </c>
      <c r="AN1442">
        <v>31</v>
      </c>
      <c r="AO1442" t="s">
        <v>47</v>
      </c>
    </row>
    <row r="1443" spans="1:41">
      <c r="A1443" t="s">
        <v>1595</v>
      </c>
      <c r="B1443">
        <v>2025</v>
      </c>
      <c r="C1443" s="1">
        <v>45740</v>
      </c>
      <c r="D1443" t="s">
        <v>42</v>
      </c>
      <c r="E1443" t="s">
        <v>79</v>
      </c>
      <c r="F1443">
        <v>76</v>
      </c>
      <c r="G1443" t="s">
        <v>44</v>
      </c>
      <c r="H1443" t="s">
        <v>70</v>
      </c>
      <c r="I1443">
        <v>0</v>
      </c>
      <c r="J1443">
        <v>0</v>
      </c>
      <c r="K1443" t="s">
        <v>47</v>
      </c>
      <c r="L1443" t="s">
        <v>47</v>
      </c>
      <c r="M1443" t="s">
        <v>47</v>
      </c>
      <c r="N1443" t="s">
        <v>62</v>
      </c>
      <c r="O1443" t="s">
        <v>49</v>
      </c>
      <c r="P1443">
        <v>22.6</v>
      </c>
      <c r="Q1443" t="s">
        <v>50</v>
      </c>
      <c r="R1443" t="s">
        <v>47</v>
      </c>
      <c r="S1443" t="s">
        <v>46</v>
      </c>
      <c r="T1443" t="s">
        <v>47</v>
      </c>
      <c r="U1443" t="s">
        <v>47</v>
      </c>
      <c r="V1443" t="s">
        <v>193</v>
      </c>
      <c r="W1443" t="s">
        <v>47</v>
      </c>
      <c r="X1443" t="s">
        <v>47</v>
      </c>
      <c r="Y1443" t="s">
        <v>47</v>
      </c>
      <c r="Z1443" t="s">
        <v>47</v>
      </c>
      <c r="AA1443" t="s">
        <v>46</v>
      </c>
      <c r="AB1443" t="s">
        <v>47</v>
      </c>
      <c r="AC1443" t="s">
        <v>47</v>
      </c>
      <c r="AD1443" t="s">
        <v>46</v>
      </c>
      <c r="AE1443" t="s">
        <v>47</v>
      </c>
      <c r="AF1443" t="s">
        <v>47</v>
      </c>
      <c r="AG1443" t="s">
        <v>52</v>
      </c>
      <c r="AH1443" t="s">
        <v>53</v>
      </c>
      <c r="AI1443" t="s">
        <v>65</v>
      </c>
      <c r="AJ1443">
        <v>1.3</v>
      </c>
      <c r="AK1443" t="s">
        <v>47</v>
      </c>
      <c r="AL1443" t="s">
        <v>76</v>
      </c>
      <c r="AM1443" t="s">
        <v>73</v>
      </c>
      <c r="AN1443">
        <v>44</v>
      </c>
      <c r="AO1443" t="s">
        <v>46</v>
      </c>
    </row>
    <row r="1444" spans="1:41">
      <c r="A1444" t="s">
        <v>1596</v>
      </c>
      <c r="B1444">
        <v>2024</v>
      </c>
      <c r="C1444" s="1">
        <v>45612</v>
      </c>
      <c r="D1444" t="s">
        <v>110</v>
      </c>
      <c r="E1444" t="s">
        <v>111</v>
      </c>
      <c r="F1444">
        <v>76</v>
      </c>
      <c r="G1444" t="s">
        <v>60</v>
      </c>
      <c r="H1444" t="s">
        <v>61</v>
      </c>
      <c r="I1444">
        <v>16</v>
      </c>
      <c r="J1444">
        <v>21</v>
      </c>
      <c r="K1444" t="s">
        <v>47</v>
      </c>
      <c r="L1444" t="s">
        <v>47</v>
      </c>
      <c r="M1444" t="s">
        <v>46</v>
      </c>
      <c r="N1444" t="s">
        <v>50</v>
      </c>
      <c r="O1444" t="s">
        <v>49</v>
      </c>
      <c r="P1444">
        <v>25.6</v>
      </c>
      <c r="Q1444" t="s">
        <v>50</v>
      </c>
      <c r="R1444" t="s">
        <v>46</v>
      </c>
      <c r="S1444" t="s">
        <v>47</v>
      </c>
      <c r="T1444" t="s">
        <v>47</v>
      </c>
      <c r="U1444" t="s">
        <v>47</v>
      </c>
      <c r="V1444" t="s">
        <v>51</v>
      </c>
      <c r="W1444" t="s">
        <v>46</v>
      </c>
      <c r="X1444" t="s">
        <v>47</v>
      </c>
      <c r="Y1444" t="s">
        <v>47</v>
      </c>
      <c r="Z1444" t="s">
        <v>46</v>
      </c>
      <c r="AA1444" t="s">
        <v>46</v>
      </c>
      <c r="AB1444" t="s">
        <v>46</v>
      </c>
      <c r="AC1444" t="s">
        <v>47</v>
      </c>
      <c r="AD1444" t="s">
        <v>46</v>
      </c>
      <c r="AE1444" t="s">
        <v>46</v>
      </c>
      <c r="AF1444" t="s">
        <v>47</v>
      </c>
      <c r="AG1444" t="s">
        <v>52</v>
      </c>
      <c r="AH1444" t="s">
        <v>53</v>
      </c>
      <c r="AI1444" t="s">
        <v>80</v>
      </c>
      <c r="AJ1444">
        <v>3</v>
      </c>
      <c r="AK1444" t="s">
        <v>46</v>
      </c>
      <c r="AL1444" t="s">
        <v>76</v>
      </c>
      <c r="AM1444" t="s">
        <v>56</v>
      </c>
      <c r="AN1444">
        <v>10</v>
      </c>
      <c r="AO1444" t="s">
        <v>47</v>
      </c>
    </row>
    <row r="1445" spans="1:41">
      <c r="A1445" t="s">
        <v>1597</v>
      </c>
      <c r="B1445">
        <v>2016</v>
      </c>
      <c r="C1445" s="1">
        <v>42452</v>
      </c>
      <c r="D1445" t="s">
        <v>110</v>
      </c>
      <c r="E1445" t="s">
        <v>116</v>
      </c>
      <c r="F1445">
        <v>51</v>
      </c>
      <c r="G1445" t="s">
        <v>60</v>
      </c>
      <c r="H1445" t="s">
        <v>70</v>
      </c>
      <c r="I1445">
        <v>0</v>
      </c>
      <c r="J1445">
        <v>0</v>
      </c>
      <c r="K1445" t="s">
        <v>47</v>
      </c>
      <c r="L1445" t="s">
        <v>47</v>
      </c>
      <c r="M1445" t="s">
        <v>47</v>
      </c>
      <c r="N1445" t="s">
        <v>62</v>
      </c>
      <c r="O1445" t="s">
        <v>48</v>
      </c>
      <c r="P1445">
        <v>24.1</v>
      </c>
      <c r="Q1445" t="s">
        <v>62</v>
      </c>
      <c r="R1445" t="s">
        <v>47</v>
      </c>
      <c r="S1445" t="s">
        <v>47</v>
      </c>
      <c r="T1445" t="s">
        <v>47</v>
      </c>
      <c r="U1445" t="s">
        <v>46</v>
      </c>
      <c r="V1445" t="s">
        <v>86</v>
      </c>
      <c r="W1445" t="s">
        <v>47</v>
      </c>
      <c r="X1445" t="s">
        <v>47</v>
      </c>
      <c r="Y1445" t="s">
        <v>47</v>
      </c>
      <c r="Z1445" t="s">
        <v>47</v>
      </c>
      <c r="AA1445" t="s">
        <v>47</v>
      </c>
      <c r="AB1445" t="s">
        <v>47</v>
      </c>
      <c r="AC1445" t="s">
        <v>47</v>
      </c>
      <c r="AD1445" t="s">
        <v>47</v>
      </c>
      <c r="AE1445" t="s">
        <v>47</v>
      </c>
      <c r="AF1445" t="s">
        <v>47</v>
      </c>
      <c r="AG1445" t="s">
        <v>52</v>
      </c>
      <c r="AH1445" t="s">
        <v>53</v>
      </c>
      <c r="AI1445" t="s">
        <v>54</v>
      </c>
      <c r="AJ1445">
        <v>9.6</v>
      </c>
      <c r="AK1445" t="s">
        <v>46</v>
      </c>
      <c r="AL1445" t="s">
        <v>81</v>
      </c>
      <c r="AM1445" t="s">
        <v>118</v>
      </c>
      <c r="AN1445">
        <v>1</v>
      </c>
      <c r="AO1445" t="s">
        <v>47</v>
      </c>
    </row>
    <row r="1446" spans="1:41">
      <c r="A1446" t="s">
        <v>1598</v>
      </c>
      <c r="B1446">
        <v>2018</v>
      </c>
      <c r="C1446" s="1">
        <v>43454</v>
      </c>
      <c r="D1446" t="s">
        <v>95</v>
      </c>
      <c r="E1446" t="s">
        <v>107</v>
      </c>
      <c r="F1446">
        <v>56</v>
      </c>
      <c r="G1446" t="s">
        <v>60</v>
      </c>
      <c r="H1446" t="s">
        <v>45</v>
      </c>
      <c r="I1446">
        <v>41</v>
      </c>
      <c r="J1446">
        <v>36</v>
      </c>
      <c r="K1446" t="s">
        <v>47</v>
      </c>
      <c r="L1446" t="s">
        <v>47</v>
      </c>
      <c r="M1446" t="s">
        <v>47</v>
      </c>
      <c r="N1446" t="s">
        <v>50</v>
      </c>
      <c r="O1446" t="s">
        <v>63</v>
      </c>
      <c r="P1446">
        <v>26.3</v>
      </c>
      <c r="Q1446" t="s">
        <v>48</v>
      </c>
      <c r="R1446" t="s">
        <v>46</v>
      </c>
      <c r="S1446" t="s">
        <v>47</v>
      </c>
      <c r="T1446" t="s">
        <v>47</v>
      </c>
      <c r="U1446" t="s">
        <v>47</v>
      </c>
      <c r="V1446" t="s">
        <v>151</v>
      </c>
      <c r="W1446" t="s">
        <v>47</v>
      </c>
      <c r="X1446" t="s">
        <v>47</v>
      </c>
      <c r="Y1446" t="s">
        <v>47</v>
      </c>
      <c r="Z1446" t="s">
        <v>46</v>
      </c>
      <c r="AA1446" t="s">
        <v>46</v>
      </c>
      <c r="AB1446" t="s">
        <v>47</v>
      </c>
      <c r="AC1446" t="s">
        <v>47</v>
      </c>
      <c r="AD1446" t="s">
        <v>47</v>
      </c>
      <c r="AE1446" t="s">
        <v>47</v>
      </c>
      <c r="AF1446" t="s">
        <v>47</v>
      </c>
      <c r="AG1446" t="s">
        <v>52</v>
      </c>
      <c r="AH1446" t="s">
        <v>53</v>
      </c>
      <c r="AI1446" t="s">
        <v>80</v>
      </c>
      <c r="AJ1446">
        <v>3.9</v>
      </c>
      <c r="AK1446" t="s">
        <v>47</v>
      </c>
      <c r="AL1446" t="s">
        <v>100</v>
      </c>
      <c r="AM1446" t="s">
        <v>67</v>
      </c>
      <c r="AN1446">
        <v>12</v>
      </c>
      <c r="AO1446" t="s">
        <v>47</v>
      </c>
    </row>
    <row r="1447" spans="1:41">
      <c r="A1447" t="s">
        <v>1599</v>
      </c>
      <c r="B1447">
        <v>2019</v>
      </c>
      <c r="C1447" s="1">
        <v>43577</v>
      </c>
      <c r="D1447" t="s">
        <v>42</v>
      </c>
      <c r="E1447" t="s">
        <v>154</v>
      </c>
      <c r="F1447">
        <v>67</v>
      </c>
      <c r="G1447" t="s">
        <v>44</v>
      </c>
      <c r="H1447" t="s">
        <v>45</v>
      </c>
      <c r="I1447">
        <v>26</v>
      </c>
      <c r="J1447">
        <v>39</v>
      </c>
      <c r="K1447" t="s">
        <v>46</v>
      </c>
      <c r="L1447" t="s">
        <v>47</v>
      </c>
      <c r="M1447" t="s">
        <v>46</v>
      </c>
      <c r="N1447" t="s">
        <v>48</v>
      </c>
      <c r="O1447" t="s">
        <v>48</v>
      </c>
      <c r="P1447">
        <v>24.8</v>
      </c>
      <c r="Q1447" t="s">
        <v>48</v>
      </c>
      <c r="R1447" t="s">
        <v>46</v>
      </c>
      <c r="S1447" t="s">
        <v>46</v>
      </c>
      <c r="T1447" t="s">
        <v>47</v>
      </c>
      <c r="U1447" t="s">
        <v>47</v>
      </c>
      <c r="V1447" t="s">
        <v>64</v>
      </c>
      <c r="W1447" t="s">
        <v>46</v>
      </c>
      <c r="X1447" t="s">
        <v>46</v>
      </c>
      <c r="Y1447" t="s">
        <v>47</v>
      </c>
      <c r="Z1447" t="s">
        <v>47</v>
      </c>
      <c r="AA1447" t="s">
        <v>47</v>
      </c>
      <c r="AB1447" t="s">
        <v>47</v>
      </c>
      <c r="AC1447" t="s">
        <v>47</v>
      </c>
      <c r="AD1447" t="s">
        <v>46</v>
      </c>
      <c r="AE1447" t="s">
        <v>47</v>
      </c>
      <c r="AF1447" t="s">
        <v>47</v>
      </c>
      <c r="AG1447" t="s">
        <v>52</v>
      </c>
      <c r="AH1447" t="s">
        <v>90</v>
      </c>
      <c r="AI1447" t="s">
        <v>54</v>
      </c>
      <c r="AJ1447">
        <v>7.7</v>
      </c>
      <c r="AK1447" t="s">
        <v>46</v>
      </c>
      <c r="AL1447" t="s">
        <v>100</v>
      </c>
      <c r="AM1447" t="s">
        <v>82</v>
      </c>
      <c r="AN1447">
        <v>4</v>
      </c>
      <c r="AO1447" t="s">
        <v>47</v>
      </c>
    </row>
    <row r="1448" spans="1:41">
      <c r="A1448" t="s">
        <v>1600</v>
      </c>
      <c r="B1448">
        <v>2017</v>
      </c>
      <c r="C1448" s="1">
        <v>42807</v>
      </c>
      <c r="D1448" t="s">
        <v>42</v>
      </c>
      <c r="E1448" t="s">
        <v>247</v>
      </c>
      <c r="F1448">
        <v>62</v>
      </c>
      <c r="G1448" t="s">
        <v>44</v>
      </c>
      <c r="H1448" t="s">
        <v>70</v>
      </c>
      <c r="I1448">
        <v>0</v>
      </c>
      <c r="J1448">
        <v>0</v>
      </c>
      <c r="K1448" t="s">
        <v>47</v>
      </c>
      <c r="L1448" t="s">
        <v>47</v>
      </c>
      <c r="M1448" t="s">
        <v>46</v>
      </c>
      <c r="N1448" t="s">
        <v>48</v>
      </c>
      <c r="O1448" t="s">
        <v>49</v>
      </c>
      <c r="P1448">
        <v>23</v>
      </c>
      <c r="Q1448" t="s">
        <v>62</v>
      </c>
      <c r="R1448" t="s">
        <v>47</v>
      </c>
      <c r="S1448" t="s">
        <v>47</v>
      </c>
      <c r="T1448" t="s">
        <v>47</v>
      </c>
      <c r="U1448" t="s">
        <v>47</v>
      </c>
      <c r="V1448" t="s">
        <v>51</v>
      </c>
      <c r="W1448" t="s">
        <v>47</v>
      </c>
      <c r="X1448" t="s">
        <v>46</v>
      </c>
      <c r="Y1448" t="s">
        <v>47</v>
      </c>
      <c r="Z1448" t="s">
        <v>46</v>
      </c>
      <c r="AA1448" t="s">
        <v>47</v>
      </c>
      <c r="AB1448" t="s">
        <v>47</v>
      </c>
      <c r="AC1448" t="s">
        <v>46</v>
      </c>
      <c r="AD1448" t="s">
        <v>46</v>
      </c>
      <c r="AE1448" t="s">
        <v>47</v>
      </c>
      <c r="AF1448" t="s">
        <v>47</v>
      </c>
      <c r="AG1448" t="s">
        <v>52</v>
      </c>
      <c r="AH1448" t="s">
        <v>90</v>
      </c>
      <c r="AI1448" t="s">
        <v>80</v>
      </c>
      <c r="AJ1448">
        <v>3.9</v>
      </c>
      <c r="AK1448" t="s">
        <v>47</v>
      </c>
      <c r="AL1448" t="s">
        <v>76</v>
      </c>
      <c r="AM1448" t="s">
        <v>77</v>
      </c>
      <c r="AN1448">
        <v>7</v>
      </c>
      <c r="AO1448" t="s">
        <v>47</v>
      </c>
    </row>
    <row r="1449" spans="1:41">
      <c r="A1449" t="s">
        <v>1601</v>
      </c>
      <c r="B1449">
        <v>2021</v>
      </c>
      <c r="C1449" s="1">
        <v>44553</v>
      </c>
      <c r="D1449" t="s">
        <v>95</v>
      </c>
      <c r="E1449" t="s">
        <v>130</v>
      </c>
      <c r="F1449">
        <v>73</v>
      </c>
      <c r="G1449" t="s">
        <v>60</v>
      </c>
      <c r="H1449" t="s">
        <v>70</v>
      </c>
      <c r="I1449">
        <v>0</v>
      </c>
      <c r="J1449">
        <v>0</v>
      </c>
      <c r="K1449" t="s">
        <v>46</v>
      </c>
      <c r="L1449" t="s">
        <v>47</v>
      </c>
      <c r="M1449" t="s">
        <v>47</v>
      </c>
      <c r="N1449" t="s">
        <v>48</v>
      </c>
      <c r="O1449" t="s">
        <v>48</v>
      </c>
      <c r="P1449">
        <v>23.8</v>
      </c>
      <c r="Q1449" t="s">
        <v>62</v>
      </c>
      <c r="R1449" t="s">
        <v>46</v>
      </c>
      <c r="S1449" t="s">
        <v>47</v>
      </c>
      <c r="T1449" t="s">
        <v>47</v>
      </c>
      <c r="U1449" t="s">
        <v>47</v>
      </c>
      <c r="V1449" t="s">
        <v>117</v>
      </c>
      <c r="W1449" t="s">
        <v>47</v>
      </c>
      <c r="X1449" t="s">
        <v>46</v>
      </c>
      <c r="Y1449" t="s">
        <v>47</v>
      </c>
      <c r="Z1449" t="s">
        <v>47</v>
      </c>
      <c r="AA1449" t="s">
        <v>46</v>
      </c>
      <c r="AB1449" t="s">
        <v>47</v>
      </c>
      <c r="AC1449" t="s">
        <v>47</v>
      </c>
      <c r="AD1449" t="s">
        <v>46</v>
      </c>
      <c r="AE1449" t="s">
        <v>47</v>
      </c>
      <c r="AF1449" t="s">
        <v>47</v>
      </c>
      <c r="AG1449" t="s">
        <v>52</v>
      </c>
      <c r="AH1449" t="s">
        <v>53</v>
      </c>
      <c r="AI1449" t="s">
        <v>54</v>
      </c>
      <c r="AJ1449">
        <v>5.0999999999999996</v>
      </c>
      <c r="AK1449" t="s">
        <v>46</v>
      </c>
      <c r="AL1449" t="s">
        <v>76</v>
      </c>
      <c r="AM1449" t="s">
        <v>118</v>
      </c>
      <c r="AN1449">
        <v>11</v>
      </c>
      <c r="AO1449" t="s">
        <v>47</v>
      </c>
    </row>
    <row r="1450" spans="1:41">
      <c r="A1450" t="s">
        <v>1602</v>
      </c>
      <c r="B1450">
        <v>2015</v>
      </c>
      <c r="C1450" s="1">
        <v>42069</v>
      </c>
      <c r="D1450" t="s">
        <v>58</v>
      </c>
      <c r="E1450" t="s">
        <v>150</v>
      </c>
      <c r="F1450">
        <v>62</v>
      </c>
      <c r="G1450" t="s">
        <v>60</v>
      </c>
      <c r="H1450" t="s">
        <v>70</v>
      </c>
      <c r="I1450">
        <v>0</v>
      </c>
      <c r="J1450">
        <v>0</v>
      </c>
      <c r="K1450" t="s">
        <v>46</v>
      </c>
      <c r="L1450" t="s">
        <v>46</v>
      </c>
      <c r="M1450" t="s">
        <v>47</v>
      </c>
      <c r="N1450" t="s">
        <v>48</v>
      </c>
      <c r="O1450" t="s">
        <v>48</v>
      </c>
      <c r="P1450">
        <v>30.5</v>
      </c>
      <c r="Q1450" t="s">
        <v>62</v>
      </c>
      <c r="R1450" t="s">
        <v>47</v>
      </c>
      <c r="S1450" t="s">
        <v>47</v>
      </c>
      <c r="T1450" t="s">
        <v>47</v>
      </c>
      <c r="U1450" t="s">
        <v>47</v>
      </c>
      <c r="V1450" t="s">
        <v>51</v>
      </c>
      <c r="W1450" t="s">
        <v>46</v>
      </c>
      <c r="X1450" t="s">
        <v>47</v>
      </c>
      <c r="Y1450" t="s">
        <v>47</v>
      </c>
      <c r="Z1450" t="s">
        <v>47</v>
      </c>
      <c r="AA1450" t="s">
        <v>46</v>
      </c>
      <c r="AB1450" t="s">
        <v>47</v>
      </c>
      <c r="AC1450" t="s">
        <v>46</v>
      </c>
      <c r="AD1450" t="s">
        <v>47</v>
      </c>
      <c r="AE1450" t="s">
        <v>47</v>
      </c>
      <c r="AF1450" t="s">
        <v>46</v>
      </c>
      <c r="AG1450" t="s">
        <v>52</v>
      </c>
      <c r="AH1450" t="s">
        <v>90</v>
      </c>
      <c r="AI1450" t="s">
        <v>54</v>
      </c>
      <c r="AJ1450">
        <v>8.1999999999999993</v>
      </c>
      <c r="AK1450" t="s">
        <v>46</v>
      </c>
      <c r="AL1450" t="s">
        <v>100</v>
      </c>
      <c r="AM1450" t="s">
        <v>56</v>
      </c>
      <c r="AN1450">
        <v>13</v>
      </c>
      <c r="AO1450" t="s">
        <v>47</v>
      </c>
    </row>
    <row r="1451" spans="1:41">
      <c r="A1451" t="s">
        <v>1603</v>
      </c>
      <c r="B1451">
        <v>2025</v>
      </c>
      <c r="C1451" s="1">
        <v>46010</v>
      </c>
      <c r="D1451" t="s">
        <v>58</v>
      </c>
      <c r="E1451" t="s">
        <v>229</v>
      </c>
      <c r="F1451">
        <v>48</v>
      </c>
      <c r="G1451" t="s">
        <v>44</v>
      </c>
      <c r="H1451" t="s">
        <v>70</v>
      </c>
      <c r="I1451">
        <v>0</v>
      </c>
      <c r="J1451">
        <v>0</v>
      </c>
      <c r="K1451" t="s">
        <v>46</v>
      </c>
      <c r="L1451" t="s">
        <v>47</v>
      </c>
      <c r="M1451" t="s">
        <v>47</v>
      </c>
      <c r="N1451" t="s">
        <v>48</v>
      </c>
      <c r="O1451" t="s">
        <v>48</v>
      </c>
      <c r="P1451">
        <v>30.5</v>
      </c>
      <c r="Q1451" t="s">
        <v>50</v>
      </c>
      <c r="R1451" t="s">
        <v>47</v>
      </c>
      <c r="S1451" t="s">
        <v>46</v>
      </c>
      <c r="T1451" t="s">
        <v>47</v>
      </c>
      <c r="U1451" t="s">
        <v>47</v>
      </c>
      <c r="V1451" t="s">
        <v>128</v>
      </c>
      <c r="W1451" t="s">
        <v>47</v>
      </c>
      <c r="X1451" t="s">
        <v>46</v>
      </c>
      <c r="Y1451" t="s">
        <v>47</v>
      </c>
      <c r="Z1451" t="s">
        <v>47</v>
      </c>
      <c r="AA1451" t="s">
        <v>46</v>
      </c>
      <c r="AB1451" t="s">
        <v>47</v>
      </c>
      <c r="AC1451" t="s">
        <v>47</v>
      </c>
      <c r="AD1451" t="s">
        <v>47</v>
      </c>
      <c r="AE1451" t="s">
        <v>47</v>
      </c>
      <c r="AF1451" t="s">
        <v>47</v>
      </c>
      <c r="AG1451" t="s">
        <v>52</v>
      </c>
      <c r="AH1451" t="s">
        <v>53</v>
      </c>
      <c r="AI1451" t="s">
        <v>65</v>
      </c>
      <c r="AJ1451">
        <v>0.5</v>
      </c>
      <c r="AK1451" t="s">
        <v>47</v>
      </c>
      <c r="AL1451" t="s">
        <v>66</v>
      </c>
      <c r="AM1451" t="s">
        <v>73</v>
      </c>
      <c r="AN1451">
        <v>44</v>
      </c>
      <c r="AO1451" t="s">
        <v>46</v>
      </c>
    </row>
    <row r="1452" spans="1:41">
      <c r="A1452" t="s">
        <v>1604</v>
      </c>
      <c r="B1452">
        <v>2021</v>
      </c>
      <c r="C1452" s="1">
        <v>44471</v>
      </c>
      <c r="D1452" t="s">
        <v>110</v>
      </c>
      <c r="E1452" t="s">
        <v>294</v>
      </c>
      <c r="F1452">
        <v>61</v>
      </c>
      <c r="G1452" t="s">
        <v>60</v>
      </c>
      <c r="H1452" t="s">
        <v>61</v>
      </c>
      <c r="I1452">
        <v>13</v>
      </c>
      <c r="J1452">
        <v>20</v>
      </c>
      <c r="K1452" t="s">
        <v>46</v>
      </c>
      <c r="L1452" t="s">
        <v>47</v>
      </c>
      <c r="M1452" t="s">
        <v>47</v>
      </c>
      <c r="N1452" t="s">
        <v>62</v>
      </c>
      <c r="O1452" t="s">
        <v>48</v>
      </c>
      <c r="P1452">
        <v>25.4</v>
      </c>
      <c r="Q1452" t="s">
        <v>62</v>
      </c>
      <c r="R1452" t="s">
        <v>46</v>
      </c>
      <c r="S1452" t="s">
        <v>47</v>
      </c>
      <c r="T1452" t="s">
        <v>47</v>
      </c>
      <c r="U1452" t="s">
        <v>47</v>
      </c>
      <c r="V1452" t="s">
        <v>92</v>
      </c>
      <c r="W1452" t="s">
        <v>47</v>
      </c>
      <c r="X1452" t="s">
        <v>46</v>
      </c>
      <c r="Y1452" t="s">
        <v>47</v>
      </c>
      <c r="Z1452" t="s">
        <v>46</v>
      </c>
      <c r="AA1452" t="s">
        <v>47</v>
      </c>
      <c r="AB1452" t="s">
        <v>47</v>
      </c>
      <c r="AC1452" t="s">
        <v>47</v>
      </c>
      <c r="AD1452" t="s">
        <v>47</v>
      </c>
      <c r="AE1452" t="s">
        <v>47</v>
      </c>
      <c r="AF1452" t="s">
        <v>47</v>
      </c>
      <c r="AG1452" t="s">
        <v>121</v>
      </c>
      <c r="AH1452" t="s">
        <v>122</v>
      </c>
      <c r="AI1452" t="s">
        <v>80</v>
      </c>
      <c r="AJ1452">
        <v>9.1</v>
      </c>
      <c r="AK1452" t="s">
        <v>47</v>
      </c>
      <c r="AL1452" t="s">
        <v>76</v>
      </c>
      <c r="AM1452" t="s">
        <v>56</v>
      </c>
      <c r="AN1452">
        <v>20</v>
      </c>
      <c r="AO1452" t="s">
        <v>47</v>
      </c>
    </row>
    <row r="1453" spans="1:41">
      <c r="A1453" t="s">
        <v>1605</v>
      </c>
      <c r="B1453">
        <v>2016</v>
      </c>
      <c r="C1453" s="1">
        <v>42654</v>
      </c>
      <c r="D1453" t="s">
        <v>110</v>
      </c>
      <c r="E1453" t="s">
        <v>124</v>
      </c>
      <c r="F1453">
        <v>51</v>
      </c>
      <c r="G1453" t="s">
        <v>44</v>
      </c>
      <c r="H1453" t="s">
        <v>70</v>
      </c>
      <c r="I1453">
        <v>0</v>
      </c>
      <c r="J1453">
        <v>0</v>
      </c>
      <c r="K1453" t="s">
        <v>47</v>
      </c>
      <c r="L1453" t="s">
        <v>47</v>
      </c>
      <c r="M1453" t="s">
        <v>47</v>
      </c>
      <c r="N1453" t="s">
        <v>50</v>
      </c>
      <c r="O1453" t="s">
        <v>48</v>
      </c>
      <c r="P1453">
        <v>27.5</v>
      </c>
      <c r="Q1453" t="s">
        <v>50</v>
      </c>
      <c r="R1453" t="s">
        <v>47</v>
      </c>
      <c r="S1453" t="s">
        <v>47</v>
      </c>
      <c r="T1453" t="s">
        <v>47</v>
      </c>
      <c r="U1453" t="s">
        <v>46</v>
      </c>
      <c r="V1453" t="s">
        <v>51</v>
      </c>
      <c r="W1453" t="s">
        <v>47</v>
      </c>
      <c r="X1453" t="s">
        <v>47</v>
      </c>
      <c r="Y1453" t="s">
        <v>47</v>
      </c>
      <c r="Z1453" t="s">
        <v>46</v>
      </c>
      <c r="AA1453" t="s">
        <v>47</v>
      </c>
      <c r="AB1453" t="s">
        <v>47</v>
      </c>
      <c r="AC1453" t="s">
        <v>47</v>
      </c>
      <c r="AD1453" t="s">
        <v>47</v>
      </c>
      <c r="AE1453" t="s">
        <v>47</v>
      </c>
      <c r="AF1453" t="s">
        <v>47</v>
      </c>
      <c r="AG1453" t="s">
        <v>52</v>
      </c>
      <c r="AH1453" t="s">
        <v>53</v>
      </c>
      <c r="AI1453" t="s">
        <v>54</v>
      </c>
      <c r="AJ1453">
        <v>5.6</v>
      </c>
      <c r="AK1453" t="s">
        <v>46</v>
      </c>
      <c r="AL1453" t="s">
        <v>100</v>
      </c>
      <c r="AM1453" t="s">
        <v>77</v>
      </c>
      <c r="AN1453">
        <v>1</v>
      </c>
      <c r="AO1453" t="s">
        <v>47</v>
      </c>
    </row>
    <row r="1454" spans="1:41">
      <c r="A1454" t="s">
        <v>1606</v>
      </c>
      <c r="B1454">
        <v>2020</v>
      </c>
      <c r="C1454" s="1">
        <v>43942</v>
      </c>
      <c r="D1454" t="s">
        <v>42</v>
      </c>
      <c r="E1454" t="s">
        <v>154</v>
      </c>
      <c r="F1454">
        <v>61</v>
      </c>
      <c r="G1454" t="s">
        <v>60</v>
      </c>
      <c r="H1454" t="s">
        <v>61</v>
      </c>
      <c r="I1454">
        <v>11</v>
      </c>
      <c r="J1454">
        <v>12</v>
      </c>
      <c r="K1454" t="s">
        <v>46</v>
      </c>
      <c r="L1454" t="s">
        <v>47</v>
      </c>
      <c r="M1454" t="s">
        <v>47</v>
      </c>
      <c r="N1454" t="s">
        <v>62</v>
      </c>
      <c r="O1454" t="s">
        <v>63</v>
      </c>
      <c r="P1454">
        <v>29.8</v>
      </c>
      <c r="Q1454" t="s">
        <v>62</v>
      </c>
      <c r="R1454" t="s">
        <v>46</v>
      </c>
      <c r="S1454" t="s">
        <v>47</v>
      </c>
      <c r="T1454" t="s">
        <v>47</v>
      </c>
      <c r="U1454" t="s">
        <v>47</v>
      </c>
      <c r="V1454" t="s">
        <v>51</v>
      </c>
      <c r="W1454" t="s">
        <v>47</v>
      </c>
      <c r="X1454" t="s">
        <v>47</v>
      </c>
      <c r="Y1454" t="s">
        <v>46</v>
      </c>
      <c r="Z1454" t="s">
        <v>47</v>
      </c>
      <c r="AA1454" t="s">
        <v>47</v>
      </c>
      <c r="AB1454" t="s">
        <v>47</v>
      </c>
      <c r="AC1454" t="s">
        <v>46</v>
      </c>
      <c r="AD1454" t="s">
        <v>47</v>
      </c>
      <c r="AE1454" t="s">
        <v>47</v>
      </c>
      <c r="AF1454" t="s">
        <v>47</v>
      </c>
      <c r="AG1454" t="s">
        <v>52</v>
      </c>
      <c r="AH1454" t="s">
        <v>53</v>
      </c>
      <c r="AI1454" t="s">
        <v>65</v>
      </c>
      <c r="AJ1454">
        <v>2.1</v>
      </c>
      <c r="AK1454" t="s">
        <v>47</v>
      </c>
      <c r="AL1454" t="s">
        <v>66</v>
      </c>
      <c r="AM1454" t="s">
        <v>67</v>
      </c>
      <c r="AN1454">
        <v>36</v>
      </c>
      <c r="AO1454" t="s">
        <v>46</v>
      </c>
    </row>
    <row r="1455" spans="1:41">
      <c r="A1455" t="s">
        <v>1607</v>
      </c>
      <c r="B1455">
        <v>2017</v>
      </c>
      <c r="C1455" s="1">
        <v>42782</v>
      </c>
      <c r="D1455" t="s">
        <v>42</v>
      </c>
      <c r="E1455" t="s">
        <v>166</v>
      </c>
      <c r="F1455">
        <v>59</v>
      </c>
      <c r="G1455" t="s">
        <v>60</v>
      </c>
      <c r="H1455" t="s">
        <v>70</v>
      </c>
      <c r="I1455">
        <v>0</v>
      </c>
      <c r="J1455">
        <v>0</v>
      </c>
      <c r="K1455" t="s">
        <v>46</v>
      </c>
      <c r="L1455" t="s">
        <v>47</v>
      </c>
      <c r="M1455" t="s">
        <v>47</v>
      </c>
      <c r="N1455" t="s">
        <v>50</v>
      </c>
      <c r="O1455" t="s">
        <v>63</v>
      </c>
      <c r="P1455">
        <v>24.5</v>
      </c>
      <c r="Q1455" t="s">
        <v>50</v>
      </c>
      <c r="R1455" t="s">
        <v>47</v>
      </c>
      <c r="S1455" t="s">
        <v>47</v>
      </c>
      <c r="T1455" t="s">
        <v>47</v>
      </c>
      <c r="U1455" t="s">
        <v>47</v>
      </c>
      <c r="V1455" t="s">
        <v>51</v>
      </c>
      <c r="W1455" t="s">
        <v>46</v>
      </c>
      <c r="X1455" t="s">
        <v>47</v>
      </c>
      <c r="Y1455" t="s">
        <v>46</v>
      </c>
      <c r="Z1455" t="s">
        <v>47</v>
      </c>
      <c r="AA1455" t="s">
        <v>47</v>
      </c>
      <c r="AB1455" t="s">
        <v>47</v>
      </c>
      <c r="AC1455" t="s">
        <v>47</v>
      </c>
      <c r="AD1455" t="s">
        <v>46</v>
      </c>
      <c r="AE1455" t="s">
        <v>47</v>
      </c>
      <c r="AF1455" t="s">
        <v>47</v>
      </c>
      <c r="AG1455" t="s">
        <v>52</v>
      </c>
      <c r="AH1455" t="s">
        <v>90</v>
      </c>
      <c r="AI1455" t="s">
        <v>65</v>
      </c>
      <c r="AJ1455">
        <v>0.8</v>
      </c>
      <c r="AK1455" t="s">
        <v>47</v>
      </c>
      <c r="AL1455" t="s">
        <v>72</v>
      </c>
      <c r="AM1455" t="s">
        <v>73</v>
      </c>
      <c r="AN1455">
        <v>69</v>
      </c>
      <c r="AO1455" t="s">
        <v>46</v>
      </c>
    </row>
    <row r="1456" spans="1:41">
      <c r="A1456" t="s">
        <v>1608</v>
      </c>
      <c r="B1456">
        <v>2017</v>
      </c>
      <c r="C1456" s="1">
        <v>42910</v>
      </c>
      <c r="D1456" t="s">
        <v>58</v>
      </c>
      <c r="E1456" t="s">
        <v>169</v>
      </c>
      <c r="F1456">
        <v>59</v>
      </c>
      <c r="G1456" t="s">
        <v>60</v>
      </c>
      <c r="H1456" t="s">
        <v>61</v>
      </c>
      <c r="I1456">
        <v>11</v>
      </c>
      <c r="J1456">
        <v>10</v>
      </c>
      <c r="K1456" t="s">
        <v>47</v>
      </c>
      <c r="L1456" t="s">
        <v>46</v>
      </c>
      <c r="M1456" t="s">
        <v>47</v>
      </c>
      <c r="N1456" t="s">
        <v>48</v>
      </c>
      <c r="O1456" t="s">
        <v>48</v>
      </c>
      <c r="P1456">
        <v>29.1</v>
      </c>
      <c r="Q1456" t="s">
        <v>50</v>
      </c>
      <c r="R1456" t="s">
        <v>46</v>
      </c>
      <c r="S1456" t="s">
        <v>47</v>
      </c>
      <c r="T1456" t="s">
        <v>47</v>
      </c>
      <c r="U1456" t="s">
        <v>47</v>
      </c>
      <c r="V1456" t="s">
        <v>51</v>
      </c>
      <c r="W1456" t="s">
        <v>47</v>
      </c>
      <c r="X1456" t="s">
        <v>47</v>
      </c>
      <c r="Y1456" t="s">
        <v>46</v>
      </c>
      <c r="Z1456" t="s">
        <v>47</v>
      </c>
      <c r="AA1456" t="s">
        <v>46</v>
      </c>
      <c r="AB1456" t="s">
        <v>47</v>
      </c>
      <c r="AC1456" t="s">
        <v>46</v>
      </c>
      <c r="AD1456" t="s">
        <v>47</v>
      </c>
      <c r="AE1456" t="s">
        <v>47</v>
      </c>
      <c r="AF1456" t="s">
        <v>47</v>
      </c>
      <c r="AG1456" t="s">
        <v>52</v>
      </c>
      <c r="AH1456" t="s">
        <v>53</v>
      </c>
      <c r="AI1456" t="s">
        <v>80</v>
      </c>
      <c r="AJ1456">
        <v>4.7</v>
      </c>
      <c r="AK1456" t="s">
        <v>47</v>
      </c>
      <c r="AL1456" t="s">
        <v>76</v>
      </c>
      <c r="AM1456" t="s">
        <v>82</v>
      </c>
      <c r="AN1456">
        <v>22</v>
      </c>
      <c r="AO1456" t="s">
        <v>47</v>
      </c>
    </row>
    <row r="1457" spans="1:41">
      <c r="A1457" t="s">
        <v>1609</v>
      </c>
      <c r="B1457">
        <v>2025</v>
      </c>
      <c r="C1457" s="1">
        <v>45759</v>
      </c>
      <c r="D1457" t="s">
        <v>58</v>
      </c>
      <c r="E1457" t="s">
        <v>138</v>
      </c>
      <c r="F1457">
        <v>66</v>
      </c>
      <c r="G1457" t="s">
        <v>60</v>
      </c>
      <c r="H1457" t="s">
        <v>70</v>
      </c>
      <c r="I1457">
        <v>0</v>
      </c>
      <c r="J1457">
        <v>0</v>
      </c>
      <c r="K1457" t="s">
        <v>47</v>
      </c>
      <c r="L1457" t="s">
        <v>46</v>
      </c>
      <c r="M1457" t="s">
        <v>47</v>
      </c>
      <c r="N1457" t="s">
        <v>50</v>
      </c>
      <c r="O1457" t="s">
        <v>48</v>
      </c>
      <c r="P1457">
        <v>26.1</v>
      </c>
      <c r="Q1457" t="s">
        <v>50</v>
      </c>
      <c r="R1457" t="s">
        <v>47</v>
      </c>
      <c r="S1457" t="s">
        <v>47</v>
      </c>
      <c r="T1457" t="s">
        <v>47</v>
      </c>
      <c r="U1457" t="s">
        <v>47</v>
      </c>
      <c r="V1457" t="s">
        <v>51</v>
      </c>
      <c r="W1457" t="s">
        <v>46</v>
      </c>
      <c r="X1457" t="s">
        <v>46</v>
      </c>
      <c r="Y1457" t="s">
        <v>47</v>
      </c>
      <c r="Z1457" t="s">
        <v>47</v>
      </c>
      <c r="AA1457" t="s">
        <v>47</v>
      </c>
      <c r="AB1457" t="s">
        <v>47</v>
      </c>
      <c r="AC1457" t="s">
        <v>47</v>
      </c>
      <c r="AD1457" t="s">
        <v>46</v>
      </c>
      <c r="AE1457" t="s">
        <v>47</v>
      </c>
      <c r="AF1457" t="s">
        <v>47</v>
      </c>
      <c r="AG1457" t="s">
        <v>52</v>
      </c>
      <c r="AH1457" t="s">
        <v>53</v>
      </c>
      <c r="AI1457" t="s">
        <v>65</v>
      </c>
      <c r="AJ1457">
        <v>2.1</v>
      </c>
      <c r="AK1457" t="s">
        <v>47</v>
      </c>
      <c r="AL1457" t="s">
        <v>66</v>
      </c>
      <c r="AM1457" t="s">
        <v>73</v>
      </c>
      <c r="AN1457">
        <v>85</v>
      </c>
      <c r="AO1457" t="s">
        <v>47</v>
      </c>
    </row>
    <row r="1458" spans="1:41">
      <c r="A1458" t="s">
        <v>1610</v>
      </c>
      <c r="B1458">
        <v>2024</v>
      </c>
      <c r="C1458" s="1">
        <v>45372</v>
      </c>
      <c r="D1458" t="s">
        <v>95</v>
      </c>
      <c r="E1458" t="s">
        <v>120</v>
      </c>
      <c r="F1458">
        <v>53</v>
      </c>
      <c r="G1458" t="s">
        <v>44</v>
      </c>
      <c r="H1458" t="s">
        <v>70</v>
      </c>
      <c r="I1458">
        <v>0</v>
      </c>
      <c r="J1458">
        <v>0</v>
      </c>
      <c r="K1458" t="s">
        <v>47</v>
      </c>
      <c r="L1458" t="s">
        <v>47</v>
      </c>
      <c r="M1458" t="s">
        <v>46</v>
      </c>
      <c r="N1458" t="s">
        <v>48</v>
      </c>
      <c r="O1458" t="s">
        <v>48</v>
      </c>
      <c r="P1458">
        <v>29.9</v>
      </c>
      <c r="Q1458" t="s">
        <v>62</v>
      </c>
      <c r="R1458" t="s">
        <v>47</v>
      </c>
      <c r="S1458" t="s">
        <v>47</v>
      </c>
      <c r="T1458" t="s">
        <v>47</v>
      </c>
      <c r="U1458" t="s">
        <v>46</v>
      </c>
      <c r="V1458" t="s">
        <v>86</v>
      </c>
      <c r="W1458" t="s">
        <v>46</v>
      </c>
      <c r="X1458" t="s">
        <v>47</v>
      </c>
      <c r="Y1458" t="s">
        <v>47</v>
      </c>
      <c r="Z1458" t="s">
        <v>47</v>
      </c>
      <c r="AA1458" t="s">
        <v>46</v>
      </c>
      <c r="AB1458" t="s">
        <v>46</v>
      </c>
      <c r="AC1458" t="s">
        <v>47</v>
      </c>
      <c r="AD1458" t="s">
        <v>47</v>
      </c>
      <c r="AE1458" t="s">
        <v>47</v>
      </c>
      <c r="AF1458" t="s">
        <v>47</v>
      </c>
      <c r="AG1458" t="s">
        <v>52</v>
      </c>
      <c r="AH1458" t="s">
        <v>53</v>
      </c>
      <c r="AI1458" t="s">
        <v>80</v>
      </c>
      <c r="AJ1458">
        <v>7.2</v>
      </c>
      <c r="AK1458" t="s">
        <v>47</v>
      </c>
      <c r="AL1458" t="s">
        <v>76</v>
      </c>
      <c r="AM1458" t="s">
        <v>56</v>
      </c>
      <c r="AN1458">
        <v>17</v>
      </c>
      <c r="AO1458" t="s">
        <v>47</v>
      </c>
    </row>
    <row r="1459" spans="1:41">
      <c r="A1459" t="s">
        <v>1611</v>
      </c>
      <c r="B1459">
        <v>2020</v>
      </c>
      <c r="C1459" s="1">
        <v>44187</v>
      </c>
      <c r="D1459" t="s">
        <v>95</v>
      </c>
      <c r="E1459" t="s">
        <v>107</v>
      </c>
      <c r="F1459">
        <v>48</v>
      </c>
      <c r="G1459" t="s">
        <v>60</v>
      </c>
      <c r="H1459" t="s">
        <v>45</v>
      </c>
      <c r="I1459">
        <v>24</v>
      </c>
      <c r="J1459">
        <v>14</v>
      </c>
      <c r="K1459" t="s">
        <v>47</v>
      </c>
      <c r="L1459" t="s">
        <v>46</v>
      </c>
      <c r="M1459" t="s">
        <v>47</v>
      </c>
      <c r="N1459" t="s">
        <v>50</v>
      </c>
      <c r="O1459" t="s">
        <v>48</v>
      </c>
      <c r="P1459">
        <v>29.9</v>
      </c>
      <c r="Q1459" t="s">
        <v>50</v>
      </c>
      <c r="R1459" t="s">
        <v>46</v>
      </c>
      <c r="S1459" t="s">
        <v>47</v>
      </c>
      <c r="T1459" t="s">
        <v>47</v>
      </c>
      <c r="U1459" t="s">
        <v>47</v>
      </c>
      <c r="V1459" t="s">
        <v>64</v>
      </c>
      <c r="W1459" t="s">
        <v>46</v>
      </c>
      <c r="X1459" t="s">
        <v>46</v>
      </c>
      <c r="Y1459" t="s">
        <v>47</v>
      </c>
      <c r="Z1459" t="s">
        <v>46</v>
      </c>
      <c r="AA1459" t="s">
        <v>46</v>
      </c>
      <c r="AB1459" t="s">
        <v>46</v>
      </c>
      <c r="AC1459" t="s">
        <v>47</v>
      </c>
      <c r="AD1459" t="s">
        <v>47</v>
      </c>
      <c r="AE1459" t="s">
        <v>47</v>
      </c>
      <c r="AF1459" t="s">
        <v>47</v>
      </c>
      <c r="AG1459" t="s">
        <v>52</v>
      </c>
      <c r="AH1459" t="s">
        <v>71</v>
      </c>
      <c r="AI1459" t="s">
        <v>54</v>
      </c>
      <c r="AJ1459">
        <v>11.2</v>
      </c>
      <c r="AK1459" t="s">
        <v>46</v>
      </c>
      <c r="AL1459" t="s">
        <v>81</v>
      </c>
      <c r="AM1459" t="s">
        <v>82</v>
      </c>
      <c r="AN1459">
        <v>12</v>
      </c>
      <c r="AO1459" t="s">
        <v>47</v>
      </c>
    </row>
    <row r="1460" spans="1:41">
      <c r="A1460" t="s">
        <v>1612</v>
      </c>
      <c r="B1460">
        <v>2019</v>
      </c>
      <c r="C1460" s="1">
        <v>43678</v>
      </c>
      <c r="D1460" t="s">
        <v>84</v>
      </c>
      <c r="E1460" t="s">
        <v>184</v>
      </c>
      <c r="F1460">
        <v>55</v>
      </c>
      <c r="G1460" t="s">
        <v>44</v>
      </c>
      <c r="H1460" t="s">
        <v>70</v>
      </c>
      <c r="I1460">
        <v>0</v>
      </c>
      <c r="J1460">
        <v>0</v>
      </c>
      <c r="K1460" t="s">
        <v>47</v>
      </c>
      <c r="L1460" t="s">
        <v>47</v>
      </c>
      <c r="M1460" t="s">
        <v>47</v>
      </c>
      <c r="N1460" t="s">
        <v>62</v>
      </c>
      <c r="O1460" t="s">
        <v>49</v>
      </c>
      <c r="P1460">
        <v>21</v>
      </c>
      <c r="Q1460" t="s">
        <v>50</v>
      </c>
      <c r="R1460" t="s">
        <v>47</v>
      </c>
      <c r="S1460" t="s">
        <v>46</v>
      </c>
      <c r="T1460" t="s">
        <v>47</v>
      </c>
      <c r="U1460" t="s">
        <v>47</v>
      </c>
      <c r="V1460" t="s">
        <v>117</v>
      </c>
      <c r="W1460" t="s">
        <v>47</v>
      </c>
      <c r="X1460" t="s">
        <v>47</v>
      </c>
      <c r="Y1460" t="s">
        <v>46</v>
      </c>
      <c r="Z1460" t="s">
        <v>46</v>
      </c>
      <c r="AA1460" t="s">
        <v>47</v>
      </c>
      <c r="AB1460" t="s">
        <v>47</v>
      </c>
      <c r="AC1460" t="s">
        <v>47</v>
      </c>
      <c r="AD1460" t="s">
        <v>47</v>
      </c>
      <c r="AE1460" t="s">
        <v>47</v>
      </c>
      <c r="AF1460" t="s">
        <v>47</v>
      </c>
      <c r="AG1460" t="s">
        <v>52</v>
      </c>
      <c r="AH1460" t="s">
        <v>53</v>
      </c>
      <c r="AI1460" t="s">
        <v>87</v>
      </c>
      <c r="AJ1460">
        <v>3</v>
      </c>
      <c r="AK1460" t="s">
        <v>47</v>
      </c>
      <c r="AL1460" t="s">
        <v>100</v>
      </c>
      <c r="AM1460" t="s">
        <v>73</v>
      </c>
      <c r="AN1460">
        <v>22</v>
      </c>
      <c r="AO1460" t="s">
        <v>47</v>
      </c>
    </row>
    <row r="1461" spans="1:41">
      <c r="A1461" t="s">
        <v>1613</v>
      </c>
      <c r="B1461">
        <v>2022</v>
      </c>
      <c r="C1461" s="1">
        <v>44659</v>
      </c>
      <c r="D1461" t="s">
        <v>42</v>
      </c>
      <c r="E1461" t="s">
        <v>69</v>
      </c>
      <c r="F1461">
        <v>62</v>
      </c>
      <c r="G1461" t="s">
        <v>44</v>
      </c>
      <c r="H1461" t="s">
        <v>70</v>
      </c>
      <c r="I1461">
        <v>0</v>
      </c>
      <c r="J1461">
        <v>0</v>
      </c>
      <c r="K1461" t="s">
        <v>46</v>
      </c>
      <c r="L1461" t="s">
        <v>47</v>
      </c>
      <c r="M1461" t="s">
        <v>47</v>
      </c>
      <c r="N1461" t="s">
        <v>62</v>
      </c>
      <c r="O1461" t="s">
        <v>63</v>
      </c>
      <c r="P1461">
        <v>22.5</v>
      </c>
      <c r="Q1461" t="s">
        <v>62</v>
      </c>
      <c r="R1461" t="s">
        <v>47</v>
      </c>
      <c r="S1461" t="s">
        <v>47</v>
      </c>
      <c r="T1461" t="s">
        <v>47</v>
      </c>
      <c r="U1461" t="s">
        <v>47</v>
      </c>
      <c r="V1461" t="s">
        <v>64</v>
      </c>
      <c r="W1461" t="s">
        <v>47</v>
      </c>
      <c r="X1461" t="s">
        <v>46</v>
      </c>
      <c r="Y1461" t="s">
        <v>46</v>
      </c>
      <c r="Z1461" t="s">
        <v>47</v>
      </c>
      <c r="AA1461" t="s">
        <v>47</v>
      </c>
      <c r="AB1461" t="s">
        <v>46</v>
      </c>
      <c r="AC1461" t="s">
        <v>47</v>
      </c>
      <c r="AD1461" t="s">
        <v>47</v>
      </c>
      <c r="AE1461" t="s">
        <v>47</v>
      </c>
      <c r="AF1461" t="s">
        <v>47</v>
      </c>
      <c r="AG1461" t="s">
        <v>121</v>
      </c>
      <c r="AH1461" t="s">
        <v>122</v>
      </c>
      <c r="AI1461" t="s">
        <v>54</v>
      </c>
      <c r="AJ1461">
        <v>8.9</v>
      </c>
      <c r="AK1461" t="s">
        <v>46</v>
      </c>
      <c r="AL1461" t="s">
        <v>100</v>
      </c>
      <c r="AM1461" t="s">
        <v>265</v>
      </c>
      <c r="AN1461">
        <v>7</v>
      </c>
      <c r="AO1461" t="s">
        <v>47</v>
      </c>
    </row>
    <row r="1462" spans="1:41">
      <c r="A1462" t="s">
        <v>1614</v>
      </c>
      <c r="B1462">
        <v>2025</v>
      </c>
      <c r="C1462" s="1">
        <v>45817</v>
      </c>
      <c r="D1462" t="s">
        <v>58</v>
      </c>
      <c r="E1462" t="s">
        <v>169</v>
      </c>
      <c r="F1462">
        <v>61</v>
      </c>
      <c r="G1462" t="s">
        <v>60</v>
      </c>
      <c r="H1462" t="s">
        <v>45</v>
      </c>
      <c r="I1462">
        <v>5</v>
      </c>
      <c r="J1462">
        <v>32</v>
      </c>
      <c r="K1462" t="s">
        <v>47</v>
      </c>
      <c r="L1462" t="s">
        <v>47</v>
      </c>
      <c r="M1462" t="s">
        <v>47</v>
      </c>
      <c r="N1462" t="s">
        <v>50</v>
      </c>
      <c r="O1462" t="s">
        <v>48</v>
      </c>
      <c r="P1462">
        <v>28</v>
      </c>
      <c r="Q1462" t="s">
        <v>50</v>
      </c>
      <c r="R1462" t="s">
        <v>46</v>
      </c>
      <c r="S1462" t="s">
        <v>47</v>
      </c>
      <c r="T1462" t="s">
        <v>47</v>
      </c>
      <c r="U1462" t="s">
        <v>47</v>
      </c>
      <c r="V1462" t="s">
        <v>117</v>
      </c>
      <c r="W1462" t="s">
        <v>46</v>
      </c>
      <c r="X1462" t="s">
        <v>46</v>
      </c>
      <c r="Y1462" t="s">
        <v>46</v>
      </c>
      <c r="Z1462" t="s">
        <v>47</v>
      </c>
      <c r="AA1462" t="s">
        <v>46</v>
      </c>
      <c r="AB1462" t="s">
        <v>46</v>
      </c>
      <c r="AC1462" t="s">
        <v>46</v>
      </c>
      <c r="AD1462" t="s">
        <v>47</v>
      </c>
      <c r="AE1462" t="s">
        <v>47</v>
      </c>
      <c r="AF1462" t="s">
        <v>47</v>
      </c>
      <c r="AG1462" t="s">
        <v>121</v>
      </c>
      <c r="AH1462" t="s">
        <v>122</v>
      </c>
      <c r="AI1462" t="s">
        <v>87</v>
      </c>
      <c r="AJ1462">
        <v>6.9</v>
      </c>
      <c r="AK1462" t="s">
        <v>47</v>
      </c>
      <c r="AL1462" t="s">
        <v>100</v>
      </c>
      <c r="AM1462" t="s">
        <v>82</v>
      </c>
      <c r="AN1462">
        <v>35</v>
      </c>
      <c r="AO1462" t="s">
        <v>46</v>
      </c>
    </row>
    <row r="1463" spans="1:41">
      <c r="A1463" t="s">
        <v>1615</v>
      </c>
      <c r="B1463">
        <v>2023</v>
      </c>
      <c r="C1463" s="1">
        <v>45261</v>
      </c>
      <c r="D1463" t="s">
        <v>42</v>
      </c>
      <c r="E1463" t="s">
        <v>43</v>
      </c>
      <c r="F1463">
        <v>63</v>
      </c>
      <c r="G1463" t="s">
        <v>44</v>
      </c>
      <c r="H1463" t="s">
        <v>70</v>
      </c>
      <c r="I1463">
        <v>0</v>
      </c>
      <c r="J1463">
        <v>0</v>
      </c>
      <c r="K1463" t="s">
        <v>46</v>
      </c>
      <c r="L1463" t="s">
        <v>47</v>
      </c>
      <c r="M1463" t="s">
        <v>47</v>
      </c>
      <c r="N1463" t="s">
        <v>62</v>
      </c>
      <c r="O1463" t="s">
        <v>48</v>
      </c>
      <c r="P1463">
        <v>25.1</v>
      </c>
      <c r="Q1463" t="s">
        <v>48</v>
      </c>
      <c r="R1463" t="s">
        <v>47</v>
      </c>
      <c r="S1463" t="s">
        <v>47</v>
      </c>
      <c r="T1463" t="s">
        <v>47</v>
      </c>
      <c r="U1463" t="s">
        <v>47</v>
      </c>
      <c r="V1463" t="s">
        <v>51</v>
      </c>
      <c r="W1463" t="s">
        <v>47</v>
      </c>
      <c r="X1463" t="s">
        <v>47</v>
      </c>
      <c r="Y1463" t="s">
        <v>47</v>
      </c>
      <c r="Z1463" t="s">
        <v>47</v>
      </c>
      <c r="AA1463" t="s">
        <v>46</v>
      </c>
      <c r="AB1463" t="s">
        <v>47</v>
      </c>
      <c r="AC1463" t="s">
        <v>47</v>
      </c>
      <c r="AD1463" t="s">
        <v>46</v>
      </c>
      <c r="AE1463" t="s">
        <v>47</v>
      </c>
      <c r="AF1463" t="s">
        <v>47</v>
      </c>
      <c r="AG1463" t="s">
        <v>52</v>
      </c>
      <c r="AH1463" t="s">
        <v>53</v>
      </c>
      <c r="AI1463" t="s">
        <v>87</v>
      </c>
      <c r="AJ1463">
        <v>4</v>
      </c>
      <c r="AK1463" t="s">
        <v>47</v>
      </c>
      <c r="AL1463" t="s">
        <v>76</v>
      </c>
      <c r="AM1463" t="s">
        <v>103</v>
      </c>
      <c r="AN1463">
        <v>53</v>
      </c>
      <c r="AO1463" t="s">
        <v>46</v>
      </c>
    </row>
    <row r="1464" spans="1:41">
      <c r="A1464" t="s">
        <v>1616</v>
      </c>
      <c r="B1464">
        <v>2020</v>
      </c>
      <c r="C1464" s="1">
        <v>44027</v>
      </c>
      <c r="D1464" t="s">
        <v>58</v>
      </c>
      <c r="E1464" t="s">
        <v>229</v>
      </c>
      <c r="F1464">
        <v>45</v>
      </c>
      <c r="G1464" t="s">
        <v>60</v>
      </c>
      <c r="H1464" t="s">
        <v>70</v>
      </c>
      <c r="I1464">
        <v>0</v>
      </c>
      <c r="J1464">
        <v>0</v>
      </c>
      <c r="K1464" t="s">
        <v>46</v>
      </c>
      <c r="L1464" t="s">
        <v>47</v>
      </c>
      <c r="M1464" t="s">
        <v>47</v>
      </c>
      <c r="N1464" t="s">
        <v>48</v>
      </c>
      <c r="O1464" t="s">
        <v>49</v>
      </c>
      <c r="P1464">
        <v>32.700000000000003</v>
      </c>
      <c r="Q1464" t="s">
        <v>48</v>
      </c>
      <c r="R1464" t="s">
        <v>47</v>
      </c>
      <c r="S1464" t="s">
        <v>47</v>
      </c>
      <c r="T1464" t="s">
        <v>47</v>
      </c>
      <c r="U1464" t="s">
        <v>47</v>
      </c>
      <c r="V1464" t="s">
        <v>171</v>
      </c>
      <c r="W1464" t="s">
        <v>46</v>
      </c>
      <c r="X1464" t="s">
        <v>47</v>
      </c>
      <c r="Y1464" t="s">
        <v>47</v>
      </c>
      <c r="Z1464" t="s">
        <v>47</v>
      </c>
      <c r="AA1464" t="s">
        <v>46</v>
      </c>
      <c r="AB1464" t="s">
        <v>46</v>
      </c>
      <c r="AC1464" t="s">
        <v>47</v>
      </c>
      <c r="AD1464" t="s">
        <v>46</v>
      </c>
      <c r="AE1464" t="s">
        <v>47</v>
      </c>
      <c r="AF1464" t="s">
        <v>47</v>
      </c>
      <c r="AG1464" t="s">
        <v>52</v>
      </c>
      <c r="AH1464" t="s">
        <v>53</v>
      </c>
      <c r="AI1464" t="s">
        <v>87</v>
      </c>
      <c r="AJ1464">
        <v>2.8</v>
      </c>
      <c r="AK1464" t="s">
        <v>47</v>
      </c>
      <c r="AL1464" t="s">
        <v>55</v>
      </c>
      <c r="AM1464" t="s">
        <v>103</v>
      </c>
      <c r="AN1464">
        <v>23</v>
      </c>
      <c r="AO1464" t="s">
        <v>47</v>
      </c>
    </row>
    <row r="1465" spans="1:41">
      <c r="A1465" t="s">
        <v>1617</v>
      </c>
      <c r="B1465">
        <v>2020</v>
      </c>
      <c r="C1465" s="1">
        <v>43904</v>
      </c>
      <c r="D1465" t="s">
        <v>42</v>
      </c>
      <c r="E1465" t="s">
        <v>210</v>
      </c>
      <c r="F1465">
        <v>78</v>
      </c>
      <c r="G1465" t="s">
        <v>60</v>
      </c>
      <c r="H1465" t="s">
        <v>70</v>
      </c>
      <c r="I1465">
        <v>0</v>
      </c>
      <c r="J1465">
        <v>0</v>
      </c>
      <c r="K1465" t="s">
        <v>46</v>
      </c>
      <c r="L1465" t="s">
        <v>47</v>
      </c>
      <c r="M1465" t="s">
        <v>46</v>
      </c>
      <c r="N1465" t="s">
        <v>62</v>
      </c>
      <c r="O1465" t="s">
        <v>48</v>
      </c>
      <c r="P1465">
        <v>27.1</v>
      </c>
      <c r="Q1465" t="s">
        <v>62</v>
      </c>
      <c r="R1465" t="s">
        <v>47</v>
      </c>
      <c r="S1465" t="s">
        <v>47</v>
      </c>
      <c r="T1465" t="s">
        <v>47</v>
      </c>
      <c r="U1465" t="s">
        <v>47</v>
      </c>
      <c r="V1465" t="s">
        <v>92</v>
      </c>
      <c r="W1465" t="s">
        <v>46</v>
      </c>
      <c r="X1465" t="s">
        <v>47</v>
      </c>
      <c r="Y1465" t="s">
        <v>47</v>
      </c>
      <c r="Z1465" t="s">
        <v>47</v>
      </c>
      <c r="AA1465" t="s">
        <v>47</v>
      </c>
      <c r="AB1465" t="s">
        <v>47</v>
      </c>
      <c r="AC1465" t="s">
        <v>47</v>
      </c>
      <c r="AD1465" t="s">
        <v>46</v>
      </c>
      <c r="AE1465" t="s">
        <v>47</v>
      </c>
      <c r="AF1465" t="s">
        <v>47</v>
      </c>
      <c r="AG1465" t="s">
        <v>52</v>
      </c>
      <c r="AH1465" t="s">
        <v>71</v>
      </c>
      <c r="AI1465" t="s">
        <v>65</v>
      </c>
      <c r="AJ1465">
        <v>1.2</v>
      </c>
      <c r="AK1465" t="s">
        <v>47</v>
      </c>
      <c r="AL1465" t="s">
        <v>76</v>
      </c>
      <c r="AM1465" t="s">
        <v>73</v>
      </c>
      <c r="AN1465">
        <v>36</v>
      </c>
      <c r="AO1465" t="s">
        <v>46</v>
      </c>
    </row>
    <row r="1466" spans="1:41">
      <c r="A1466" t="s">
        <v>1618</v>
      </c>
      <c r="B1466">
        <v>2023</v>
      </c>
      <c r="C1466" s="1">
        <v>45119</v>
      </c>
      <c r="D1466" t="s">
        <v>58</v>
      </c>
      <c r="E1466" t="s">
        <v>220</v>
      </c>
      <c r="F1466">
        <v>48</v>
      </c>
      <c r="G1466" t="s">
        <v>44</v>
      </c>
      <c r="H1466" t="s">
        <v>70</v>
      </c>
      <c r="I1466">
        <v>0</v>
      </c>
      <c r="J1466">
        <v>0</v>
      </c>
      <c r="K1466" t="s">
        <v>46</v>
      </c>
      <c r="L1466" t="s">
        <v>47</v>
      </c>
      <c r="M1466" t="s">
        <v>46</v>
      </c>
      <c r="N1466" t="s">
        <v>48</v>
      </c>
      <c r="O1466" t="s">
        <v>49</v>
      </c>
      <c r="P1466">
        <v>23.9</v>
      </c>
      <c r="Q1466" t="s">
        <v>50</v>
      </c>
      <c r="R1466" t="s">
        <v>47</v>
      </c>
      <c r="S1466" t="s">
        <v>47</v>
      </c>
      <c r="T1466" t="s">
        <v>47</v>
      </c>
      <c r="U1466" t="s">
        <v>47</v>
      </c>
      <c r="V1466" t="s">
        <v>86</v>
      </c>
      <c r="W1466" t="s">
        <v>47</v>
      </c>
      <c r="X1466" t="s">
        <v>46</v>
      </c>
      <c r="Y1466" t="s">
        <v>47</v>
      </c>
      <c r="Z1466" t="s">
        <v>47</v>
      </c>
      <c r="AA1466" t="s">
        <v>46</v>
      </c>
      <c r="AB1466" t="s">
        <v>47</v>
      </c>
      <c r="AC1466" t="s">
        <v>47</v>
      </c>
      <c r="AD1466" t="s">
        <v>46</v>
      </c>
      <c r="AE1466" t="s">
        <v>47</v>
      </c>
      <c r="AF1466" t="s">
        <v>47</v>
      </c>
      <c r="AG1466" t="s">
        <v>52</v>
      </c>
      <c r="AH1466" t="s">
        <v>90</v>
      </c>
      <c r="AI1466" t="s">
        <v>87</v>
      </c>
      <c r="AJ1466">
        <v>3.2</v>
      </c>
      <c r="AK1466" t="s">
        <v>47</v>
      </c>
      <c r="AL1466" t="s">
        <v>76</v>
      </c>
      <c r="AM1466" t="s">
        <v>73</v>
      </c>
      <c r="AN1466">
        <v>47</v>
      </c>
      <c r="AO1466" t="s">
        <v>46</v>
      </c>
    </row>
    <row r="1467" spans="1:41">
      <c r="A1467" t="s">
        <v>1619</v>
      </c>
      <c r="B1467">
        <v>2019</v>
      </c>
      <c r="C1467" s="1">
        <v>43650</v>
      </c>
      <c r="D1467" t="s">
        <v>95</v>
      </c>
      <c r="E1467" t="s">
        <v>96</v>
      </c>
      <c r="F1467">
        <v>84</v>
      </c>
      <c r="G1467" t="s">
        <v>60</v>
      </c>
      <c r="H1467" t="s">
        <v>70</v>
      </c>
      <c r="I1467">
        <v>0</v>
      </c>
      <c r="J1467">
        <v>0</v>
      </c>
      <c r="K1467" t="s">
        <v>47</v>
      </c>
      <c r="L1467" t="s">
        <v>47</v>
      </c>
      <c r="M1467" t="s">
        <v>47</v>
      </c>
      <c r="N1467" t="s">
        <v>48</v>
      </c>
      <c r="O1467" t="s">
        <v>49</v>
      </c>
      <c r="P1467">
        <v>26.6</v>
      </c>
      <c r="Q1467" t="s">
        <v>50</v>
      </c>
      <c r="R1467" t="s">
        <v>47</v>
      </c>
      <c r="S1467" t="s">
        <v>47</v>
      </c>
      <c r="T1467" t="s">
        <v>47</v>
      </c>
      <c r="U1467" t="s">
        <v>47</v>
      </c>
      <c r="V1467" t="s">
        <v>92</v>
      </c>
      <c r="W1467" t="s">
        <v>47</v>
      </c>
      <c r="X1467" t="s">
        <v>47</v>
      </c>
      <c r="Y1467" t="s">
        <v>47</v>
      </c>
      <c r="Z1467" t="s">
        <v>47</v>
      </c>
      <c r="AA1467" t="s">
        <v>47</v>
      </c>
      <c r="AB1467" t="s">
        <v>47</v>
      </c>
      <c r="AC1467" t="s">
        <v>47</v>
      </c>
      <c r="AD1467" t="s">
        <v>47</v>
      </c>
      <c r="AE1467" t="s">
        <v>47</v>
      </c>
      <c r="AF1467" t="s">
        <v>46</v>
      </c>
      <c r="AG1467" t="s">
        <v>52</v>
      </c>
      <c r="AH1467" t="s">
        <v>71</v>
      </c>
      <c r="AI1467" t="s">
        <v>65</v>
      </c>
      <c r="AJ1467">
        <v>2.6</v>
      </c>
      <c r="AK1467" t="s">
        <v>47</v>
      </c>
      <c r="AL1467" t="s">
        <v>76</v>
      </c>
      <c r="AM1467" t="s">
        <v>73</v>
      </c>
      <c r="AN1467">
        <v>51</v>
      </c>
      <c r="AO1467" t="s">
        <v>46</v>
      </c>
    </row>
    <row r="1468" spans="1:41">
      <c r="A1468" t="s">
        <v>1620</v>
      </c>
      <c r="B1468">
        <v>2021</v>
      </c>
      <c r="C1468" s="1">
        <v>44490</v>
      </c>
      <c r="D1468" t="s">
        <v>42</v>
      </c>
      <c r="E1468" t="s">
        <v>160</v>
      </c>
      <c r="F1468">
        <v>55</v>
      </c>
      <c r="G1468" t="s">
        <v>44</v>
      </c>
      <c r="H1468" t="s">
        <v>45</v>
      </c>
      <c r="I1468">
        <v>20</v>
      </c>
      <c r="J1468">
        <v>37</v>
      </c>
      <c r="K1468" t="s">
        <v>47</v>
      </c>
      <c r="L1468" t="s">
        <v>46</v>
      </c>
      <c r="M1468" t="s">
        <v>46</v>
      </c>
      <c r="N1468" t="s">
        <v>48</v>
      </c>
      <c r="O1468" t="s">
        <v>48</v>
      </c>
      <c r="P1468">
        <v>22.9</v>
      </c>
      <c r="Q1468" t="s">
        <v>48</v>
      </c>
      <c r="R1468" t="s">
        <v>46</v>
      </c>
      <c r="S1468" t="s">
        <v>46</v>
      </c>
      <c r="T1468" t="s">
        <v>47</v>
      </c>
      <c r="U1468" t="s">
        <v>47</v>
      </c>
      <c r="V1468" t="s">
        <v>64</v>
      </c>
      <c r="W1468" t="s">
        <v>46</v>
      </c>
      <c r="X1468" t="s">
        <v>46</v>
      </c>
      <c r="Y1468" t="s">
        <v>46</v>
      </c>
      <c r="Z1468" t="s">
        <v>47</v>
      </c>
      <c r="AA1468" t="s">
        <v>46</v>
      </c>
      <c r="AB1468" t="s">
        <v>47</v>
      </c>
      <c r="AC1468" t="s">
        <v>47</v>
      </c>
      <c r="AD1468" t="s">
        <v>47</v>
      </c>
      <c r="AE1468" t="s">
        <v>47</v>
      </c>
      <c r="AF1468" t="s">
        <v>47</v>
      </c>
      <c r="AG1468" t="s">
        <v>52</v>
      </c>
      <c r="AH1468" t="s">
        <v>71</v>
      </c>
      <c r="AI1468" t="s">
        <v>65</v>
      </c>
      <c r="AJ1468">
        <v>0.9</v>
      </c>
      <c r="AK1468" t="s">
        <v>47</v>
      </c>
      <c r="AL1468" t="s">
        <v>72</v>
      </c>
      <c r="AM1468" t="s">
        <v>73</v>
      </c>
      <c r="AN1468">
        <v>71</v>
      </c>
      <c r="AO1468" t="s">
        <v>47</v>
      </c>
    </row>
    <row r="1469" spans="1:41">
      <c r="A1469" t="s">
        <v>1621</v>
      </c>
      <c r="B1469">
        <v>2023</v>
      </c>
      <c r="C1469" s="1">
        <v>45000</v>
      </c>
      <c r="D1469" t="s">
        <v>58</v>
      </c>
      <c r="E1469" t="s">
        <v>169</v>
      </c>
      <c r="F1469">
        <v>71</v>
      </c>
      <c r="G1469" t="s">
        <v>60</v>
      </c>
      <c r="H1469" t="s">
        <v>70</v>
      </c>
      <c r="I1469">
        <v>0</v>
      </c>
      <c r="J1469">
        <v>0</v>
      </c>
      <c r="K1469" t="s">
        <v>47</v>
      </c>
      <c r="L1469" t="s">
        <v>47</v>
      </c>
      <c r="M1469" t="s">
        <v>47</v>
      </c>
      <c r="N1469" t="s">
        <v>62</v>
      </c>
      <c r="O1469" t="s">
        <v>48</v>
      </c>
      <c r="P1469">
        <v>27.1</v>
      </c>
      <c r="Q1469" t="s">
        <v>48</v>
      </c>
      <c r="R1469" t="s">
        <v>47</v>
      </c>
      <c r="S1469" t="s">
        <v>47</v>
      </c>
      <c r="T1469" t="s">
        <v>47</v>
      </c>
      <c r="U1469" t="s">
        <v>47</v>
      </c>
      <c r="V1469" t="s">
        <v>64</v>
      </c>
      <c r="W1469" t="s">
        <v>47</v>
      </c>
      <c r="X1469" t="s">
        <v>47</v>
      </c>
      <c r="Y1469" t="s">
        <v>46</v>
      </c>
      <c r="Z1469" t="s">
        <v>46</v>
      </c>
      <c r="AA1469" t="s">
        <v>47</v>
      </c>
      <c r="AB1469" t="s">
        <v>47</v>
      </c>
      <c r="AC1469" t="s">
        <v>46</v>
      </c>
      <c r="AD1469" t="s">
        <v>47</v>
      </c>
      <c r="AE1469" t="s">
        <v>47</v>
      </c>
      <c r="AF1469" t="s">
        <v>47</v>
      </c>
      <c r="AG1469" t="s">
        <v>52</v>
      </c>
      <c r="AH1469" t="s">
        <v>53</v>
      </c>
      <c r="AI1469" t="s">
        <v>54</v>
      </c>
      <c r="AJ1469">
        <v>9</v>
      </c>
      <c r="AK1469" t="s">
        <v>46</v>
      </c>
      <c r="AL1469" t="s">
        <v>55</v>
      </c>
      <c r="AM1469" t="s">
        <v>118</v>
      </c>
      <c r="AN1469">
        <v>14</v>
      </c>
      <c r="AO1469" t="s">
        <v>47</v>
      </c>
    </row>
    <row r="1470" spans="1:41">
      <c r="A1470" t="s">
        <v>1622</v>
      </c>
      <c r="B1470">
        <v>2020</v>
      </c>
      <c r="C1470" s="1">
        <v>43840</v>
      </c>
      <c r="D1470" t="s">
        <v>95</v>
      </c>
      <c r="E1470" t="s">
        <v>114</v>
      </c>
      <c r="F1470">
        <v>42</v>
      </c>
      <c r="G1470" t="s">
        <v>60</v>
      </c>
      <c r="H1470" t="s">
        <v>45</v>
      </c>
      <c r="I1470">
        <v>7</v>
      </c>
      <c r="J1470">
        <v>15</v>
      </c>
      <c r="K1470" t="s">
        <v>47</v>
      </c>
      <c r="L1470" t="s">
        <v>46</v>
      </c>
      <c r="M1470" t="s">
        <v>47</v>
      </c>
      <c r="N1470" t="s">
        <v>48</v>
      </c>
      <c r="O1470" t="s">
        <v>48</v>
      </c>
      <c r="P1470">
        <v>31.9</v>
      </c>
      <c r="Q1470" t="s">
        <v>48</v>
      </c>
      <c r="R1470" t="s">
        <v>47</v>
      </c>
      <c r="S1470" t="s">
        <v>47</v>
      </c>
      <c r="T1470" t="s">
        <v>47</v>
      </c>
      <c r="U1470" t="s">
        <v>47</v>
      </c>
      <c r="V1470" t="s">
        <v>128</v>
      </c>
      <c r="W1470" t="s">
        <v>46</v>
      </c>
      <c r="X1470" t="s">
        <v>46</v>
      </c>
      <c r="Y1470" t="s">
        <v>46</v>
      </c>
      <c r="Z1470" t="s">
        <v>46</v>
      </c>
      <c r="AA1470" t="s">
        <v>46</v>
      </c>
      <c r="AB1470" t="s">
        <v>46</v>
      </c>
      <c r="AC1470" t="s">
        <v>46</v>
      </c>
      <c r="AD1470" t="s">
        <v>46</v>
      </c>
      <c r="AE1470" t="s">
        <v>47</v>
      </c>
      <c r="AF1470" t="s">
        <v>47</v>
      </c>
      <c r="AG1470" t="s">
        <v>52</v>
      </c>
      <c r="AH1470" t="s">
        <v>90</v>
      </c>
      <c r="AI1470" t="s">
        <v>54</v>
      </c>
      <c r="AJ1470">
        <v>7.3</v>
      </c>
      <c r="AK1470" t="s">
        <v>46</v>
      </c>
      <c r="AL1470" t="s">
        <v>156</v>
      </c>
      <c r="AM1470" t="s">
        <v>77</v>
      </c>
      <c r="AN1470">
        <v>8</v>
      </c>
      <c r="AO1470" t="s">
        <v>47</v>
      </c>
    </row>
    <row r="1471" spans="1:41">
      <c r="A1471" t="s">
        <v>1623</v>
      </c>
      <c r="B1471">
        <v>2018</v>
      </c>
      <c r="C1471" s="1">
        <v>43260</v>
      </c>
      <c r="D1471" t="s">
        <v>42</v>
      </c>
      <c r="E1471" t="s">
        <v>69</v>
      </c>
      <c r="F1471">
        <v>58</v>
      </c>
      <c r="G1471" t="s">
        <v>60</v>
      </c>
      <c r="H1471" t="s">
        <v>70</v>
      </c>
      <c r="I1471">
        <v>0</v>
      </c>
      <c r="J1471">
        <v>0</v>
      </c>
      <c r="K1471" t="s">
        <v>47</v>
      </c>
      <c r="L1471" t="s">
        <v>47</v>
      </c>
      <c r="M1471" t="s">
        <v>47</v>
      </c>
      <c r="N1471" t="s">
        <v>62</v>
      </c>
      <c r="O1471" t="s">
        <v>48</v>
      </c>
      <c r="P1471">
        <v>25.9</v>
      </c>
      <c r="Q1471" t="s">
        <v>48</v>
      </c>
      <c r="R1471" t="s">
        <v>47</v>
      </c>
      <c r="S1471" t="s">
        <v>47</v>
      </c>
      <c r="T1471" t="s">
        <v>47</v>
      </c>
      <c r="U1471" t="s">
        <v>47</v>
      </c>
      <c r="V1471" t="s">
        <v>86</v>
      </c>
      <c r="W1471" t="s">
        <v>47</v>
      </c>
      <c r="X1471" t="s">
        <v>47</v>
      </c>
      <c r="Y1471" t="s">
        <v>46</v>
      </c>
      <c r="Z1471" t="s">
        <v>47</v>
      </c>
      <c r="AA1471" t="s">
        <v>46</v>
      </c>
      <c r="AB1471" t="s">
        <v>47</v>
      </c>
      <c r="AC1471" t="s">
        <v>47</v>
      </c>
      <c r="AD1471" t="s">
        <v>47</v>
      </c>
      <c r="AE1471" t="s">
        <v>47</v>
      </c>
      <c r="AF1471" t="s">
        <v>47</v>
      </c>
      <c r="AG1471" t="s">
        <v>52</v>
      </c>
      <c r="AH1471" t="s">
        <v>90</v>
      </c>
      <c r="AI1471" t="s">
        <v>65</v>
      </c>
      <c r="AJ1471">
        <v>2.5</v>
      </c>
      <c r="AK1471" t="s">
        <v>47</v>
      </c>
      <c r="AL1471" t="s">
        <v>72</v>
      </c>
      <c r="AM1471" t="s">
        <v>73</v>
      </c>
      <c r="AN1471">
        <v>58</v>
      </c>
      <c r="AO1471" t="s">
        <v>46</v>
      </c>
    </row>
    <row r="1472" spans="1:41">
      <c r="A1472" t="s">
        <v>1624</v>
      </c>
      <c r="B1472">
        <v>2017</v>
      </c>
      <c r="C1472" s="1">
        <v>42777</v>
      </c>
      <c r="D1472" t="s">
        <v>84</v>
      </c>
      <c r="E1472" t="s">
        <v>182</v>
      </c>
      <c r="F1472">
        <v>76</v>
      </c>
      <c r="G1472" t="s">
        <v>60</v>
      </c>
      <c r="H1472" t="s">
        <v>70</v>
      </c>
      <c r="I1472">
        <v>0</v>
      </c>
      <c r="J1472">
        <v>0</v>
      </c>
      <c r="K1472" t="s">
        <v>47</v>
      </c>
      <c r="L1472" t="s">
        <v>47</v>
      </c>
      <c r="M1472" t="s">
        <v>46</v>
      </c>
      <c r="N1472" t="s">
        <v>62</v>
      </c>
      <c r="O1472" t="s">
        <v>63</v>
      </c>
      <c r="P1472">
        <v>28.4</v>
      </c>
      <c r="Q1472" t="s">
        <v>48</v>
      </c>
      <c r="R1472" t="s">
        <v>47</v>
      </c>
      <c r="S1472" t="s">
        <v>47</v>
      </c>
      <c r="T1472" t="s">
        <v>47</v>
      </c>
      <c r="U1472" t="s">
        <v>47</v>
      </c>
      <c r="V1472" t="s">
        <v>86</v>
      </c>
      <c r="W1472" t="s">
        <v>47</v>
      </c>
      <c r="X1472" t="s">
        <v>46</v>
      </c>
      <c r="Y1472" t="s">
        <v>46</v>
      </c>
      <c r="Z1472" t="s">
        <v>47</v>
      </c>
      <c r="AA1472" t="s">
        <v>46</v>
      </c>
      <c r="AB1472" t="s">
        <v>46</v>
      </c>
      <c r="AC1472" t="s">
        <v>47</v>
      </c>
      <c r="AD1472" t="s">
        <v>47</v>
      </c>
      <c r="AE1472" t="s">
        <v>47</v>
      </c>
      <c r="AF1472" t="s">
        <v>47</v>
      </c>
      <c r="AG1472" t="s">
        <v>52</v>
      </c>
      <c r="AH1472" t="s">
        <v>53</v>
      </c>
      <c r="AI1472" t="s">
        <v>87</v>
      </c>
      <c r="AJ1472">
        <v>2.9</v>
      </c>
      <c r="AK1472" t="s">
        <v>47</v>
      </c>
      <c r="AL1472" t="s">
        <v>81</v>
      </c>
      <c r="AM1472" t="s">
        <v>118</v>
      </c>
      <c r="AN1472">
        <v>22</v>
      </c>
      <c r="AO1472" t="s">
        <v>46</v>
      </c>
    </row>
    <row r="1473" spans="1:41">
      <c r="A1473" t="s">
        <v>1625</v>
      </c>
      <c r="B1473">
        <v>2018</v>
      </c>
      <c r="C1473" s="1">
        <v>43287</v>
      </c>
      <c r="D1473" t="s">
        <v>42</v>
      </c>
      <c r="E1473" t="s">
        <v>69</v>
      </c>
      <c r="F1473">
        <v>66</v>
      </c>
      <c r="G1473" t="s">
        <v>44</v>
      </c>
      <c r="H1473" t="s">
        <v>70</v>
      </c>
      <c r="I1473">
        <v>0</v>
      </c>
      <c r="J1473">
        <v>0</v>
      </c>
      <c r="K1473" t="s">
        <v>46</v>
      </c>
      <c r="L1473" t="s">
        <v>47</v>
      </c>
      <c r="M1473" t="s">
        <v>47</v>
      </c>
      <c r="N1473" t="s">
        <v>62</v>
      </c>
      <c r="O1473" t="s">
        <v>63</v>
      </c>
      <c r="P1473">
        <v>24.2</v>
      </c>
      <c r="Q1473" t="s">
        <v>48</v>
      </c>
      <c r="R1473" t="s">
        <v>47</v>
      </c>
      <c r="S1473" t="s">
        <v>47</v>
      </c>
      <c r="T1473" t="s">
        <v>47</v>
      </c>
      <c r="U1473" t="s">
        <v>47</v>
      </c>
      <c r="V1473" t="s">
        <v>86</v>
      </c>
      <c r="W1473" t="s">
        <v>47</v>
      </c>
      <c r="X1473" t="s">
        <v>47</v>
      </c>
      <c r="Y1473" t="s">
        <v>47</v>
      </c>
      <c r="Z1473" t="s">
        <v>47</v>
      </c>
      <c r="AA1473" t="s">
        <v>47</v>
      </c>
      <c r="AB1473" t="s">
        <v>46</v>
      </c>
      <c r="AC1473" t="s">
        <v>47</v>
      </c>
      <c r="AD1473" t="s">
        <v>46</v>
      </c>
      <c r="AE1473" t="s">
        <v>47</v>
      </c>
      <c r="AF1473" t="s">
        <v>47</v>
      </c>
      <c r="AG1473" t="s">
        <v>52</v>
      </c>
      <c r="AH1473" t="s">
        <v>71</v>
      </c>
      <c r="AI1473" t="s">
        <v>87</v>
      </c>
      <c r="AJ1473">
        <v>3.4</v>
      </c>
      <c r="AK1473" t="s">
        <v>47</v>
      </c>
      <c r="AL1473" t="s">
        <v>66</v>
      </c>
      <c r="AM1473" t="s">
        <v>118</v>
      </c>
      <c r="AN1473">
        <v>33</v>
      </c>
      <c r="AO1473" t="s">
        <v>47</v>
      </c>
    </row>
    <row r="1474" spans="1:41">
      <c r="A1474" t="s">
        <v>1626</v>
      </c>
      <c r="B1474">
        <v>2020</v>
      </c>
      <c r="C1474" s="1">
        <v>44077</v>
      </c>
      <c r="D1474" t="s">
        <v>95</v>
      </c>
      <c r="E1474" t="s">
        <v>107</v>
      </c>
      <c r="F1474">
        <v>64</v>
      </c>
      <c r="G1474" t="s">
        <v>60</v>
      </c>
      <c r="H1474" t="s">
        <v>70</v>
      </c>
      <c r="I1474">
        <v>0</v>
      </c>
      <c r="J1474">
        <v>0</v>
      </c>
      <c r="K1474" t="s">
        <v>47</v>
      </c>
      <c r="L1474" t="s">
        <v>47</v>
      </c>
      <c r="M1474" t="s">
        <v>47</v>
      </c>
      <c r="N1474" t="s">
        <v>48</v>
      </c>
      <c r="O1474" t="s">
        <v>63</v>
      </c>
      <c r="P1474">
        <v>36.5</v>
      </c>
      <c r="Q1474" t="s">
        <v>50</v>
      </c>
      <c r="R1474" t="s">
        <v>47</v>
      </c>
      <c r="S1474" t="s">
        <v>47</v>
      </c>
      <c r="T1474" t="s">
        <v>47</v>
      </c>
      <c r="U1474" t="s">
        <v>47</v>
      </c>
      <c r="V1474" t="s">
        <v>171</v>
      </c>
      <c r="W1474" t="s">
        <v>47</v>
      </c>
      <c r="X1474" t="s">
        <v>47</v>
      </c>
      <c r="Y1474" t="s">
        <v>47</v>
      </c>
      <c r="Z1474" t="s">
        <v>47</v>
      </c>
      <c r="AA1474" t="s">
        <v>47</v>
      </c>
      <c r="AB1474" t="s">
        <v>47</v>
      </c>
      <c r="AC1474" t="s">
        <v>47</v>
      </c>
      <c r="AD1474" t="s">
        <v>47</v>
      </c>
      <c r="AE1474" t="s">
        <v>46</v>
      </c>
      <c r="AF1474" t="s">
        <v>47</v>
      </c>
      <c r="AG1474" t="s">
        <v>52</v>
      </c>
      <c r="AH1474" t="s">
        <v>53</v>
      </c>
      <c r="AI1474" t="s">
        <v>87</v>
      </c>
      <c r="AJ1474">
        <v>4.5999999999999996</v>
      </c>
      <c r="AK1474" t="s">
        <v>47</v>
      </c>
      <c r="AL1474" t="s">
        <v>156</v>
      </c>
      <c r="AM1474" t="s">
        <v>67</v>
      </c>
      <c r="AN1474">
        <v>20</v>
      </c>
      <c r="AO1474" t="s">
        <v>47</v>
      </c>
    </row>
    <row r="1475" spans="1:41">
      <c r="A1475" t="s">
        <v>1627</v>
      </c>
      <c r="B1475">
        <v>2023</v>
      </c>
      <c r="C1475" s="1">
        <v>45219</v>
      </c>
      <c r="D1475" t="s">
        <v>84</v>
      </c>
      <c r="E1475" t="s">
        <v>571</v>
      </c>
      <c r="F1475">
        <v>65</v>
      </c>
      <c r="G1475" t="s">
        <v>60</v>
      </c>
      <c r="H1475" t="s">
        <v>70</v>
      </c>
      <c r="I1475">
        <v>0</v>
      </c>
      <c r="J1475">
        <v>0</v>
      </c>
      <c r="K1475" t="s">
        <v>46</v>
      </c>
      <c r="L1475" t="s">
        <v>47</v>
      </c>
      <c r="M1475" t="s">
        <v>46</v>
      </c>
      <c r="N1475" t="s">
        <v>48</v>
      </c>
      <c r="O1475" t="s">
        <v>63</v>
      </c>
      <c r="P1475">
        <v>29.7</v>
      </c>
      <c r="Q1475" t="s">
        <v>50</v>
      </c>
      <c r="R1475" t="s">
        <v>47</v>
      </c>
      <c r="S1475" t="s">
        <v>47</v>
      </c>
      <c r="T1475" t="s">
        <v>47</v>
      </c>
      <c r="U1475" t="s">
        <v>47</v>
      </c>
      <c r="V1475" t="s">
        <v>51</v>
      </c>
      <c r="W1475" t="s">
        <v>47</v>
      </c>
      <c r="X1475" t="s">
        <v>46</v>
      </c>
      <c r="Y1475" t="s">
        <v>47</v>
      </c>
      <c r="Z1475" t="s">
        <v>47</v>
      </c>
      <c r="AA1475" t="s">
        <v>46</v>
      </c>
      <c r="AB1475" t="s">
        <v>46</v>
      </c>
      <c r="AC1475" t="s">
        <v>47</v>
      </c>
      <c r="AD1475" t="s">
        <v>47</v>
      </c>
      <c r="AE1475" t="s">
        <v>47</v>
      </c>
      <c r="AF1475" t="s">
        <v>47</v>
      </c>
      <c r="AG1475" t="s">
        <v>52</v>
      </c>
      <c r="AH1475" t="s">
        <v>53</v>
      </c>
      <c r="AI1475" t="s">
        <v>80</v>
      </c>
      <c r="AJ1475">
        <v>4.9000000000000004</v>
      </c>
      <c r="AK1475" t="s">
        <v>47</v>
      </c>
      <c r="AL1475" t="s">
        <v>100</v>
      </c>
      <c r="AM1475" t="s">
        <v>77</v>
      </c>
      <c r="AN1475">
        <v>23</v>
      </c>
      <c r="AO1475" t="s">
        <v>47</v>
      </c>
    </row>
    <row r="1476" spans="1:41">
      <c r="A1476" t="s">
        <v>1628</v>
      </c>
      <c r="B1476">
        <v>2016</v>
      </c>
      <c r="C1476" s="1">
        <v>42705</v>
      </c>
      <c r="D1476" t="s">
        <v>42</v>
      </c>
      <c r="E1476" t="s">
        <v>79</v>
      </c>
      <c r="F1476">
        <v>70</v>
      </c>
      <c r="G1476" t="s">
        <v>60</v>
      </c>
      <c r="H1476" t="s">
        <v>45</v>
      </c>
      <c r="I1476">
        <v>24</v>
      </c>
      <c r="J1476">
        <v>42</v>
      </c>
      <c r="K1476" t="s">
        <v>46</v>
      </c>
      <c r="L1476" t="s">
        <v>47</v>
      </c>
      <c r="M1476" t="s">
        <v>47</v>
      </c>
      <c r="N1476" t="s">
        <v>48</v>
      </c>
      <c r="O1476" t="s">
        <v>48</v>
      </c>
      <c r="P1476">
        <v>27.6</v>
      </c>
      <c r="Q1476" t="s">
        <v>48</v>
      </c>
      <c r="R1476" t="s">
        <v>47</v>
      </c>
      <c r="S1476" t="s">
        <v>47</v>
      </c>
      <c r="T1476" t="s">
        <v>46</v>
      </c>
      <c r="U1476" t="s">
        <v>47</v>
      </c>
      <c r="V1476" t="s">
        <v>51</v>
      </c>
      <c r="W1476" t="s">
        <v>47</v>
      </c>
      <c r="X1476" t="s">
        <v>46</v>
      </c>
      <c r="Y1476" t="s">
        <v>46</v>
      </c>
      <c r="Z1476" t="s">
        <v>47</v>
      </c>
      <c r="AA1476" t="s">
        <v>46</v>
      </c>
      <c r="AB1476" t="s">
        <v>47</v>
      </c>
      <c r="AC1476" t="s">
        <v>46</v>
      </c>
      <c r="AD1476" t="s">
        <v>47</v>
      </c>
      <c r="AE1476" t="s">
        <v>47</v>
      </c>
      <c r="AF1476" t="s">
        <v>47</v>
      </c>
      <c r="AG1476" t="s">
        <v>52</v>
      </c>
      <c r="AH1476" t="s">
        <v>71</v>
      </c>
      <c r="AI1476" t="s">
        <v>54</v>
      </c>
      <c r="AJ1476">
        <v>11.8</v>
      </c>
      <c r="AK1476" t="s">
        <v>46</v>
      </c>
      <c r="AL1476" t="s">
        <v>100</v>
      </c>
      <c r="AM1476" t="s">
        <v>118</v>
      </c>
      <c r="AN1476">
        <v>5</v>
      </c>
      <c r="AO1476" t="s">
        <v>47</v>
      </c>
    </row>
    <row r="1477" spans="1:41">
      <c r="A1477" t="s">
        <v>1629</v>
      </c>
      <c r="B1477">
        <v>2019</v>
      </c>
      <c r="C1477" s="1">
        <v>43775</v>
      </c>
      <c r="D1477" t="s">
        <v>110</v>
      </c>
      <c r="E1477" t="s">
        <v>124</v>
      </c>
      <c r="F1477">
        <v>55</v>
      </c>
      <c r="G1477" t="s">
        <v>60</v>
      </c>
      <c r="H1477" t="s">
        <v>45</v>
      </c>
      <c r="I1477">
        <v>44</v>
      </c>
      <c r="J1477">
        <v>24</v>
      </c>
      <c r="K1477" t="s">
        <v>47</v>
      </c>
      <c r="L1477" t="s">
        <v>46</v>
      </c>
      <c r="M1477" t="s">
        <v>47</v>
      </c>
      <c r="N1477" t="s">
        <v>62</v>
      </c>
      <c r="O1477" t="s">
        <v>48</v>
      </c>
      <c r="P1477">
        <v>26.6</v>
      </c>
      <c r="Q1477" t="s">
        <v>50</v>
      </c>
      <c r="R1477" t="s">
        <v>46</v>
      </c>
      <c r="S1477" t="s">
        <v>47</v>
      </c>
      <c r="T1477" t="s">
        <v>47</v>
      </c>
      <c r="U1477" t="s">
        <v>47</v>
      </c>
      <c r="V1477" t="s">
        <v>86</v>
      </c>
      <c r="W1477" t="s">
        <v>46</v>
      </c>
      <c r="X1477" t="s">
        <v>47</v>
      </c>
      <c r="Y1477" t="s">
        <v>46</v>
      </c>
      <c r="Z1477" t="s">
        <v>47</v>
      </c>
      <c r="AA1477" t="s">
        <v>46</v>
      </c>
      <c r="AB1477" t="s">
        <v>46</v>
      </c>
      <c r="AC1477" t="s">
        <v>47</v>
      </c>
      <c r="AD1477" t="s">
        <v>47</v>
      </c>
      <c r="AE1477" t="s">
        <v>47</v>
      </c>
      <c r="AF1477" t="s">
        <v>47</v>
      </c>
      <c r="AG1477" t="s">
        <v>52</v>
      </c>
      <c r="AH1477" t="s">
        <v>53</v>
      </c>
      <c r="AI1477" t="s">
        <v>54</v>
      </c>
      <c r="AJ1477">
        <v>5</v>
      </c>
      <c r="AK1477" t="s">
        <v>46</v>
      </c>
      <c r="AL1477" t="s">
        <v>81</v>
      </c>
      <c r="AM1477" t="s">
        <v>82</v>
      </c>
      <c r="AN1477">
        <v>1</v>
      </c>
      <c r="AO1477" t="s">
        <v>47</v>
      </c>
    </row>
    <row r="1478" spans="1:41">
      <c r="A1478" t="s">
        <v>1630</v>
      </c>
      <c r="B1478">
        <v>2025</v>
      </c>
      <c r="C1478" s="1">
        <v>45844</v>
      </c>
      <c r="D1478" t="s">
        <v>110</v>
      </c>
      <c r="E1478" t="s">
        <v>177</v>
      </c>
      <c r="F1478">
        <v>53</v>
      </c>
      <c r="G1478" t="s">
        <v>60</v>
      </c>
      <c r="H1478" t="s">
        <v>45</v>
      </c>
      <c r="I1478">
        <v>37</v>
      </c>
      <c r="J1478">
        <v>24</v>
      </c>
      <c r="K1478" t="s">
        <v>47</v>
      </c>
      <c r="L1478" t="s">
        <v>47</v>
      </c>
      <c r="M1478" t="s">
        <v>47</v>
      </c>
      <c r="N1478" t="s">
        <v>62</v>
      </c>
      <c r="O1478" t="s">
        <v>48</v>
      </c>
      <c r="P1478">
        <v>27.9</v>
      </c>
      <c r="Q1478" t="s">
        <v>62</v>
      </c>
      <c r="R1478" t="s">
        <v>47</v>
      </c>
      <c r="S1478" t="s">
        <v>47</v>
      </c>
      <c r="T1478" t="s">
        <v>47</v>
      </c>
      <c r="U1478" t="s">
        <v>47</v>
      </c>
      <c r="V1478" t="s">
        <v>86</v>
      </c>
      <c r="W1478" t="s">
        <v>46</v>
      </c>
      <c r="X1478" t="s">
        <v>46</v>
      </c>
      <c r="Y1478" t="s">
        <v>46</v>
      </c>
      <c r="Z1478" t="s">
        <v>46</v>
      </c>
      <c r="AA1478" t="s">
        <v>46</v>
      </c>
      <c r="AB1478" t="s">
        <v>47</v>
      </c>
      <c r="AC1478" t="s">
        <v>46</v>
      </c>
      <c r="AD1478" t="s">
        <v>47</v>
      </c>
      <c r="AE1478" t="s">
        <v>47</v>
      </c>
      <c r="AF1478" t="s">
        <v>46</v>
      </c>
      <c r="AG1478" t="s">
        <v>52</v>
      </c>
      <c r="AH1478" t="s">
        <v>53</v>
      </c>
      <c r="AI1478" t="s">
        <v>65</v>
      </c>
      <c r="AJ1478">
        <v>1.6</v>
      </c>
      <c r="AK1478" t="s">
        <v>47</v>
      </c>
      <c r="AL1478" t="s">
        <v>100</v>
      </c>
      <c r="AM1478" t="s">
        <v>118</v>
      </c>
      <c r="AN1478">
        <v>67</v>
      </c>
      <c r="AO1478" t="s">
        <v>47</v>
      </c>
    </row>
    <row r="1479" spans="1:41">
      <c r="A1479" t="s">
        <v>1631</v>
      </c>
      <c r="B1479">
        <v>2018</v>
      </c>
      <c r="C1479" s="1">
        <v>43142</v>
      </c>
      <c r="D1479" t="s">
        <v>95</v>
      </c>
      <c r="E1479" t="s">
        <v>132</v>
      </c>
      <c r="F1479">
        <v>70</v>
      </c>
      <c r="G1479" t="s">
        <v>60</v>
      </c>
      <c r="H1479" t="s">
        <v>45</v>
      </c>
      <c r="I1479">
        <v>12</v>
      </c>
      <c r="J1479">
        <v>48</v>
      </c>
      <c r="K1479" t="s">
        <v>46</v>
      </c>
      <c r="L1479" t="s">
        <v>47</v>
      </c>
      <c r="M1479" t="s">
        <v>47</v>
      </c>
      <c r="N1479" t="s">
        <v>48</v>
      </c>
      <c r="O1479" t="s">
        <v>48</v>
      </c>
      <c r="P1479">
        <v>24.5</v>
      </c>
      <c r="Q1479" t="s">
        <v>62</v>
      </c>
      <c r="R1479" t="s">
        <v>46</v>
      </c>
      <c r="S1479" t="s">
        <v>46</v>
      </c>
      <c r="T1479" t="s">
        <v>47</v>
      </c>
      <c r="U1479" t="s">
        <v>47</v>
      </c>
      <c r="V1479" t="s">
        <v>193</v>
      </c>
      <c r="W1479" t="s">
        <v>46</v>
      </c>
      <c r="X1479" t="s">
        <v>46</v>
      </c>
      <c r="Y1479" t="s">
        <v>47</v>
      </c>
      <c r="Z1479" t="s">
        <v>47</v>
      </c>
      <c r="AA1479" t="s">
        <v>47</v>
      </c>
      <c r="AB1479" t="s">
        <v>46</v>
      </c>
      <c r="AC1479" t="s">
        <v>47</v>
      </c>
      <c r="AD1479" t="s">
        <v>47</v>
      </c>
      <c r="AE1479" t="s">
        <v>47</v>
      </c>
      <c r="AF1479" t="s">
        <v>47</v>
      </c>
      <c r="AG1479" t="s">
        <v>52</v>
      </c>
      <c r="AH1479" t="s">
        <v>53</v>
      </c>
      <c r="AI1479" t="s">
        <v>54</v>
      </c>
      <c r="AJ1479">
        <v>6.5</v>
      </c>
      <c r="AK1479" t="s">
        <v>46</v>
      </c>
      <c r="AL1479" t="s">
        <v>66</v>
      </c>
      <c r="AM1479" t="s">
        <v>118</v>
      </c>
      <c r="AN1479">
        <v>7</v>
      </c>
      <c r="AO1479" t="s">
        <v>47</v>
      </c>
    </row>
    <row r="1480" spans="1:41">
      <c r="A1480" t="s">
        <v>1632</v>
      </c>
      <c r="B1480">
        <v>2025</v>
      </c>
      <c r="C1480" s="1">
        <v>45761</v>
      </c>
      <c r="D1480" t="s">
        <v>42</v>
      </c>
      <c r="E1480" t="s">
        <v>75</v>
      </c>
      <c r="F1480">
        <v>58</v>
      </c>
      <c r="G1480" t="s">
        <v>60</v>
      </c>
      <c r="H1480" t="s">
        <v>70</v>
      </c>
      <c r="I1480">
        <v>0</v>
      </c>
      <c r="J1480">
        <v>0</v>
      </c>
      <c r="K1480" t="s">
        <v>46</v>
      </c>
      <c r="L1480" t="s">
        <v>47</v>
      </c>
      <c r="M1480" t="s">
        <v>47</v>
      </c>
      <c r="N1480" t="s">
        <v>48</v>
      </c>
      <c r="O1480" t="s">
        <v>49</v>
      </c>
      <c r="P1480">
        <v>27</v>
      </c>
      <c r="Q1480" t="s">
        <v>50</v>
      </c>
      <c r="R1480" t="s">
        <v>47</v>
      </c>
      <c r="S1480" t="s">
        <v>47</v>
      </c>
      <c r="T1480" t="s">
        <v>47</v>
      </c>
      <c r="U1480" t="s">
        <v>47</v>
      </c>
      <c r="V1480" t="s">
        <v>112</v>
      </c>
      <c r="W1480" t="s">
        <v>47</v>
      </c>
      <c r="X1480" t="s">
        <v>47</v>
      </c>
      <c r="Y1480" t="s">
        <v>46</v>
      </c>
      <c r="Z1480" t="s">
        <v>47</v>
      </c>
      <c r="AA1480" t="s">
        <v>47</v>
      </c>
      <c r="AB1480" t="s">
        <v>47</v>
      </c>
      <c r="AC1480" t="s">
        <v>46</v>
      </c>
      <c r="AD1480" t="s">
        <v>46</v>
      </c>
      <c r="AE1480" t="s">
        <v>47</v>
      </c>
      <c r="AF1480" t="s">
        <v>47</v>
      </c>
      <c r="AG1480" t="s">
        <v>121</v>
      </c>
      <c r="AH1480" t="s">
        <v>122</v>
      </c>
      <c r="AI1480" t="s">
        <v>87</v>
      </c>
      <c r="AJ1480">
        <v>2.8</v>
      </c>
      <c r="AK1480" t="s">
        <v>47</v>
      </c>
      <c r="AL1480" t="s">
        <v>100</v>
      </c>
      <c r="AM1480" t="s">
        <v>67</v>
      </c>
      <c r="AN1480">
        <v>31</v>
      </c>
      <c r="AO1480" t="s">
        <v>46</v>
      </c>
    </row>
    <row r="1481" spans="1:41">
      <c r="A1481" t="s">
        <v>1633</v>
      </c>
      <c r="B1481">
        <v>2024</v>
      </c>
      <c r="C1481" s="1">
        <v>45650</v>
      </c>
      <c r="D1481" t="s">
        <v>110</v>
      </c>
      <c r="E1481" t="s">
        <v>116</v>
      </c>
      <c r="F1481">
        <v>76</v>
      </c>
      <c r="G1481" t="s">
        <v>60</v>
      </c>
      <c r="H1481" t="s">
        <v>45</v>
      </c>
      <c r="I1481">
        <v>26</v>
      </c>
      <c r="J1481">
        <v>35</v>
      </c>
      <c r="K1481" t="s">
        <v>46</v>
      </c>
      <c r="L1481" t="s">
        <v>47</v>
      </c>
      <c r="M1481" t="s">
        <v>47</v>
      </c>
      <c r="N1481" t="s">
        <v>62</v>
      </c>
      <c r="O1481" t="s">
        <v>48</v>
      </c>
      <c r="P1481">
        <v>31.3</v>
      </c>
      <c r="Q1481" t="s">
        <v>50</v>
      </c>
      <c r="R1481" t="s">
        <v>46</v>
      </c>
      <c r="S1481" t="s">
        <v>47</v>
      </c>
      <c r="T1481" t="s">
        <v>47</v>
      </c>
      <c r="U1481" t="s">
        <v>47</v>
      </c>
      <c r="V1481" t="s">
        <v>86</v>
      </c>
      <c r="W1481" t="s">
        <v>46</v>
      </c>
      <c r="X1481" t="s">
        <v>46</v>
      </c>
      <c r="Y1481" t="s">
        <v>47</v>
      </c>
      <c r="Z1481" t="s">
        <v>46</v>
      </c>
      <c r="AA1481" t="s">
        <v>46</v>
      </c>
      <c r="AB1481" t="s">
        <v>46</v>
      </c>
      <c r="AC1481" t="s">
        <v>47</v>
      </c>
      <c r="AD1481" t="s">
        <v>47</v>
      </c>
      <c r="AE1481" t="s">
        <v>47</v>
      </c>
      <c r="AF1481" t="s">
        <v>47</v>
      </c>
      <c r="AG1481" t="s">
        <v>52</v>
      </c>
      <c r="AH1481" t="s">
        <v>53</v>
      </c>
      <c r="AI1481" t="s">
        <v>54</v>
      </c>
      <c r="AJ1481">
        <v>8.9</v>
      </c>
      <c r="AK1481" t="s">
        <v>46</v>
      </c>
      <c r="AL1481" t="s">
        <v>100</v>
      </c>
      <c r="AM1481" t="s">
        <v>82</v>
      </c>
      <c r="AN1481">
        <v>1</v>
      </c>
      <c r="AO1481" t="s">
        <v>47</v>
      </c>
    </row>
    <row r="1482" spans="1:41">
      <c r="A1482" t="s">
        <v>1634</v>
      </c>
      <c r="B1482">
        <v>2020</v>
      </c>
      <c r="C1482" s="1">
        <v>43973</v>
      </c>
      <c r="D1482" t="s">
        <v>84</v>
      </c>
      <c r="E1482" t="s">
        <v>184</v>
      </c>
      <c r="F1482">
        <v>59</v>
      </c>
      <c r="G1482" t="s">
        <v>44</v>
      </c>
      <c r="H1482" t="s">
        <v>70</v>
      </c>
      <c r="I1482">
        <v>0</v>
      </c>
      <c r="J1482">
        <v>0</v>
      </c>
      <c r="K1482" t="s">
        <v>47</v>
      </c>
      <c r="L1482" t="s">
        <v>47</v>
      </c>
      <c r="M1482" t="s">
        <v>47</v>
      </c>
      <c r="N1482" t="s">
        <v>50</v>
      </c>
      <c r="O1482" t="s">
        <v>48</v>
      </c>
      <c r="P1482">
        <v>32.4</v>
      </c>
      <c r="Q1482" t="s">
        <v>50</v>
      </c>
      <c r="R1482" t="s">
        <v>47</v>
      </c>
      <c r="S1482" t="s">
        <v>46</v>
      </c>
      <c r="T1482" t="s">
        <v>47</v>
      </c>
      <c r="U1482" t="s">
        <v>47</v>
      </c>
      <c r="V1482" t="s">
        <v>86</v>
      </c>
      <c r="W1482" t="s">
        <v>47</v>
      </c>
      <c r="X1482" t="s">
        <v>46</v>
      </c>
      <c r="Y1482" t="s">
        <v>47</v>
      </c>
      <c r="Z1482" t="s">
        <v>47</v>
      </c>
      <c r="AA1482" t="s">
        <v>47</v>
      </c>
      <c r="AB1482" t="s">
        <v>47</v>
      </c>
      <c r="AC1482" t="s">
        <v>47</v>
      </c>
      <c r="AD1482" t="s">
        <v>47</v>
      </c>
      <c r="AE1482" t="s">
        <v>47</v>
      </c>
      <c r="AF1482" t="s">
        <v>47</v>
      </c>
      <c r="AG1482" t="s">
        <v>52</v>
      </c>
      <c r="AH1482" t="s">
        <v>71</v>
      </c>
      <c r="AI1482" t="s">
        <v>80</v>
      </c>
      <c r="AJ1482">
        <v>8.1</v>
      </c>
      <c r="AK1482" t="s">
        <v>47</v>
      </c>
      <c r="AL1482" t="s">
        <v>76</v>
      </c>
      <c r="AM1482" t="s">
        <v>77</v>
      </c>
      <c r="AN1482">
        <v>16</v>
      </c>
      <c r="AO1482" t="s">
        <v>47</v>
      </c>
    </row>
    <row r="1483" spans="1:41">
      <c r="A1483" t="s">
        <v>1635</v>
      </c>
      <c r="B1483">
        <v>2020</v>
      </c>
      <c r="C1483" s="1">
        <v>43959</v>
      </c>
      <c r="D1483" t="s">
        <v>84</v>
      </c>
      <c r="E1483" t="s">
        <v>85</v>
      </c>
      <c r="F1483">
        <v>51</v>
      </c>
      <c r="G1483" t="s">
        <v>60</v>
      </c>
      <c r="H1483" t="s">
        <v>70</v>
      </c>
      <c r="I1483">
        <v>0</v>
      </c>
      <c r="J1483">
        <v>0</v>
      </c>
      <c r="K1483" t="s">
        <v>47</v>
      </c>
      <c r="L1483" t="s">
        <v>47</v>
      </c>
      <c r="M1483" t="s">
        <v>47</v>
      </c>
      <c r="N1483" t="s">
        <v>50</v>
      </c>
      <c r="O1483" t="s">
        <v>49</v>
      </c>
      <c r="P1483">
        <v>28.7</v>
      </c>
      <c r="Q1483" t="s">
        <v>50</v>
      </c>
      <c r="R1483" t="s">
        <v>46</v>
      </c>
      <c r="S1483" t="s">
        <v>47</v>
      </c>
      <c r="T1483" t="s">
        <v>47</v>
      </c>
      <c r="U1483" t="s">
        <v>46</v>
      </c>
      <c r="V1483" t="s">
        <v>86</v>
      </c>
      <c r="W1483" t="s">
        <v>47</v>
      </c>
      <c r="X1483" t="s">
        <v>47</v>
      </c>
      <c r="Y1483" t="s">
        <v>47</v>
      </c>
      <c r="Z1483" t="s">
        <v>47</v>
      </c>
      <c r="AA1483" t="s">
        <v>46</v>
      </c>
      <c r="AB1483" t="s">
        <v>47</v>
      </c>
      <c r="AC1483" t="s">
        <v>47</v>
      </c>
      <c r="AD1483" t="s">
        <v>46</v>
      </c>
      <c r="AE1483" t="s">
        <v>47</v>
      </c>
      <c r="AF1483" t="s">
        <v>47</v>
      </c>
      <c r="AG1483" t="s">
        <v>52</v>
      </c>
      <c r="AH1483" t="s">
        <v>53</v>
      </c>
      <c r="AI1483" t="s">
        <v>87</v>
      </c>
      <c r="AJ1483">
        <v>3.6</v>
      </c>
      <c r="AK1483" t="s">
        <v>47</v>
      </c>
      <c r="AL1483" t="s">
        <v>100</v>
      </c>
      <c r="AM1483" t="s">
        <v>67</v>
      </c>
      <c r="AN1483">
        <v>53</v>
      </c>
      <c r="AO1483" t="s">
        <v>47</v>
      </c>
    </row>
    <row r="1484" spans="1:41">
      <c r="A1484" t="s">
        <v>1636</v>
      </c>
      <c r="B1484">
        <v>2020</v>
      </c>
      <c r="C1484" s="1">
        <v>43843</v>
      </c>
      <c r="D1484" t="s">
        <v>42</v>
      </c>
      <c r="E1484" t="s">
        <v>154</v>
      </c>
      <c r="F1484">
        <v>65</v>
      </c>
      <c r="G1484" t="s">
        <v>60</v>
      </c>
      <c r="H1484" t="s">
        <v>70</v>
      </c>
      <c r="I1484">
        <v>0</v>
      </c>
      <c r="J1484">
        <v>0</v>
      </c>
      <c r="K1484" t="s">
        <v>47</v>
      </c>
      <c r="L1484" t="s">
        <v>46</v>
      </c>
      <c r="M1484" t="s">
        <v>47</v>
      </c>
      <c r="N1484" t="s">
        <v>50</v>
      </c>
      <c r="O1484" t="s">
        <v>49</v>
      </c>
      <c r="P1484">
        <v>31</v>
      </c>
      <c r="Q1484" t="s">
        <v>50</v>
      </c>
      <c r="R1484" t="s">
        <v>47</v>
      </c>
      <c r="S1484" t="s">
        <v>47</v>
      </c>
      <c r="T1484" t="s">
        <v>47</v>
      </c>
      <c r="U1484" t="s">
        <v>47</v>
      </c>
      <c r="V1484" t="s">
        <v>86</v>
      </c>
      <c r="W1484" t="s">
        <v>46</v>
      </c>
      <c r="X1484" t="s">
        <v>47</v>
      </c>
      <c r="Y1484" t="s">
        <v>46</v>
      </c>
      <c r="Z1484" t="s">
        <v>47</v>
      </c>
      <c r="AA1484" t="s">
        <v>46</v>
      </c>
      <c r="AB1484" t="s">
        <v>47</v>
      </c>
      <c r="AC1484" t="s">
        <v>47</v>
      </c>
      <c r="AD1484" t="s">
        <v>46</v>
      </c>
      <c r="AE1484" t="s">
        <v>47</v>
      </c>
      <c r="AF1484" t="s">
        <v>47</v>
      </c>
      <c r="AG1484" t="s">
        <v>52</v>
      </c>
      <c r="AH1484" t="s">
        <v>90</v>
      </c>
      <c r="AI1484" t="s">
        <v>65</v>
      </c>
      <c r="AJ1484">
        <v>1.1000000000000001</v>
      </c>
      <c r="AK1484" t="s">
        <v>47</v>
      </c>
      <c r="AL1484" t="s">
        <v>76</v>
      </c>
      <c r="AM1484" t="s">
        <v>73</v>
      </c>
      <c r="AN1484">
        <v>45</v>
      </c>
      <c r="AO1484" t="s">
        <v>47</v>
      </c>
    </row>
    <row r="1485" spans="1:41">
      <c r="A1485" t="s">
        <v>1637</v>
      </c>
      <c r="B1485">
        <v>2020</v>
      </c>
      <c r="C1485" s="1">
        <v>44101</v>
      </c>
      <c r="D1485" t="s">
        <v>58</v>
      </c>
      <c r="E1485" t="s">
        <v>252</v>
      </c>
      <c r="F1485">
        <v>60</v>
      </c>
      <c r="G1485" t="s">
        <v>60</v>
      </c>
      <c r="H1485" t="s">
        <v>45</v>
      </c>
      <c r="I1485">
        <v>38</v>
      </c>
      <c r="J1485">
        <v>26</v>
      </c>
      <c r="K1485" t="s">
        <v>46</v>
      </c>
      <c r="L1485" t="s">
        <v>47</v>
      </c>
      <c r="M1485" t="s">
        <v>47</v>
      </c>
      <c r="N1485" t="s">
        <v>62</v>
      </c>
      <c r="O1485" t="s">
        <v>48</v>
      </c>
      <c r="P1485">
        <v>25.5</v>
      </c>
      <c r="Q1485" t="s">
        <v>50</v>
      </c>
      <c r="R1485" t="s">
        <v>47</v>
      </c>
      <c r="S1485" t="s">
        <v>47</v>
      </c>
      <c r="T1485" t="s">
        <v>47</v>
      </c>
      <c r="U1485" t="s">
        <v>47</v>
      </c>
      <c r="V1485" t="s">
        <v>193</v>
      </c>
      <c r="W1485" t="s">
        <v>46</v>
      </c>
      <c r="X1485" t="s">
        <v>46</v>
      </c>
      <c r="Y1485" t="s">
        <v>46</v>
      </c>
      <c r="Z1485" t="s">
        <v>46</v>
      </c>
      <c r="AA1485" t="s">
        <v>46</v>
      </c>
      <c r="AB1485" t="s">
        <v>46</v>
      </c>
      <c r="AC1485" t="s">
        <v>47</v>
      </c>
      <c r="AD1485" t="s">
        <v>47</v>
      </c>
      <c r="AE1485" t="s">
        <v>47</v>
      </c>
      <c r="AF1485" t="s">
        <v>47</v>
      </c>
      <c r="AG1485" t="s">
        <v>52</v>
      </c>
      <c r="AH1485" t="s">
        <v>53</v>
      </c>
      <c r="AI1485" t="s">
        <v>80</v>
      </c>
      <c r="AJ1485">
        <v>5.4</v>
      </c>
      <c r="AK1485" t="s">
        <v>47</v>
      </c>
      <c r="AL1485" t="s">
        <v>81</v>
      </c>
      <c r="AM1485" t="s">
        <v>77</v>
      </c>
      <c r="AN1485">
        <v>21</v>
      </c>
      <c r="AO1485" t="s">
        <v>47</v>
      </c>
    </row>
    <row r="1486" spans="1:41">
      <c r="A1486" t="s">
        <v>1638</v>
      </c>
      <c r="B1486">
        <v>2019</v>
      </c>
      <c r="C1486" s="1">
        <v>43526</v>
      </c>
      <c r="D1486" t="s">
        <v>42</v>
      </c>
      <c r="E1486" t="s">
        <v>136</v>
      </c>
      <c r="F1486">
        <v>43</v>
      </c>
      <c r="G1486" t="s">
        <v>60</v>
      </c>
      <c r="H1486" t="s">
        <v>70</v>
      </c>
      <c r="I1486">
        <v>0</v>
      </c>
      <c r="J1486">
        <v>0</v>
      </c>
      <c r="K1486" t="s">
        <v>46</v>
      </c>
      <c r="L1486" t="s">
        <v>47</v>
      </c>
      <c r="M1486" t="s">
        <v>47</v>
      </c>
      <c r="N1486" t="s">
        <v>62</v>
      </c>
      <c r="O1486" t="s">
        <v>49</v>
      </c>
      <c r="P1486">
        <v>23.2</v>
      </c>
      <c r="Q1486" t="s">
        <v>50</v>
      </c>
      <c r="R1486" t="s">
        <v>47</v>
      </c>
      <c r="S1486" t="s">
        <v>47</v>
      </c>
      <c r="T1486" t="s">
        <v>47</v>
      </c>
      <c r="U1486" t="s">
        <v>47</v>
      </c>
      <c r="V1486" t="s">
        <v>64</v>
      </c>
      <c r="W1486" t="s">
        <v>47</v>
      </c>
      <c r="X1486" t="s">
        <v>47</v>
      </c>
      <c r="Y1486" t="s">
        <v>47</v>
      </c>
      <c r="Z1486" t="s">
        <v>47</v>
      </c>
      <c r="AA1486" t="s">
        <v>46</v>
      </c>
      <c r="AB1486" t="s">
        <v>47</v>
      </c>
      <c r="AC1486" t="s">
        <v>46</v>
      </c>
      <c r="AD1486" t="s">
        <v>47</v>
      </c>
      <c r="AE1486" t="s">
        <v>47</v>
      </c>
      <c r="AF1486" t="s">
        <v>47</v>
      </c>
      <c r="AG1486" t="s">
        <v>52</v>
      </c>
      <c r="AH1486" t="s">
        <v>53</v>
      </c>
      <c r="AI1486" t="s">
        <v>87</v>
      </c>
      <c r="AJ1486">
        <v>3.9</v>
      </c>
      <c r="AK1486" t="s">
        <v>47</v>
      </c>
      <c r="AL1486" t="s">
        <v>72</v>
      </c>
      <c r="AM1486" t="s">
        <v>67</v>
      </c>
      <c r="AN1486">
        <v>14</v>
      </c>
      <c r="AO1486" t="s">
        <v>46</v>
      </c>
    </row>
    <row r="1487" spans="1:41">
      <c r="A1487" t="s">
        <v>1639</v>
      </c>
      <c r="B1487">
        <v>2015</v>
      </c>
      <c r="C1487" s="1">
        <v>42018</v>
      </c>
      <c r="D1487" t="s">
        <v>42</v>
      </c>
      <c r="E1487" t="s">
        <v>69</v>
      </c>
      <c r="F1487">
        <v>69</v>
      </c>
      <c r="G1487" t="s">
        <v>60</v>
      </c>
      <c r="H1487" t="s">
        <v>70</v>
      </c>
      <c r="I1487">
        <v>0</v>
      </c>
      <c r="J1487">
        <v>0</v>
      </c>
      <c r="K1487" t="s">
        <v>47</v>
      </c>
      <c r="L1487" t="s">
        <v>46</v>
      </c>
      <c r="M1487" t="s">
        <v>47</v>
      </c>
      <c r="N1487" t="s">
        <v>48</v>
      </c>
      <c r="O1487" t="s">
        <v>63</v>
      </c>
      <c r="P1487">
        <v>24.8</v>
      </c>
      <c r="Q1487" t="s">
        <v>48</v>
      </c>
      <c r="R1487" t="s">
        <v>47</v>
      </c>
      <c r="S1487" t="s">
        <v>47</v>
      </c>
      <c r="T1487" t="s">
        <v>47</v>
      </c>
      <c r="U1487" t="s">
        <v>47</v>
      </c>
      <c r="V1487" t="s">
        <v>193</v>
      </c>
      <c r="W1487" t="s">
        <v>46</v>
      </c>
      <c r="X1487" t="s">
        <v>47</v>
      </c>
      <c r="Y1487" t="s">
        <v>47</v>
      </c>
      <c r="Z1487" t="s">
        <v>47</v>
      </c>
      <c r="AA1487" t="s">
        <v>46</v>
      </c>
      <c r="AB1487" t="s">
        <v>47</v>
      </c>
      <c r="AC1487" t="s">
        <v>47</v>
      </c>
      <c r="AD1487" t="s">
        <v>47</v>
      </c>
      <c r="AE1487" t="s">
        <v>47</v>
      </c>
      <c r="AF1487" t="s">
        <v>46</v>
      </c>
      <c r="AG1487" t="s">
        <v>52</v>
      </c>
      <c r="AH1487" t="s">
        <v>53</v>
      </c>
      <c r="AI1487" t="s">
        <v>65</v>
      </c>
      <c r="AJ1487">
        <v>2.1</v>
      </c>
      <c r="AK1487" t="s">
        <v>47</v>
      </c>
      <c r="AL1487" t="s">
        <v>156</v>
      </c>
      <c r="AM1487" t="s">
        <v>73</v>
      </c>
      <c r="AN1487">
        <v>36</v>
      </c>
      <c r="AO1487" t="s">
        <v>46</v>
      </c>
    </row>
    <row r="1488" spans="1:41">
      <c r="A1488" t="s">
        <v>1640</v>
      </c>
      <c r="B1488">
        <v>2025</v>
      </c>
      <c r="C1488" s="1">
        <v>45804</v>
      </c>
      <c r="D1488" t="s">
        <v>42</v>
      </c>
      <c r="E1488" t="s">
        <v>154</v>
      </c>
      <c r="F1488">
        <v>44</v>
      </c>
      <c r="G1488" t="s">
        <v>60</v>
      </c>
      <c r="H1488" t="s">
        <v>70</v>
      </c>
      <c r="I1488">
        <v>0</v>
      </c>
      <c r="J1488">
        <v>0</v>
      </c>
      <c r="K1488" t="s">
        <v>46</v>
      </c>
      <c r="L1488" t="s">
        <v>46</v>
      </c>
      <c r="M1488" t="s">
        <v>46</v>
      </c>
      <c r="N1488" t="s">
        <v>48</v>
      </c>
      <c r="O1488" t="s">
        <v>63</v>
      </c>
      <c r="P1488">
        <v>20.9</v>
      </c>
      <c r="Q1488" t="s">
        <v>62</v>
      </c>
      <c r="R1488" t="s">
        <v>47</v>
      </c>
      <c r="S1488" t="s">
        <v>46</v>
      </c>
      <c r="T1488" t="s">
        <v>47</v>
      </c>
      <c r="U1488" t="s">
        <v>47</v>
      </c>
      <c r="V1488" t="s">
        <v>117</v>
      </c>
      <c r="W1488" t="s">
        <v>47</v>
      </c>
      <c r="X1488" t="s">
        <v>46</v>
      </c>
      <c r="Y1488" t="s">
        <v>47</v>
      </c>
      <c r="Z1488" t="s">
        <v>47</v>
      </c>
      <c r="AA1488" t="s">
        <v>46</v>
      </c>
      <c r="AB1488" t="s">
        <v>47</v>
      </c>
      <c r="AC1488" t="s">
        <v>47</v>
      </c>
      <c r="AD1488" t="s">
        <v>47</v>
      </c>
      <c r="AE1488" t="s">
        <v>47</v>
      </c>
      <c r="AF1488" t="s">
        <v>47</v>
      </c>
      <c r="AG1488" t="s">
        <v>52</v>
      </c>
      <c r="AH1488" t="s">
        <v>53</v>
      </c>
      <c r="AI1488" t="s">
        <v>80</v>
      </c>
      <c r="AJ1488">
        <v>3.8</v>
      </c>
      <c r="AK1488" t="s">
        <v>47</v>
      </c>
      <c r="AL1488" t="s">
        <v>100</v>
      </c>
      <c r="AM1488" t="s">
        <v>77</v>
      </c>
      <c r="AN1488">
        <v>15</v>
      </c>
      <c r="AO1488" t="s">
        <v>47</v>
      </c>
    </row>
    <row r="1489" spans="1:41">
      <c r="A1489" t="s">
        <v>1641</v>
      </c>
      <c r="B1489">
        <v>2022</v>
      </c>
      <c r="C1489" s="1">
        <v>44780</v>
      </c>
      <c r="D1489" t="s">
        <v>84</v>
      </c>
      <c r="E1489" t="s">
        <v>85</v>
      </c>
      <c r="F1489">
        <v>73</v>
      </c>
      <c r="G1489" t="s">
        <v>44</v>
      </c>
      <c r="H1489" t="s">
        <v>70</v>
      </c>
      <c r="I1489">
        <v>0</v>
      </c>
      <c r="J1489">
        <v>0</v>
      </c>
      <c r="K1489" t="s">
        <v>46</v>
      </c>
      <c r="L1489" t="s">
        <v>46</v>
      </c>
      <c r="M1489" t="s">
        <v>47</v>
      </c>
      <c r="N1489" t="s">
        <v>62</v>
      </c>
      <c r="O1489" t="s">
        <v>48</v>
      </c>
      <c r="P1489">
        <v>27.2</v>
      </c>
      <c r="Q1489" t="s">
        <v>62</v>
      </c>
      <c r="R1489" t="s">
        <v>47</v>
      </c>
      <c r="S1489" t="s">
        <v>47</v>
      </c>
      <c r="T1489" t="s">
        <v>47</v>
      </c>
      <c r="U1489" t="s">
        <v>47</v>
      </c>
      <c r="V1489" t="s">
        <v>51</v>
      </c>
      <c r="W1489" t="s">
        <v>47</v>
      </c>
      <c r="X1489" t="s">
        <v>47</v>
      </c>
      <c r="Y1489" t="s">
        <v>47</v>
      </c>
      <c r="Z1489" t="s">
        <v>47</v>
      </c>
      <c r="AA1489" t="s">
        <v>46</v>
      </c>
      <c r="AB1489" t="s">
        <v>47</v>
      </c>
      <c r="AC1489" t="s">
        <v>47</v>
      </c>
      <c r="AD1489" t="s">
        <v>47</v>
      </c>
      <c r="AE1489" t="s">
        <v>47</v>
      </c>
      <c r="AF1489" t="s">
        <v>46</v>
      </c>
      <c r="AG1489" t="s">
        <v>52</v>
      </c>
      <c r="AH1489" t="s">
        <v>53</v>
      </c>
      <c r="AI1489" t="s">
        <v>80</v>
      </c>
      <c r="AJ1489">
        <v>7.3</v>
      </c>
      <c r="AK1489" t="s">
        <v>47</v>
      </c>
      <c r="AL1489" t="s">
        <v>66</v>
      </c>
      <c r="AM1489" t="s">
        <v>56</v>
      </c>
      <c r="AN1489">
        <v>25</v>
      </c>
      <c r="AO1489" t="s">
        <v>47</v>
      </c>
    </row>
    <row r="1490" spans="1:41">
      <c r="A1490" t="s">
        <v>1642</v>
      </c>
      <c r="B1490">
        <v>2023</v>
      </c>
      <c r="C1490" s="1">
        <v>44933</v>
      </c>
      <c r="D1490" t="s">
        <v>58</v>
      </c>
      <c r="E1490" t="s">
        <v>142</v>
      </c>
      <c r="F1490">
        <v>64</v>
      </c>
      <c r="G1490" t="s">
        <v>44</v>
      </c>
      <c r="H1490" t="s">
        <v>45</v>
      </c>
      <c r="I1490">
        <v>33</v>
      </c>
      <c r="J1490">
        <v>37</v>
      </c>
      <c r="K1490" t="s">
        <v>47</v>
      </c>
      <c r="L1490" t="s">
        <v>47</v>
      </c>
      <c r="M1490" t="s">
        <v>47</v>
      </c>
      <c r="N1490" t="s">
        <v>48</v>
      </c>
      <c r="O1490" t="s">
        <v>48</v>
      </c>
      <c r="P1490">
        <v>19</v>
      </c>
      <c r="Q1490" t="s">
        <v>48</v>
      </c>
      <c r="R1490" t="s">
        <v>47</v>
      </c>
      <c r="S1490" t="s">
        <v>47</v>
      </c>
      <c r="T1490" t="s">
        <v>47</v>
      </c>
      <c r="U1490" t="s">
        <v>47</v>
      </c>
      <c r="V1490" t="s">
        <v>51</v>
      </c>
      <c r="W1490" t="s">
        <v>46</v>
      </c>
      <c r="X1490" t="s">
        <v>47</v>
      </c>
      <c r="Y1490" t="s">
        <v>46</v>
      </c>
      <c r="Z1490" t="s">
        <v>47</v>
      </c>
      <c r="AA1490" t="s">
        <v>46</v>
      </c>
      <c r="AB1490" t="s">
        <v>46</v>
      </c>
      <c r="AC1490" t="s">
        <v>46</v>
      </c>
      <c r="AD1490" t="s">
        <v>47</v>
      </c>
      <c r="AE1490" t="s">
        <v>47</v>
      </c>
      <c r="AF1490" t="s">
        <v>47</v>
      </c>
      <c r="AG1490" t="s">
        <v>52</v>
      </c>
      <c r="AH1490" t="s">
        <v>53</v>
      </c>
      <c r="AI1490" t="s">
        <v>80</v>
      </c>
      <c r="AJ1490">
        <v>7</v>
      </c>
      <c r="AK1490" t="s">
        <v>47</v>
      </c>
      <c r="AL1490" t="s">
        <v>55</v>
      </c>
      <c r="AM1490" t="s">
        <v>56</v>
      </c>
      <c r="AN1490">
        <v>21</v>
      </c>
      <c r="AO1490" t="s">
        <v>46</v>
      </c>
    </row>
    <row r="1491" spans="1:41">
      <c r="A1491" t="s">
        <v>1643</v>
      </c>
      <c r="B1491">
        <v>2023</v>
      </c>
      <c r="C1491" s="1">
        <v>45240</v>
      </c>
      <c r="D1491" t="s">
        <v>42</v>
      </c>
      <c r="E1491" t="s">
        <v>69</v>
      </c>
      <c r="F1491">
        <v>70</v>
      </c>
      <c r="G1491" t="s">
        <v>60</v>
      </c>
      <c r="H1491" t="s">
        <v>61</v>
      </c>
      <c r="I1491">
        <v>9</v>
      </c>
      <c r="J1491">
        <v>17</v>
      </c>
      <c r="K1491" t="s">
        <v>46</v>
      </c>
      <c r="L1491" t="s">
        <v>47</v>
      </c>
      <c r="M1491" t="s">
        <v>47</v>
      </c>
      <c r="N1491" t="s">
        <v>48</v>
      </c>
      <c r="O1491" t="s">
        <v>49</v>
      </c>
      <c r="P1491">
        <v>30</v>
      </c>
      <c r="Q1491" t="s">
        <v>50</v>
      </c>
      <c r="R1491" t="s">
        <v>46</v>
      </c>
      <c r="S1491" t="s">
        <v>47</v>
      </c>
      <c r="T1491" t="s">
        <v>47</v>
      </c>
      <c r="U1491" t="s">
        <v>47</v>
      </c>
      <c r="V1491" t="s">
        <v>51</v>
      </c>
      <c r="W1491" t="s">
        <v>47</v>
      </c>
      <c r="X1491" t="s">
        <v>47</v>
      </c>
      <c r="Y1491" t="s">
        <v>47</v>
      </c>
      <c r="Z1491" t="s">
        <v>46</v>
      </c>
      <c r="AA1491" t="s">
        <v>46</v>
      </c>
      <c r="AB1491" t="s">
        <v>46</v>
      </c>
      <c r="AC1491" t="s">
        <v>47</v>
      </c>
      <c r="AD1491" t="s">
        <v>47</v>
      </c>
      <c r="AE1491" t="s">
        <v>47</v>
      </c>
      <c r="AF1491" t="s">
        <v>47</v>
      </c>
      <c r="AG1491" t="s">
        <v>52</v>
      </c>
      <c r="AH1491" t="s">
        <v>71</v>
      </c>
      <c r="AI1491" t="s">
        <v>65</v>
      </c>
      <c r="AJ1491">
        <v>1.8</v>
      </c>
      <c r="AK1491" t="s">
        <v>47</v>
      </c>
      <c r="AL1491" t="s">
        <v>66</v>
      </c>
      <c r="AM1491" t="s">
        <v>73</v>
      </c>
      <c r="AN1491">
        <v>55</v>
      </c>
      <c r="AO1491" t="s">
        <v>47</v>
      </c>
    </row>
    <row r="1492" spans="1:41">
      <c r="A1492" t="s">
        <v>1644</v>
      </c>
      <c r="B1492">
        <v>2017</v>
      </c>
      <c r="C1492" s="1">
        <v>42975</v>
      </c>
      <c r="D1492" t="s">
        <v>110</v>
      </c>
      <c r="E1492" t="s">
        <v>227</v>
      </c>
      <c r="F1492">
        <v>70</v>
      </c>
      <c r="G1492" t="s">
        <v>60</v>
      </c>
      <c r="H1492" t="s">
        <v>70</v>
      </c>
      <c r="I1492">
        <v>0</v>
      </c>
      <c r="J1492">
        <v>0</v>
      </c>
      <c r="K1492" t="s">
        <v>46</v>
      </c>
      <c r="L1492" t="s">
        <v>47</v>
      </c>
      <c r="M1492" t="s">
        <v>47</v>
      </c>
      <c r="N1492" t="s">
        <v>48</v>
      </c>
      <c r="O1492" t="s">
        <v>49</v>
      </c>
      <c r="P1492">
        <v>29.2</v>
      </c>
      <c r="Q1492" t="s">
        <v>62</v>
      </c>
      <c r="R1492" t="s">
        <v>47</v>
      </c>
      <c r="S1492" t="s">
        <v>47</v>
      </c>
      <c r="T1492" t="s">
        <v>47</v>
      </c>
      <c r="U1492" t="s">
        <v>47</v>
      </c>
      <c r="V1492" t="s">
        <v>112</v>
      </c>
      <c r="W1492" t="s">
        <v>46</v>
      </c>
      <c r="X1492" t="s">
        <v>46</v>
      </c>
      <c r="Y1492" t="s">
        <v>47</v>
      </c>
      <c r="Z1492" t="s">
        <v>47</v>
      </c>
      <c r="AA1492" t="s">
        <v>47</v>
      </c>
      <c r="AB1492" t="s">
        <v>47</v>
      </c>
      <c r="AC1492" t="s">
        <v>47</v>
      </c>
      <c r="AD1492" t="s">
        <v>47</v>
      </c>
      <c r="AE1492" t="s">
        <v>47</v>
      </c>
      <c r="AF1492" t="s">
        <v>47</v>
      </c>
      <c r="AG1492" t="s">
        <v>52</v>
      </c>
      <c r="AH1492" t="s">
        <v>53</v>
      </c>
      <c r="AI1492" t="s">
        <v>87</v>
      </c>
      <c r="AJ1492">
        <v>2.7</v>
      </c>
      <c r="AK1492" t="s">
        <v>47</v>
      </c>
      <c r="AL1492" t="s">
        <v>76</v>
      </c>
      <c r="AM1492" t="s">
        <v>77</v>
      </c>
      <c r="AN1492">
        <v>47</v>
      </c>
      <c r="AO1492" t="s">
        <v>47</v>
      </c>
    </row>
    <row r="1493" spans="1:41">
      <c r="A1493" t="s">
        <v>1645</v>
      </c>
      <c r="B1493">
        <v>2016</v>
      </c>
      <c r="C1493" s="1">
        <v>42516</v>
      </c>
      <c r="D1493" t="s">
        <v>84</v>
      </c>
      <c r="E1493" t="s">
        <v>102</v>
      </c>
      <c r="F1493">
        <v>62</v>
      </c>
      <c r="G1493" t="s">
        <v>60</v>
      </c>
      <c r="H1493" t="s">
        <v>45</v>
      </c>
      <c r="I1493">
        <v>41</v>
      </c>
      <c r="J1493">
        <v>23</v>
      </c>
      <c r="K1493" t="s">
        <v>47</v>
      </c>
      <c r="L1493" t="s">
        <v>47</v>
      </c>
      <c r="M1493" t="s">
        <v>46</v>
      </c>
      <c r="N1493" t="s">
        <v>62</v>
      </c>
      <c r="O1493" t="s">
        <v>48</v>
      </c>
      <c r="P1493">
        <v>22.8</v>
      </c>
      <c r="Q1493" t="s">
        <v>50</v>
      </c>
      <c r="R1493" t="s">
        <v>47</v>
      </c>
      <c r="S1493" t="s">
        <v>46</v>
      </c>
      <c r="T1493" t="s">
        <v>47</v>
      </c>
      <c r="U1493" t="s">
        <v>47</v>
      </c>
      <c r="V1493" t="s">
        <v>51</v>
      </c>
      <c r="W1493" t="s">
        <v>46</v>
      </c>
      <c r="X1493" t="s">
        <v>46</v>
      </c>
      <c r="Y1493" t="s">
        <v>46</v>
      </c>
      <c r="Z1493" t="s">
        <v>46</v>
      </c>
      <c r="AA1493" t="s">
        <v>47</v>
      </c>
      <c r="AB1493" t="s">
        <v>47</v>
      </c>
      <c r="AC1493" t="s">
        <v>47</v>
      </c>
      <c r="AD1493" t="s">
        <v>47</v>
      </c>
      <c r="AE1493" t="s">
        <v>47</v>
      </c>
      <c r="AF1493" t="s">
        <v>46</v>
      </c>
      <c r="AG1493" t="s">
        <v>121</v>
      </c>
      <c r="AH1493" t="s">
        <v>122</v>
      </c>
      <c r="AI1493" t="s">
        <v>65</v>
      </c>
      <c r="AJ1493">
        <v>1.3</v>
      </c>
      <c r="AK1493" t="s">
        <v>47</v>
      </c>
      <c r="AL1493" t="s">
        <v>66</v>
      </c>
      <c r="AM1493" t="s">
        <v>73</v>
      </c>
      <c r="AN1493">
        <v>70</v>
      </c>
      <c r="AO1493" t="s">
        <v>47</v>
      </c>
    </row>
    <row r="1494" spans="1:41">
      <c r="A1494" t="s">
        <v>1646</v>
      </c>
      <c r="B1494">
        <v>2019</v>
      </c>
      <c r="C1494" s="1">
        <v>43693</v>
      </c>
      <c r="D1494" t="s">
        <v>110</v>
      </c>
      <c r="E1494" t="s">
        <v>410</v>
      </c>
      <c r="F1494">
        <v>65</v>
      </c>
      <c r="G1494" t="s">
        <v>60</v>
      </c>
      <c r="H1494" t="s">
        <v>70</v>
      </c>
      <c r="I1494">
        <v>0</v>
      </c>
      <c r="J1494">
        <v>0</v>
      </c>
      <c r="K1494" t="s">
        <v>47</v>
      </c>
      <c r="L1494" t="s">
        <v>47</v>
      </c>
      <c r="M1494" t="s">
        <v>47</v>
      </c>
      <c r="N1494" t="s">
        <v>48</v>
      </c>
      <c r="O1494" t="s">
        <v>49</v>
      </c>
      <c r="P1494">
        <v>29.8</v>
      </c>
      <c r="Q1494" t="s">
        <v>48</v>
      </c>
      <c r="R1494" t="s">
        <v>47</v>
      </c>
      <c r="S1494" t="s">
        <v>47</v>
      </c>
      <c r="T1494" t="s">
        <v>47</v>
      </c>
      <c r="U1494" t="s">
        <v>47</v>
      </c>
      <c r="V1494" t="s">
        <v>51</v>
      </c>
      <c r="W1494" t="s">
        <v>47</v>
      </c>
      <c r="X1494" t="s">
        <v>46</v>
      </c>
      <c r="Y1494" t="s">
        <v>47</v>
      </c>
      <c r="Z1494" t="s">
        <v>47</v>
      </c>
      <c r="AA1494" t="s">
        <v>46</v>
      </c>
      <c r="AB1494" t="s">
        <v>47</v>
      </c>
      <c r="AC1494" t="s">
        <v>47</v>
      </c>
      <c r="AD1494" t="s">
        <v>46</v>
      </c>
      <c r="AE1494" t="s">
        <v>47</v>
      </c>
      <c r="AF1494" t="s">
        <v>46</v>
      </c>
      <c r="AG1494" t="s">
        <v>52</v>
      </c>
      <c r="AH1494" t="s">
        <v>53</v>
      </c>
      <c r="AI1494" t="s">
        <v>87</v>
      </c>
      <c r="AJ1494">
        <v>2.8</v>
      </c>
      <c r="AK1494" t="s">
        <v>47</v>
      </c>
      <c r="AL1494" t="s">
        <v>66</v>
      </c>
      <c r="AM1494" t="s">
        <v>103</v>
      </c>
      <c r="AN1494">
        <v>47</v>
      </c>
      <c r="AO1494" t="s">
        <v>46</v>
      </c>
    </row>
    <row r="1495" spans="1:41">
      <c r="A1495" t="s">
        <v>1647</v>
      </c>
      <c r="B1495">
        <v>2025</v>
      </c>
      <c r="C1495" s="1">
        <v>45709</v>
      </c>
      <c r="D1495" t="s">
        <v>58</v>
      </c>
      <c r="E1495" t="s">
        <v>220</v>
      </c>
      <c r="F1495">
        <v>57</v>
      </c>
      <c r="G1495" t="s">
        <v>60</v>
      </c>
      <c r="H1495" t="s">
        <v>45</v>
      </c>
      <c r="I1495">
        <v>25</v>
      </c>
      <c r="J1495">
        <v>24</v>
      </c>
      <c r="K1495" t="s">
        <v>46</v>
      </c>
      <c r="L1495" t="s">
        <v>47</v>
      </c>
      <c r="M1495" t="s">
        <v>47</v>
      </c>
      <c r="N1495" t="s">
        <v>48</v>
      </c>
      <c r="O1495" t="s">
        <v>63</v>
      </c>
      <c r="P1495">
        <v>21</v>
      </c>
      <c r="Q1495" t="s">
        <v>48</v>
      </c>
      <c r="R1495" t="s">
        <v>47</v>
      </c>
      <c r="S1495" t="s">
        <v>47</v>
      </c>
      <c r="T1495" t="s">
        <v>47</v>
      </c>
      <c r="U1495" t="s">
        <v>47</v>
      </c>
      <c r="V1495" t="s">
        <v>51</v>
      </c>
      <c r="W1495" t="s">
        <v>46</v>
      </c>
      <c r="X1495" t="s">
        <v>47</v>
      </c>
      <c r="Y1495" t="s">
        <v>47</v>
      </c>
      <c r="Z1495" t="s">
        <v>46</v>
      </c>
      <c r="AA1495" t="s">
        <v>47</v>
      </c>
      <c r="AB1495" t="s">
        <v>46</v>
      </c>
      <c r="AC1495" t="s">
        <v>46</v>
      </c>
      <c r="AD1495" t="s">
        <v>47</v>
      </c>
      <c r="AE1495" t="s">
        <v>46</v>
      </c>
      <c r="AF1495" t="s">
        <v>47</v>
      </c>
      <c r="AG1495" t="s">
        <v>121</v>
      </c>
      <c r="AH1495" t="s">
        <v>122</v>
      </c>
      <c r="AI1495" t="s">
        <v>87</v>
      </c>
      <c r="AJ1495">
        <v>4.0999999999999996</v>
      </c>
      <c r="AK1495" t="s">
        <v>47</v>
      </c>
      <c r="AL1495" t="s">
        <v>76</v>
      </c>
      <c r="AM1495" t="s">
        <v>73</v>
      </c>
      <c r="AN1495">
        <v>26</v>
      </c>
      <c r="AO1495" t="s">
        <v>46</v>
      </c>
    </row>
    <row r="1496" spans="1:41">
      <c r="A1496" t="s">
        <v>1648</v>
      </c>
      <c r="B1496">
        <v>2018</v>
      </c>
      <c r="C1496" s="1">
        <v>43287</v>
      </c>
      <c r="D1496" t="s">
        <v>42</v>
      </c>
      <c r="E1496" t="s">
        <v>136</v>
      </c>
      <c r="F1496">
        <v>64</v>
      </c>
      <c r="G1496" t="s">
        <v>60</v>
      </c>
      <c r="H1496" t="s">
        <v>70</v>
      </c>
      <c r="I1496">
        <v>0</v>
      </c>
      <c r="J1496">
        <v>0</v>
      </c>
      <c r="K1496" t="s">
        <v>46</v>
      </c>
      <c r="L1496" t="s">
        <v>47</v>
      </c>
      <c r="M1496" t="s">
        <v>47</v>
      </c>
      <c r="N1496" t="s">
        <v>62</v>
      </c>
      <c r="O1496" t="s">
        <v>63</v>
      </c>
      <c r="P1496">
        <v>19.2</v>
      </c>
      <c r="Q1496" t="s">
        <v>50</v>
      </c>
      <c r="R1496" t="s">
        <v>47</v>
      </c>
      <c r="S1496" t="s">
        <v>47</v>
      </c>
      <c r="T1496" t="s">
        <v>47</v>
      </c>
      <c r="U1496" t="s">
        <v>47</v>
      </c>
      <c r="V1496" t="s">
        <v>117</v>
      </c>
      <c r="W1496" t="s">
        <v>46</v>
      </c>
      <c r="X1496" t="s">
        <v>47</v>
      </c>
      <c r="Y1496" t="s">
        <v>47</v>
      </c>
      <c r="Z1496" t="s">
        <v>47</v>
      </c>
      <c r="AA1496" t="s">
        <v>46</v>
      </c>
      <c r="AB1496" t="s">
        <v>46</v>
      </c>
      <c r="AC1496" t="s">
        <v>47</v>
      </c>
      <c r="AD1496" t="s">
        <v>47</v>
      </c>
      <c r="AE1496" t="s">
        <v>47</v>
      </c>
      <c r="AF1496" t="s">
        <v>47</v>
      </c>
      <c r="AG1496" t="s">
        <v>52</v>
      </c>
      <c r="AH1496" t="s">
        <v>90</v>
      </c>
      <c r="AI1496" t="s">
        <v>54</v>
      </c>
      <c r="AJ1496">
        <v>5.4</v>
      </c>
      <c r="AK1496" t="s">
        <v>46</v>
      </c>
      <c r="AL1496" t="s">
        <v>100</v>
      </c>
      <c r="AM1496" t="s">
        <v>56</v>
      </c>
      <c r="AN1496">
        <v>17</v>
      </c>
      <c r="AO1496" t="s">
        <v>47</v>
      </c>
    </row>
    <row r="1497" spans="1:41">
      <c r="A1497" t="s">
        <v>1649</v>
      </c>
      <c r="B1497">
        <v>2018</v>
      </c>
      <c r="C1497" s="1">
        <v>43293</v>
      </c>
      <c r="D1497" t="s">
        <v>42</v>
      </c>
      <c r="E1497" t="s">
        <v>166</v>
      </c>
      <c r="F1497">
        <v>55</v>
      </c>
      <c r="G1497" t="s">
        <v>60</v>
      </c>
      <c r="H1497" t="s">
        <v>61</v>
      </c>
      <c r="I1497">
        <v>5</v>
      </c>
      <c r="J1497">
        <v>11</v>
      </c>
      <c r="K1497" t="s">
        <v>47</v>
      </c>
      <c r="L1497" t="s">
        <v>46</v>
      </c>
      <c r="M1497" t="s">
        <v>47</v>
      </c>
      <c r="N1497" t="s">
        <v>62</v>
      </c>
      <c r="O1497" t="s">
        <v>63</v>
      </c>
      <c r="P1497">
        <v>24.5</v>
      </c>
      <c r="Q1497" t="s">
        <v>62</v>
      </c>
      <c r="R1497" t="s">
        <v>47</v>
      </c>
      <c r="S1497" t="s">
        <v>47</v>
      </c>
      <c r="T1497" t="s">
        <v>47</v>
      </c>
      <c r="U1497" t="s">
        <v>47</v>
      </c>
      <c r="V1497" t="s">
        <v>51</v>
      </c>
      <c r="W1497" t="s">
        <v>46</v>
      </c>
      <c r="X1497" t="s">
        <v>46</v>
      </c>
      <c r="Y1497" t="s">
        <v>47</v>
      </c>
      <c r="Z1497" t="s">
        <v>47</v>
      </c>
      <c r="AA1497" t="s">
        <v>46</v>
      </c>
      <c r="AB1497" t="s">
        <v>47</v>
      </c>
      <c r="AC1497" t="s">
        <v>46</v>
      </c>
      <c r="AD1497" t="s">
        <v>46</v>
      </c>
      <c r="AE1497" t="s">
        <v>47</v>
      </c>
      <c r="AF1497" t="s">
        <v>47</v>
      </c>
      <c r="AG1497" t="s">
        <v>52</v>
      </c>
      <c r="AH1497" t="s">
        <v>90</v>
      </c>
      <c r="AI1497" t="s">
        <v>54</v>
      </c>
      <c r="AJ1497">
        <v>8.6</v>
      </c>
      <c r="AK1497" t="s">
        <v>46</v>
      </c>
      <c r="AL1497" t="s">
        <v>76</v>
      </c>
      <c r="AM1497" t="s">
        <v>82</v>
      </c>
      <c r="AN1497">
        <v>1</v>
      </c>
      <c r="AO1497" t="s">
        <v>47</v>
      </c>
    </row>
    <row r="1498" spans="1:41">
      <c r="A1498" t="s">
        <v>1650</v>
      </c>
      <c r="B1498">
        <v>2017</v>
      </c>
      <c r="C1498" s="1">
        <v>42949</v>
      </c>
      <c r="D1498" t="s">
        <v>84</v>
      </c>
      <c r="E1498" t="s">
        <v>184</v>
      </c>
      <c r="F1498">
        <v>56</v>
      </c>
      <c r="G1498" t="s">
        <v>60</v>
      </c>
      <c r="H1498" t="s">
        <v>45</v>
      </c>
      <c r="I1498">
        <v>20</v>
      </c>
      <c r="J1498">
        <v>29</v>
      </c>
      <c r="K1498" t="s">
        <v>46</v>
      </c>
      <c r="L1498" t="s">
        <v>47</v>
      </c>
      <c r="M1498" t="s">
        <v>47</v>
      </c>
      <c r="N1498" t="s">
        <v>62</v>
      </c>
      <c r="O1498" t="s">
        <v>49</v>
      </c>
      <c r="P1498">
        <v>32.4</v>
      </c>
      <c r="Q1498" t="s">
        <v>62</v>
      </c>
      <c r="R1498" t="s">
        <v>47</v>
      </c>
      <c r="S1498" t="s">
        <v>47</v>
      </c>
      <c r="T1498" t="s">
        <v>47</v>
      </c>
      <c r="U1498" t="s">
        <v>47</v>
      </c>
      <c r="V1498" t="s">
        <v>64</v>
      </c>
      <c r="W1498" t="s">
        <v>46</v>
      </c>
      <c r="X1498" t="s">
        <v>47</v>
      </c>
      <c r="Y1498" t="s">
        <v>46</v>
      </c>
      <c r="Z1498" t="s">
        <v>46</v>
      </c>
      <c r="AA1498" t="s">
        <v>46</v>
      </c>
      <c r="AB1498" t="s">
        <v>47</v>
      </c>
      <c r="AC1498" t="s">
        <v>46</v>
      </c>
      <c r="AD1498" t="s">
        <v>47</v>
      </c>
      <c r="AE1498" t="s">
        <v>47</v>
      </c>
      <c r="AF1498" t="s">
        <v>47</v>
      </c>
      <c r="AG1498" t="s">
        <v>52</v>
      </c>
      <c r="AH1498" t="s">
        <v>53</v>
      </c>
      <c r="AI1498" t="s">
        <v>54</v>
      </c>
      <c r="AJ1498">
        <v>8.1</v>
      </c>
      <c r="AK1498" t="s">
        <v>46</v>
      </c>
      <c r="AL1498" t="s">
        <v>81</v>
      </c>
      <c r="AM1498" t="s">
        <v>82</v>
      </c>
      <c r="AN1498">
        <v>3</v>
      </c>
      <c r="AO1498" t="s">
        <v>47</v>
      </c>
    </row>
    <row r="1499" spans="1:41">
      <c r="A1499" t="s">
        <v>1651</v>
      </c>
      <c r="B1499">
        <v>2016</v>
      </c>
      <c r="C1499" s="1">
        <v>42597</v>
      </c>
      <c r="D1499" t="s">
        <v>58</v>
      </c>
      <c r="E1499" t="s">
        <v>134</v>
      </c>
      <c r="F1499">
        <v>60</v>
      </c>
      <c r="G1499" t="s">
        <v>60</v>
      </c>
      <c r="H1499" t="s">
        <v>70</v>
      </c>
      <c r="I1499">
        <v>0</v>
      </c>
      <c r="J1499">
        <v>0</v>
      </c>
      <c r="K1499" t="s">
        <v>46</v>
      </c>
      <c r="L1499" t="s">
        <v>46</v>
      </c>
      <c r="M1499" t="s">
        <v>46</v>
      </c>
      <c r="N1499" t="s">
        <v>62</v>
      </c>
      <c r="O1499" t="s">
        <v>63</v>
      </c>
      <c r="P1499">
        <v>22.1</v>
      </c>
      <c r="Q1499" t="s">
        <v>50</v>
      </c>
      <c r="R1499" t="s">
        <v>47</v>
      </c>
      <c r="S1499" t="s">
        <v>47</v>
      </c>
      <c r="T1499" t="s">
        <v>47</v>
      </c>
      <c r="U1499" t="s">
        <v>47</v>
      </c>
      <c r="V1499" t="s">
        <v>117</v>
      </c>
      <c r="W1499" t="s">
        <v>47</v>
      </c>
      <c r="X1499" t="s">
        <v>47</v>
      </c>
      <c r="Y1499" t="s">
        <v>46</v>
      </c>
      <c r="Z1499" t="s">
        <v>47</v>
      </c>
      <c r="AA1499" t="s">
        <v>46</v>
      </c>
      <c r="AB1499" t="s">
        <v>47</v>
      </c>
      <c r="AC1499" t="s">
        <v>47</v>
      </c>
      <c r="AD1499" t="s">
        <v>47</v>
      </c>
      <c r="AE1499" t="s">
        <v>47</v>
      </c>
      <c r="AF1499" t="s">
        <v>47</v>
      </c>
      <c r="AG1499" t="s">
        <v>52</v>
      </c>
      <c r="AH1499" t="s">
        <v>53</v>
      </c>
      <c r="AI1499" t="s">
        <v>80</v>
      </c>
      <c r="AJ1499">
        <v>5.5</v>
      </c>
      <c r="AK1499" t="s">
        <v>47</v>
      </c>
      <c r="AL1499" t="s">
        <v>81</v>
      </c>
      <c r="AM1499" t="s">
        <v>77</v>
      </c>
      <c r="AN1499">
        <v>11</v>
      </c>
      <c r="AO1499" t="s">
        <v>47</v>
      </c>
    </row>
    <row r="1500" spans="1:41">
      <c r="A1500" t="s">
        <v>1652</v>
      </c>
      <c r="B1500">
        <v>2017</v>
      </c>
      <c r="C1500" s="1">
        <v>42852</v>
      </c>
      <c r="D1500" t="s">
        <v>98</v>
      </c>
      <c r="E1500" t="s">
        <v>196</v>
      </c>
      <c r="F1500">
        <v>68</v>
      </c>
      <c r="G1500" t="s">
        <v>60</v>
      </c>
      <c r="H1500" t="s">
        <v>45</v>
      </c>
      <c r="I1500">
        <v>22</v>
      </c>
      <c r="J1500">
        <v>33</v>
      </c>
      <c r="K1500" t="s">
        <v>47</v>
      </c>
      <c r="L1500" t="s">
        <v>46</v>
      </c>
      <c r="M1500" t="s">
        <v>47</v>
      </c>
      <c r="N1500" t="s">
        <v>62</v>
      </c>
      <c r="O1500" t="s">
        <v>49</v>
      </c>
      <c r="P1500">
        <v>27.9</v>
      </c>
      <c r="Q1500" t="s">
        <v>50</v>
      </c>
      <c r="R1500" t="s">
        <v>47</v>
      </c>
      <c r="S1500" t="s">
        <v>47</v>
      </c>
      <c r="T1500" t="s">
        <v>47</v>
      </c>
      <c r="U1500" t="s">
        <v>47</v>
      </c>
      <c r="V1500" t="s">
        <v>51</v>
      </c>
      <c r="W1500" t="s">
        <v>46</v>
      </c>
      <c r="X1500" t="s">
        <v>46</v>
      </c>
      <c r="Y1500" t="s">
        <v>46</v>
      </c>
      <c r="Z1500" t="s">
        <v>46</v>
      </c>
      <c r="AA1500" t="s">
        <v>46</v>
      </c>
      <c r="AB1500" t="s">
        <v>46</v>
      </c>
      <c r="AC1500" t="s">
        <v>47</v>
      </c>
      <c r="AD1500" t="s">
        <v>46</v>
      </c>
      <c r="AE1500" t="s">
        <v>47</v>
      </c>
      <c r="AF1500" t="s">
        <v>47</v>
      </c>
      <c r="AG1500" t="s">
        <v>52</v>
      </c>
      <c r="AH1500" t="s">
        <v>71</v>
      </c>
      <c r="AI1500" t="s">
        <v>80</v>
      </c>
      <c r="AJ1500">
        <v>5.7</v>
      </c>
      <c r="AK1500" t="s">
        <v>47</v>
      </c>
      <c r="AL1500" t="s">
        <v>156</v>
      </c>
      <c r="AM1500" t="s">
        <v>56</v>
      </c>
      <c r="AN1500">
        <v>19</v>
      </c>
      <c r="AO1500" t="s">
        <v>46</v>
      </c>
    </row>
    <row r="1501" spans="1:41">
      <c r="A1501" t="s">
        <v>1653</v>
      </c>
      <c r="B1501">
        <v>2024</v>
      </c>
      <c r="C1501" s="1">
        <v>45567</v>
      </c>
      <c r="D1501" t="s">
        <v>84</v>
      </c>
      <c r="E1501" t="s">
        <v>182</v>
      </c>
      <c r="F1501">
        <v>78</v>
      </c>
      <c r="G1501" t="s">
        <v>60</v>
      </c>
      <c r="H1501" t="s">
        <v>70</v>
      </c>
      <c r="I1501">
        <v>0</v>
      </c>
      <c r="J1501">
        <v>0</v>
      </c>
      <c r="K1501" t="s">
        <v>46</v>
      </c>
      <c r="L1501" t="s">
        <v>46</v>
      </c>
      <c r="M1501" t="s">
        <v>47</v>
      </c>
      <c r="N1501" t="s">
        <v>48</v>
      </c>
      <c r="O1501" t="s">
        <v>49</v>
      </c>
      <c r="P1501">
        <v>24.9</v>
      </c>
      <c r="Q1501" t="s">
        <v>50</v>
      </c>
      <c r="R1501" t="s">
        <v>47</v>
      </c>
      <c r="S1501" t="s">
        <v>47</v>
      </c>
      <c r="T1501" t="s">
        <v>47</v>
      </c>
      <c r="U1501" t="s">
        <v>46</v>
      </c>
      <c r="V1501" t="s">
        <v>51</v>
      </c>
      <c r="W1501" t="s">
        <v>47</v>
      </c>
      <c r="X1501" t="s">
        <v>47</v>
      </c>
      <c r="Y1501" t="s">
        <v>46</v>
      </c>
      <c r="Z1501" t="s">
        <v>47</v>
      </c>
      <c r="AA1501" t="s">
        <v>46</v>
      </c>
      <c r="AB1501" t="s">
        <v>47</v>
      </c>
      <c r="AC1501" t="s">
        <v>47</v>
      </c>
      <c r="AD1501" t="s">
        <v>47</v>
      </c>
      <c r="AE1501" t="s">
        <v>47</v>
      </c>
      <c r="AF1501" t="s">
        <v>47</v>
      </c>
      <c r="AG1501" t="s">
        <v>52</v>
      </c>
      <c r="AH1501" t="s">
        <v>90</v>
      </c>
      <c r="AI1501" t="s">
        <v>87</v>
      </c>
      <c r="AJ1501">
        <v>5.0999999999999996</v>
      </c>
      <c r="AK1501" t="s">
        <v>47</v>
      </c>
      <c r="AL1501" t="s">
        <v>100</v>
      </c>
      <c r="AM1501" t="s">
        <v>103</v>
      </c>
      <c r="AN1501">
        <v>28</v>
      </c>
      <c r="AO1501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2AFA-EDC4-6241-B585-46804F6C93B6}">
  <dimension ref="A3:J7"/>
  <sheetViews>
    <sheetView workbookViewId="0">
      <selection activeCell="F16" sqref="F16"/>
    </sheetView>
  </sheetViews>
  <sheetFormatPr baseColWidth="10" defaultRowHeight="16"/>
  <cols>
    <col min="1" max="1" width="14.1640625" bestFit="1" customWidth="1"/>
    <col min="2" max="4" width="17" bestFit="1" customWidth="1"/>
    <col min="5" max="6" width="10.5" bestFit="1" customWidth="1"/>
  </cols>
  <sheetData>
    <row r="3" spans="1:10">
      <c r="A3" s="2" t="s">
        <v>1676</v>
      </c>
      <c r="B3" s="2" t="s">
        <v>7</v>
      </c>
    </row>
    <row r="4" spans="1:10">
      <c r="A4" s="2" t="s">
        <v>32</v>
      </c>
      <c r="B4" t="s">
        <v>45</v>
      </c>
      <c r="C4" t="s">
        <v>61</v>
      </c>
      <c r="D4" t="s">
        <v>70</v>
      </c>
      <c r="E4" t="s">
        <v>1654</v>
      </c>
      <c r="H4" s="5"/>
      <c r="I4" s="5"/>
      <c r="J4" s="5"/>
    </row>
    <row r="5" spans="1:10">
      <c r="A5" t="s">
        <v>52</v>
      </c>
      <c r="B5">
        <v>275</v>
      </c>
      <c r="C5">
        <v>146</v>
      </c>
      <c r="D5">
        <v>914</v>
      </c>
      <c r="E5">
        <v>1335</v>
      </c>
      <c r="H5" s="6"/>
      <c r="I5" s="6"/>
      <c r="J5" s="6"/>
    </row>
    <row r="6" spans="1:10">
      <c r="A6" t="s">
        <v>121</v>
      </c>
      <c r="B6">
        <v>89</v>
      </c>
      <c r="C6">
        <v>11</v>
      </c>
      <c r="D6">
        <v>65</v>
      </c>
      <c r="E6">
        <v>165</v>
      </c>
    </row>
    <row r="7" spans="1:10">
      <c r="A7" t="s">
        <v>1654</v>
      </c>
      <c r="B7">
        <v>364</v>
      </c>
      <c r="C7">
        <v>157</v>
      </c>
      <c r="D7">
        <v>979</v>
      </c>
      <c r="E7">
        <v>1500</v>
      </c>
    </row>
  </sheetData>
  <sortState xmlns:xlrd2="http://schemas.microsoft.com/office/spreadsheetml/2017/richdata2" columnSort="1" ref="A3:E7">
    <sortCondition ref="C4" customList="Low,Moderate,High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402A-B360-4844-9954-FE4BA8109BB1}">
  <dimension ref="A2:N7"/>
  <sheetViews>
    <sheetView workbookViewId="0">
      <selection activeCell="I20" sqref="I20"/>
    </sheetView>
  </sheetViews>
  <sheetFormatPr baseColWidth="10" defaultRowHeight="16"/>
  <cols>
    <col min="13" max="13" width="33" bestFit="1" customWidth="1"/>
  </cols>
  <sheetData>
    <row r="2" spans="1:14">
      <c r="A2" s="3" t="s">
        <v>32</v>
      </c>
      <c r="B2" s="3" t="s">
        <v>47</v>
      </c>
      <c r="C2" s="3" t="s">
        <v>46</v>
      </c>
      <c r="D2" s="3" t="s">
        <v>1654</v>
      </c>
      <c r="H2" s="3" t="s">
        <v>32</v>
      </c>
      <c r="I2" s="3" t="s">
        <v>47</v>
      </c>
      <c r="J2" s="3" t="s">
        <v>46</v>
      </c>
      <c r="K2" s="15"/>
    </row>
    <row r="3" spans="1:14">
      <c r="A3" t="s">
        <v>52</v>
      </c>
      <c r="B3">
        <v>1232</v>
      </c>
      <c r="C3">
        <v>103</v>
      </c>
      <c r="D3">
        <v>1335</v>
      </c>
      <c r="H3" t="s">
        <v>52</v>
      </c>
      <c r="I3">
        <f>D3*B5/D5</f>
        <v>1234.43</v>
      </c>
      <c r="J3">
        <f>D3*C5/D5</f>
        <v>100.57</v>
      </c>
      <c r="M3" s="12">
        <f>_xlfn.CHISQ.TEST(B3:C4,I3:J4)</f>
        <v>0.44739107017871699</v>
      </c>
      <c r="N3" s="12">
        <f>M3-0.05</f>
        <v>0.397391070178717</v>
      </c>
    </row>
    <row r="4" spans="1:14">
      <c r="A4" t="s">
        <v>121</v>
      </c>
      <c r="B4">
        <v>155</v>
      </c>
      <c r="C4">
        <v>10</v>
      </c>
      <c r="D4">
        <v>165</v>
      </c>
      <c r="H4" t="s">
        <v>121</v>
      </c>
      <c r="I4">
        <f>D4*B5/D5</f>
        <v>152.57</v>
      </c>
      <c r="J4">
        <f>D4*C5/D5</f>
        <v>12.43</v>
      </c>
    </row>
    <row r="5" spans="1:14">
      <c r="A5" s="4" t="s">
        <v>1654</v>
      </c>
      <c r="B5" s="4">
        <v>1387</v>
      </c>
      <c r="C5" s="4">
        <v>113</v>
      </c>
      <c r="D5" s="4">
        <v>1500</v>
      </c>
    </row>
    <row r="7" spans="1:14">
      <c r="A7" s="15"/>
      <c r="B7" s="15"/>
      <c r="C7" s="15"/>
      <c r="E7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150C-E9BA-9544-A6F4-E4F3461524DB}">
  <dimension ref="A1:V76"/>
  <sheetViews>
    <sheetView topLeftCell="A52" workbookViewId="0">
      <selection activeCell="N64" sqref="N64"/>
    </sheetView>
  </sheetViews>
  <sheetFormatPr baseColWidth="10" defaultRowHeight="16"/>
  <cols>
    <col min="1" max="1" width="16.83203125" style="8" customWidth="1"/>
    <col min="2" max="16" width="10.83203125" style="8"/>
    <col min="17" max="17" width="14.83203125" style="8" customWidth="1"/>
    <col min="18" max="16384" width="10.83203125" style="8"/>
  </cols>
  <sheetData>
    <row r="1" spans="1:17">
      <c r="A1" s="7" t="s">
        <v>1658</v>
      </c>
      <c r="B1" s="7"/>
      <c r="C1" s="7" t="s">
        <v>1659</v>
      </c>
      <c r="D1" s="7"/>
      <c r="E1" s="7"/>
      <c r="F1" s="7"/>
      <c r="G1" s="7"/>
      <c r="H1" s="7"/>
      <c r="I1" s="7"/>
      <c r="J1" s="7" t="s">
        <v>1660</v>
      </c>
      <c r="K1" s="7"/>
      <c r="L1" s="7"/>
      <c r="M1" s="7"/>
      <c r="N1" s="7"/>
      <c r="O1" s="7" t="s">
        <v>1661</v>
      </c>
      <c r="P1" s="7"/>
      <c r="Q1" s="7" t="s">
        <v>1662</v>
      </c>
    </row>
    <row r="3" spans="1:17">
      <c r="A3" s="8" t="s">
        <v>1729</v>
      </c>
      <c r="C3" s="8" t="s">
        <v>1730</v>
      </c>
      <c r="D3" s="8" t="s">
        <v>50</v>
      </c>
      <c r="E3" s="8" t="s">
        <v>48</v>
      </c>
      <c r="F3" s="8" t="s">
        <v>62</v>
      </c>
      <c r="G3" s="8" t="s">
        <v>1654</v>
      </c>
      <c r="J3" s="8" t="s">
        <v>32</v>
      </c>
      <c r="K3" s="8" t="s">
        <v>50</v>
      </c>
      <c r="L3" s="8" t="s">
        <v>48</v>
      </c>
      <c r="M3" s="8" t="s">
        <v>62</v>
      </c>
    </row>
    <row r="4" spans="1:17">
      <c r="C4" s="8" t="s">
        <v>52</v>
      </c>
      <c r="D4" s="8">
        <v>316</v>
      </c>
      <c r="E4" s="8">
        <v>497</v>
      </c>
      <c r="F4" s="8">
        <v>522</v>
      </c>
      <c r="G4" s="8">
        <v>1335</v>
      </c>
      <c r="J4" s="8" t="s">
        <v>52</v>
      </c>
      <c r="K4" s="8">
        <v>315.06</v>
      </c>
      <c r="L4" s="8">
        <v>502.85</v>
      </c>
      <c r="M4" s="8">
        <v>517.09</v>
      </c>
      <c r="O4" s="8">
        <v>0.58624390559772666</v>
      </c>
      <c r="Q4" s="8" t="s">
        <v>1656</v>
      </c>
    </row>
    <row r="5" spans="1:17">
      <c r="C5" s="8" t="s">
        <v>121</v>
      </c>
      <c r="D5" s="8">
        <v>38</v>
      </c>
      <c r="E5" s="8">
        <v>68</v>
      </c>
      <c r="F5" s="8">
        <v>59</v>
      </c>
      <c r="G5" s="8">
        <v>165</v>
      </c>
      <c r="J5" s="8" t="s">
        <v>121</v>
      </c>
      <c r="K5" s="8">
        <v>38.94</v>
      </c>
      <c r="L5" s="8">
        <v>62.15</v>
      </c>
      <c r="M5" s="8">
        <v>63.91</v>
      </c>
    </row>
    <row r="6" spans="1:17">
      <c r="C6" s="8" t="s">
        <v>1654</v>
      </c>
      <c r="D6" s="8">
        <v>354</v>
      </c>
      <c r="E6" s="8">
        <v>565</v>
      </c>
      <c r="F6" s="8">
        <v>581</v>
      </c>
      <c r="G6" s="8">
        <v>1500</v>
      </c>
    </row>
    <row r="10" spans="1:17">
      <c r="A10" s="8" t="s">
        <v>1731</v>
      </c>
      <c r="C10" s="8" t="s">
        <v>32</v>
      </c>
      <c r="D10" s="8" t="s">
        <v>48</v>
      </c>
      <c r="E10" s="8" t="s">
        <v>63</v>
      </c>
      <c r="F10" s="8" t="s">
        <v>49</v>
      </c>
      <c r="G10" s="8" t="s">
        <v>1654</v>
      </c>
      <c r="J10" s="8" t="s">
        <v>32</v>
      </c>
      <c r="K10" s="8" t="s">
        <v>48</v>
      </c>
      <c r="L10" s="8" t="s">
        <v>63</v>
      </c>
      <c r="M10" s="8" t="s">
        <v>49</v>
      </c>
    </row>
    <row r="11" spans="1:17">
      <c r="C11" s="8" t="s">
        <v>52</v>
      </c>
      <c r="D11" s="8">
        <v>553</v>
      </c>
      <c r="E11" s="8">
        <v>261</v>
      </c>
      <c r="F11" s="8">
        <v>521</v>
      </c>
      <c r="G11" s="8">
        <v>1335</v>
      </c>
      <c r="J11" s="8" t="s">
        <v>52</v>
      </c>
      <c r="K11" s="8">
        <v>546.46</v>
      </c>
      <c r="L11" s="8">
        <v>265.22000000000003</v>
      </c>
      <c r="M11" s="8">
        <v>523.32000000000005</v>
      </c>
      <c r="O11" s="8">
        <v>0.4927601752970116</v>
      </c>
      <c r="Q11" s="8" t="s">
        <v>1656</v>
      </c>
    </row>
    <row r="12" spans="1:17">
      <c r="C12" s="8" t="s">
        <v>121</v>
      </c>
      <c r="D12" s="8">
        <v>61</v>
      </c>
      <c r="E12" s="8">
        <v>37</v>
      </c>
      <c r="F12" s="8">
        <v>67</v>
      </c>
      <c r="G12" s="8">
        <v>165</v>
      </c>
      <c r="J12" s="8" t="s">
        <v>121</v>
      </c>
      <c r="K12" s="8">
        <v>67.540000000000006</v>
      </c>
      <c r="L12" s="8">
        <v>32.78</v>
      </c>
      <c r="M12" s="8">
        <v>64.680000000000007</v>
      </c>
    </row>
    <row r="13" spans="1:17">
      <c r="C13" s="8" t="s">
        <v>1654</v>
      </c>
      <c r="D13" s="8">
        <v>614</v>
      </c>
      <c r="E13" s="8">
        <v>298</v>
      </c>
      <c r="F13" s="8">
        <v>588</v>
      </c>
      <c r="G13" s="8">
        <v>1500</v>
      </c>
    </row>
    <row r="17" spans="1:17">
      <c r="A17" s="8" t="s">
        <v>1732</v>
      </c>
      <c r="C17" s="8" t="s">
        <v>32</v>
      </c>
      <c r="D17" s="8" t="s">
        <v>47</v>
      </c>
      <c r="E17" s="8" t="s">
        <v>46</v>
      </c>
      <c r="F17" s="8" t="s">
        <v>1654</v>
      </c>
      <c r="J17" s="8" t="s">
        <v>32</v>
      </c>
      <c r="K17" s="8" t="s">
        <v>47</v>
      </c>
      <c r="L17" s="8" t="s">
        <v>46</v>
      </c>
    </row>
    <row r="18" spans="1:17">
      <c r="C18" s="8" t="s">
        <v>52</v>
      </c>
      <c r="D18" s="8">
        <v>1259</v>
      </c>
      <c r="E18" s="8">
        <v>76</v>
      </c>
      <c r="F18" s="8">
        <v>1335</v>
      </c>
      <c r="J18" s="8" t="s">
        <v>52</v>
      </c>
      <c r="K18" s="8">
        <v>1261.1300000000001</v>
      </c>
      <c r="L18" s="8">
        <v>73.87</v>
      </c>
      <c r="O18" s="8">
        <v>0.44201568437148891</v>
      </c>
      <c r="Q18" s="8" t="s">
        <v>1656</v>
      </c>
    </row>
    <row r="19" spans="1:17">
      <c r="C19" s="8" t="s">
        <v>121</v>
      </c>
      <c r="D19" s="8">
        <v>158</v>
      </c>
      <c r="E19" s="8">
        <v>7</v>
      </c>
      <c r="F19" s="8">
        <v>165</v>
      </c>
      <c r="J19" s="8" t="s">
        <v>121</v>
      </c>
      <c r="K19" s="8">
        <v>155.87</v>
      </c>
      <c r="L19" s="8">
        <v>9.1300000000000008</v>
      </c>
    </row>
    <row r="20" spans="1:17">
      <c r="C20" s="8" t="s">
        <v>1654</v>
      </c>
      <c r="D20" s="8">
        <v>1417</v>
      </c>
      <c r="E20" s="8">
        <v>83</v>
      </c>
      <c r="F20" s="8">
        <v>1500</v>
      </c>
    </row>
    <row r="24" spans="1:17">
      <c r="A24" s="8" t="s">
        <v>1733</v>
      </c>
      <c r="C24" s="10" t="s">
        <v>32</v>
      </c>
      <c r="D24" s="6" t="s">
        <v>50</v>
      </c>
      <c r="E24" s="6" t="s">
        <v>48</v>
      </c>
      <c r="F24" s="6" t="s">
        <v>62</v>
      </c>
      <c r="G24" s="6" t="s">
        <v>1654</v>
      </c>
      <c r="H24" s="9"/>
      <c r="I24" s="9"/>
      <c r="J24" s="9" t="s">
        <v>32</v>
      </c>
      <c r="K24" s="9" t="s">
        <v>50</v>
      </c>
      <c r="L24" s="9" t="s">
        <v>48</v>
      </c>
      <c r="M24" s="9" t="s">
        <v>62</v>
      </c>
      <c r="N24" s="9"/>
      <c r="O24" s="9"/>
    </row>
    <row r="25" spans="1:17">
      <c r="C25" s="10" t="s">
        <v>52</v>
      </c>
      <c r="D25" s="6">
        <v>509</v>
      </c>
      <c r="E25" s="6">
        <v>484</v>
      </c>
      <c r="F25" s="6">
        <v>342</v>
      </c>
      <c r="G25" s="6">
        <v>1335</v>
      </c>
      <c r="H25" s="9"/>
      <c r="I25" s="9"/>
      <c r="J25" s="9" t="s">
        <v>52</v>
      </c>
      <c r="K25" s="9">
        <v>506.41</v>
      </c>
      <c r="L25" s="9">
        <v>478.82</v>
      </c>
      <c r="M25" s="9">
        <v>349.77</v>
      </c>
      <c r="N25" s="9"/>
      <c r="O25" s="9">
        <v>0.33303392167145041</v>
      </c>
      <c r="Q25" s="8" t="s">
        <v>1656</v>
      </c>
    </row>
    <row r="26" spans="1:17">
      <c r="C26" s="10" t="s">
        <v>121</v>
      </c>
      <c r="D26" s="6">
        <v>60</v>
      </c>
      <c r="E26" s="6">
        <v>54</v>
      </c>
      <c r="F26" s="6">
        <v>51</v>
      </c>
      <c r="G26" s="6">
        <v>165</v>
      </c>
      <c r="H26" s="9"/>
      <c r="I26" s="9"/>
      <c r="J26" s="9" t="s">
        <v>121</v>
      </c>
      <c r="K26" s="9">
        <v>62.59</v>
      </c>
      <c r="L26" s="9">
        <v>59.18</v>
      </c>
      <c r="M26" s="9">
        <v>43.23</v>
      </c>
      <c r="N26" s="9"/>
      <c r="O26" s="9"/>
    </row>
    <row r="27" spans="1:17">
      <c r="C27" s="10" t="s">
        <v>1654</v>
      </c>
      <c r="D27" s="6">
        <v>569</v>
      </c>
      <c r="E27" s="6">
        <v>538</v>
      </c>
      <c r="F27" s="6">
        <v>393</v>
      </c>
      <c r="G27" s="6">
        <v>1500</v>
      </c>
      <c r="H27" s="9"/>
      <c r="I27" s="9"/>
      <c r="J27" s="9"/>
      <c r="K27" s="9"/>
      <c r="L27" s="9"/>
      <c r="M27" s="9"/>
      <c r="N27" s="9"/>
      <c r="O27" s="9"/>
    </row>
    <row r="28" spans="1:17">
      <c r="C28" s="10"/>
      <c r="D28" s="6"/>
      <c r="E28" s="6"/>
      <c r="F28" s="6"/>
      <c r="G28" s="6"/>
      <c r="H28" s="9"/>
      <c r="I28" s="9"/>
      <c r="J28" s="9"/>
      <c r="K28" s="9"/>
      <c r="L28" s="9"/>
      <c r="M28" s="9"/>
      <c r="N28" s="9"/>
      <c r="O28" s="9"/>
    </row>
    <row r="29" spans="1:17">
      <c r="C29" s="10"/>
      <c r="D29" s="6"/>
      <c r="E29" s="6"/>
      <c r="F29" s="6"/>
      <c r="G29" s="6"/>
      <c r="H29" s="9"/>
      <c r="I29" s="9"/>
      <c r="J29" s="9"/>
      <c r="K29" s="9"/>
      <c r="L29" s="9"/>
      <c r="M29" s="9"/>
      <c r="N29" s="9"/>
      <c r="O29" s="9"/>
    </row>
    <row r="31" spans="1:17">
      <c r="A31" s="8" t="s">
        <v>1734</v>
      </c>
      <c r="C31" s="8" t="s">
        <v>32</v>
      </c>
      <c r="D31" s="8" t="s">
        <v>47</v>
      </c>
      <c r="E31" s="8" t="s">
        <v>46</v>
      </c>
      <c r="F31" s="8" t="s">
        <v>1654</v>
      </c>
      <c r="J31" s="8" t="s">
        <v>32</v>
      </c>
      <c r="K31" s="8" t="s">
        <v>47</v>
      </c>
      <c r="L31" s="8" t="s">
        <v>46</v>
      </c>
    </row>
    <row r="32" spans="1:17">
      <c r="C32" s="8" t="s">
        <v>52</v>
      </c>
      <c r="D32" s="8">
        <v>1002</v>
      </c>
      <c r="E32" s="8">
        <v>333</v>
      </c>
      <c r="F32" s="8">
        <v>1335</v>
      </c>
      <c r="J32" s="8" t="s">
        <v>52</v>
      </c>
      <c r="K32" s="8">
        <v>995.91</v>
      </c>
      <c r="L32" s="8">
        <v>339.09</v>
      </c>
      <c r="O32" s="8">
        <v>0.24829512103328127</v>
      </c>
      <c r="Q32" s="8" t="s">
        <v>1656</v>
      </c>
    </row>
    <row r="33" spans="1:21">
      <c r="C33" s="8" t="s">
        <v>121</v>
      </c>
      <c r="D33" s="8">
        <v>117</v>
      </c>
      <c r="E33" s="8">
        <v>48</v>
      </c>
      <c r="F33" s="8">
        <v>165</v>
      </c>
      <c r="J33" s="8" t="s">
        <v>121</v>
      </c>
      <c r="K33" s="8">
        <v>123.09</v>
      </c>
      <c r="L33" s="8">
        <v>41.91</v>
      </c>
    </row>
    <row r="34" spans="1:21">
      <c r="C34" s="8" t="s">
        <v>1654</v>
      </c>
      <c r="D34" s="8">
        <v>1119</v>
      </c>
      <c r="E34" s="8">
        <v>381</v>
      </c>
      <c r="F34" s="8">
        <v>1500</v>
      </c>
    </row>
    <row r="38" spans="1:21">
      <c r="A38" s="8" t="s">
        <v>1735</v>
      </c>
      <c r="C38" s="8" t="s">
        <v>32</v>
      </c>
      <c r="D38" s="8" t="s">
        <v>44</v>
      </c>
      <c r="E38" s="8" t="s">
        <v>60</v>
      </c>
      <c r="F38" s="8" t="s">
        <v>1654</v>
      </c>
      <c r="J38" s="8" t="s">
        <v>32</v>
      </c>
      <c r="K38" s="8" t="s">
        <v>44</v>
      </c>
      <c r="L38" s="8" t="s">
        <v>60</v>
      </c>
      <c r="O38" s="12"/>
      <c r="Q38" s="8" t="s">
        <v>1656</v>
      </c>
      <c r="S38" s="15"/>
      <c r="T38" s="15"/>
      <c r="U38" s="15"/>
    </row>
    <row r="39" spans="1:21">
      <c r="C39" s="8" t="s">
        <v>52</v>
      </c>
      <c r="D39" s="8">
        <v>511</v>
      </c>
      <c r="E39" s="8">
        <v>824</v>
      </c>
      <c r="F39" s="8">
        <v>1335</v>
      </c>
      <c r="J39" s="8" t="s">
        <v>52</v>
      </c>
      <c r="K39" s="8">
        <v>503.74</v>
      </c>
      <c r="L39" s="8">
        <v>831.26</v>
      </c>
      <c r="O39" s="8">
        <v>0.216468317581925</v>
      </c>
      <c r="S39"/>
      <c r="T39"/>
      <c r="U39"/>
    </row>
    <row r="40" spans="1:21">
      <c r="C40" s="8" t="s">
        <v>121</v>
      </c>
      <c r="D40" s="8">
        <v>55</v>
      </c>
      <c r="E40" s="8">
        <v>110</v>
      </c>
      <c r="F40" s="8">
        <v>165</v>
      </c>
      <c r="J40" s="8" t="s">
        <v>121</v>
      </c>
      <c r="K40" s="8">
        <v>62.26</v>
      </c>
      <c r="L40" s="8">
        <v>102.74</v>
      </c>
      <c r="S40"/>
      <c r="T40"/>
      <c r="U40"/>
    </row>
    <row r="41" spans="1:21">
      <c r="C41" s="8" t="s">
        <v>1654</v>
      </c>
      <c r="D41" s="8">
        <v>566</v>
      </c>
      <c r="E41" s="8">
        <v>934</v>
      </c>
      <c r="F41" s="8">
        <v>1500</v>
      </c>
      <c r="S41"/>
      <c r="T41"/>
      <c r="U41"/>
    </row>
    <row r="42" spans="1:21">
      <c r="S42"/>
      <c r="T42"/>
      <c r="U42"/>
    </row>
    <row r="45" spans="1:21">
      <c r="A45" s="8" t="s">
        <v>1736</v>
      </c>
      <c r="C45" s="8" t="s">
        <v>32</v>
      </c>
      <c r="D45" s="8" t="s">
        <v>47</v>
      </c>
      <c r="E45" s="8" t="s">
        <v>46</v>
      </c>
      <c r="F45" s="8" t="s">
        <v>1654</v>
      </c>
      <c r="J45" s="8" t="s">
        <v>32</v>
      </c>
      <c r="K45" s="8" t="s">
        <v>47</v>
      </c>
      <c r="L45" s="8" t="s">
        <v>46</v>
      </c>
    </row>
    <row r="46" spans="1:21">
      <c r="C46" s="8" t="s">
        <v>52</v>
      </c>
      <c r="D46" s="8">
        <v>1045</v>
      </c>
      <c r="E46" s="8">
        <v>290</v>
      </c>
      <c r="F46" s="8">
        <v>1335</v>
      </c>
      <c r="J46" s="8" t="s">
        <v>52</v>
      </c>
      <c r="K46" s="8">
        <v>1050.2</v>
      </c>
      <c r="L46" s="8">
        <v>284.8</v>
      </c>
      <c r="O46" s="8">
        <v>0.29488281593106108</v>
      </c>
      <c r="Q46" s="8" t="s">
        <v>1656</v>
      </c>
    </row>
    <row r="47" spans="1:21">
      <c r="C47" s="8" t="s">
        <v>121</v>
      </c>
      <c r="D47" s="8">
        <v>135</v>
      </c>
      <c r="E47" s="8">
        <v>30</v>
      </c>
      <c r="F47" s="8">
        <v>165</v>
      </c>
      <c r="J47" s="8" t="s">
        <v>121</v>
      </c>
      <c r="K47" s="8">
        <v>129.80000000000001</v>
      </c>
      <c r="L47" s="8">
        <v>35.200000000000003</v>
      </c>
    </row>
    <row r="48" spans="1:21">
      <c r="C48" s="8" t="s">
        <v>1654</v>
      </c>
      <c r="D48" s="8">
        <v>1180</v>
      </c>
      <c r="E48" s="8">
        <v>320</v>
      </c>
      <c r="F48" s="8">
        <v>1500</v>
      </c>
    </row>
    <row r="52" spans="1:17">
      <c r="A52" s="8" t="s">
        <v>1737</v>
      </c>
      <c r="C52" s="8" t="s">
        <v>32</v>
      </c>
      <c r="D52" s="8" t="s">
        <v>47</v>
      </c>
      <c r="E52" s="8" t="s">
        <v>46</v>
      </c>
      <c r="F52" s="8" t="s">
        <v>1654</v>
      </c>
      <c r="J52" s="8" t="s">
        <v>32</v>
      </c>
      <c r="K52" s="8" t="s">
        <v>47</v>
      </c>
      <c r="L52" s="8" t="s">
        <v>46</v>
      </c>
    </row>
    <row r="53" spans="1:17">
      <c r="C53" s="8" t="s">
        <v>52</v>
      </c>
      <c r="D53" s="8">
        <v>1247</v>
      </c>
      <c r="E53" s="8">
        <v>88</v>
      </c>
      <c r="F53" s="8">
        <v>1335</v>
      </c>
      <c r="J53" s="8" t="s">
        <v>52</v>
      </c>
      <c r="K53" s="8">
        <v>1247.78</v>
      </c>
      <c r="L53" s="8">
        <v>87.22</v>
      </c>
      <c r="O53" s="8">
        <v>0.79449934220517282</v>
      </c>
      <c r="Q53" s="8" t="s">
        <v>1656</v>
      </c>
    </row>
    <row r="54" spans="1:17">
      <c r="C54" s="8" t="s">
        <v>121</v>
      </c>
      <c r="D54" s="8">
        <v>155</v>
      </c>
      <c r="E54" s="8">
        <v>10</v>
      </c>
      <c r="F54" s="8">
        <v>165</v>
      </c>
      <c r="J54" s="8" t="s">
        <v>121</v>
      </c>
      <c r="K54" s="8">
        <v>154.22</v>
      </c>
      <c r="L54" s="8">
        <v>10.78</v>
      </c>
    </row>
    <row r="55" spans="1:17">
      <c r="C55" s="8" t="s">
        <v>1654</v>
      </c>
      <c r="D55" s="8">
        <v>1402</v>
      </c>
      <c r="E55" s="8">
        <v>98</v>
      </c>
      <c r="F55" s="8">
        <v>1500</v>
      </c>
    </row>
    <row r="59" spans="1:17">
      <c r="A59" s="8" t="s">
        <v>1738</v>
      </c>
      <c r="C59" s="8" t="s">
        <v>32</v>
      </c>
      <c r="D59" s="8" t="s">
        <v>47</v>
      </c>
      <c r="E59" s="8" t="s">
        <v>46</v>
      </c>
      <c r="F59" s="8" t="s">
        <v>1654</v>
      </c>
      <c r="J59" s="8" t="s">
        <v>32</v>
      </c>
      <c r="K59" s="8" t="s">
        <v>47</v>
      </c>
      <c r="L59" s="8" t="s">
        <v>46</v>
      </c>
    </row>
    <row r="60" spans="1:17">
      <c r="C60" s="8" t="s">
        <v>52</v>
      </c>
      <c r="D60" s="8">
        <v>1232</v>
      </c>
      <c r="E60" s="8">
        <v>103</v>
      </c>
      <c r="F60" s="8">
        <v>1335</v>
      </c>
      <c r="J60" s="8" t="s">
        <v>52</v>
      </c>
      <c r="K60" s="8">
        <v>1234.43</v>
      </c>
      <c r="L60" s="8">
        <v>100.57</v>
      </c>
      <c r="O60" s="8">
        <v>0.44739107017871699</v>
      </c>
      <c r="Q60" s="8" t="s">
        <v>1656</v>
      </c>
    </row>
    <row r="61" spans="1:17">
      <c r="C61" s="8" t="s">
        <v>121</v>
      </c>
      <c r="D61" s="8">
        <v>155</v>
      </c>
      <c r="E61" s="8">
        <v>10</v>
      </c>
      <c r="F61" s="8">
        <v>165</v>
      </c>
      <c r="J61" s="8" t="s">
        <v>121</v>
      </c>
      <c r="K61" s="8">
        <v>152.57</v>
      </c>
      <c r="L61" s="8">
        <v>12.43</v>
      </c>
    </row>
    <row r="62" spans="1:17">
      <c r="C62" s="8" t="s">
        <v>1654</v>
      </c>
      <c r="D62" s="8">
        <v>1387</v>
      </c>
      <c r="E62" s="8">
        <v>113</v>
      </c>
      <c r="F62" s="8">
        <v>1500</v>
      </c>
    </row>
    <row r="66" spans="1:22">
      <c r="A66" s="8" t="s">
        <v>1739</v>
      </c>
      <c r="C66" s="8" t="s">
        <v>32</v>
      </c>
      <c r="D66" s="8" t="s">
        <v>45</v>
      </c>
      <c r="E66" s="8" t="s">
        <v>61</v>
      </c>
      <c r="F66" s="8" t="s">
        <v>70</v>
      </c>
      <c r="G66" s="8" t="s">
        <v>1654</v>
      </c>
      <c r="J66" s="8" t="s">
        <v>32</v>
      </c>
      <c r="K66" s="8" t="s">
        <v>45</v>
      </c>
      <c r="L66" s="8" t="s">
        <v>61</v>
      </c>
      <c r="M66" s="8" t="s">
        <v>70</v>
      </c>
    </row>
    <row r="67" spans="1:22">
      <c r="C67" s="8" t="s">
        <v>52</v>
      </c>
      <c r="D67" s="8">
        <v>275</v>
      </c>
      <c r="E67" s="8">
        <v>146</v>
      </c>
      <c r="F67" s="8">
        <v>914</v>
      </c>
      <c r="G67" s="8">
        <v>1335</v>
      </c>
      <c r="J67" s="8" t="s">
        <v>52</v>
      </c>
      <c r="K67" s="8">
        <v>323.95999999999998</v>
      </c>
      <c r="L67" s="8">
        <v>139.72999999999999</v>
      </c>
      <c r="M67" s="8">
        <v>871.31</v>
      </c>
      <c r="O67" s="8">
        <v>5.115654422177563E-20</v>
      </c>
      <c r="Q67" s="11" t="s">
        <v>1667</v>
      </c>
      <c r="S67" s="15" t="s">
        <v>1741</v>
      </c>
      <c r="T67" s="15" t="s">
        <v>1721</v>
      </c>
      <c r="U67" s="15" t="s">
        <v>1722</v>
      </c>
      <c r="V67" s="15" t="s">
        <v>1701</v>
      </c>
    </row>
    <row r="68" spans="1:22">
      <c r="C68" s="8" t="s">
        <v>121</v>
      </c>
      <c r="D68" s="8">
        <v>89</v>
      </c>
      <c r="E68" s="8">
        <v>11</v>
      </c>
      <c r="F68" s="8">
        <v>65</v>
      </c>
      <c r="G68" s="8">
        <v>165</v>
      </c>
      <c r="J68" s="8" t="s">
        <v>121</v>
      </c>
      <c r="K68" s="8">
        <v>40.04</v>
      </c>
      <c r="L68" s="8">
        <v>17.27</v>
      </c>
      <c r="M68" s="8">
        <v>107.69</v>
      </c>
      <c r="S68" t="s">
        <v>52</v>
      </c>
      <c r="T68" t="s">
        <v>1723</v>
      </c>
      <c r="U68">
        <v>-2.72</v>
      </c>
      <c r="V68" t="s">
        <v>1724</v>
      </c>
    </row>
    <row r="69" spans="1:22">
      <c r="C69" s="8" t="s">
        <v>1654</v>
      </c>
      <c r="D69" s="8">
        <v>364</v>
      </c>
      <c r="E69" s="8">
        <v>157</v>
      </c>
      <c r="F69" s="8">
        <v>979</v>
      </c>
      <c r="G69" s="8">
        <v>1500</v>
      </c>
      <c r="S69" t="s">
        <v>52</v>
      </c>
      <c r="T69" t="s">
        <v>1742</v>
      </c>
      <c r="U69">
        <v>0.53</v>
      </c>
      <c r="V69" t="s">
        <v>1743</v>
      </c>
    </row>
    <row r="70" spans="1:22">
      <c r="S70" t="s">
        <v>52</v>
      </c>
      <c r="T70" t="s">
        <v>1725</v>
      </c>
      <c r="U70">
        <v>2.04</v>
      </c>
      <c r="V70" t="s">
        <v>1744</v>
      </c>
    </row>
    <row r="71" spans="1:22">
      <c r="S71" t="s">
        <v>121</v>
      </c>
      <c r="T71" t="s">
        <v>1723</v>
      </c>
      <c r="U71">
        <v>7.74</v>
      </c>
      <c r="V71" s="15" t="s">
        <v>1727</v>
      </c>
    </row>
    <row r="72" spans="1:22">
      <c r="S72" t="s">
        <v>121</v>
      </c>
      <c r="T72" t="s">
        <v>1742</v>
      </c>
      <c r="U72">
        <v>-1.51</v>
      </c>
      <c r="V72" t="s">
        <v>1745</v>
      </c>
    </row>
    <row r="73" spans="1:22">
      <c r="A73" s="8" t="s">
        <v>1740</v>
      </c>
      <c r="C73" s="8" t="s">
        <v>32</v>
      </c>
      <c r="D73" s="8" t="s">
        <v>47</v>
      </c>
      <c r="E73" s="8" t="s">
        <v>46</v>
      </c>
      <c r="F73" s="8" t="s">
        <v>1654</v>
      </c>
      <c r="J73" s="8" t="s">
        <v>32</v>
      </c>
      <c r="K73" s="8" t="s">
        <v>47</v>
      </c>
      <c r="L73" s="8" t="s">
        <v>46</v>
      </c>
    </row>
    <row r="74" spans="1:22">
      <c r="C74" s="8" t="s">
        <v>52</v>
      </c>
      <c r="D74" s="8">
        <v>698</v>
      </c>
      <c r="E74" s="8">
        <v>637</v>
      </c>
      <c r="F74" s="8">
        <v>1335</v>
      </c>
      <c r="J74" s="8" t="s">
        <v>52</v>
      </c>
      <c r="K74" s="8">
        <v>699.54</v>
      </c>
      <c r="L74" s="8">
        <v>635.46</v>
      </c>
      <c r="O74" s="8">
        <v>0.79914241910812089</v>
      </c>
      <c r="Q74" s="8" t="s">
        <v>1656</v>
      </c>
    </row>
    <row r="75" spans="1:22">
      <c r="C75" s="8" t="s">
        <v>121</v>
      </c>
      <c r="D75" s="8">
        <v>88</v>
      </c>
      <c r="E75" s="8">
        <v>77</v>
      </c>
      <c r="F75" s="8">
        <v>165</v>
      </c>
      <c r="J75" s="8" t="s">
        <v>121</v>
      </c>
      <c r="K75" s="8">
        <v>86.46</v>
      </c>
      <c r="L75" s="8">
        <v>78.540000000000006</v>
      </c>
    </row>
    <row r="76" spans="1:22">
      <c r="C76" s="8" t="s">
        <v>1654</v>
      </c>
      <c r="D76" s="8">
        <v>786</v>
      </c>
      <c r="E76" s="8">
        <v>714</v>
      </c>
      <c r="F76" s="8">
        <v>1500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75CC7-4AB8-6F41-AC4B-BA767C79109C}">
  <dimension ref="A1:V78"/>
  <sheetViews>
    <sheetView workbookViewId="0">
      <pane ySplit="1" topLeftCell="A2" activePane="bottomLeft" state="frozen"/>
      <selection pane="bottomLeft" activeCell="Y30" sqref="Y30"/>
    </sheetView>
  </sheetViews>
  <sheetFormatPr baseColWidth="10" defaultRowHeight="16"/>
  <cols>
    <col min="1" max="1" width="16.83203125" style="8" customWidth="1"/>
    <col min="2" max="16" width="10.83203125" style="8"/>
    <col min="17" max="17" width="14.83203125" style="8" customWidth="1"/>
    <col min="18" max="16384" width="10.83203125" style="8"/>
  </cols>
  <sheetData>
    <row r="1" spans="1:17">
      <c r="A1" s="7" t="s">
        <v>1658</v>
      </c>
      <c r="B1" s="7"/>
      <c r="C1" s="7" t="s">
        <v>1659</v>
      </c>
      <c r="D1" s="7"/>
      <c r="E1" s="7"/>
      <c r="F1" s="7"/>
      <c r="G1" s="7"/>
      <c r="H1" s="7"/>
      <c r="I1" s="7"/>
      <c r="J1" s="7" t="s">
        <v>1660</v>
      </c>
      <c r="K1" s="7"/>
      <c r="L1" s="7"/>
      <c r="M1" s="7"/>
      <c r="N1" s="7"/>
      <c r="O1" s="7" t="s">
        <v>1661</v>
      </c>
      <c r="P1" s="7"/>
      <c r="Q1" s="7" t="s">
        <v>1662</v>
      </c>
    </row>
    <row r="3" spans="1:17">
      <c r="A3" s="8" t="s">
        <v>1655</v>
      </c>
      <c r="C3" s="8" t="s">
        <v>34</v>
      </c>
      <c r="D3" s="8" t="s">
        <v>50</v>
      </c>
      <c r="E3" s="8" t="s">
        <v>48</v>
      </c>
      <c r="F3" s="8" t="s">
        <v>62</v>
      </c>
      <c r="G3" s="8" t="s">
        <v>1654</v>
      </c>
      <c r="K3" s="8" t="s">
        <v>50</v>
      </c>
      <c r="L3" s="8" t="s">
        <v>48</v>
      </c>
      <c r="M3" s="8" t="s">
        <v>62</v>
      </c>
    </row>
    <row r="4" spans="1:17">
      <c r="C4" s="8" t="s">
        <v>65</v>
      </c>
      <c r="D4" s="8">
        <v>87</v>
      </c>
      <c r="E4" s="8">
        <v>173</v>
      </c>
      <c r="F4" s="8">
        <v>176</v>
      </c>
      <c r="G4" s="8">
        <v>436</v>
      </c>
      <c r="J4" s="8" t="s">
        <v>65</v>
      </c>
      <c r="K4" s="8">
        <v>102.896</v>
      </c>
      <c r="L4" s="8">
        <v>164.22666666666666</v>
      </c>
      <c r="M4" s="8">
        <v>168.87733333333333</v>
      </c>
      <c r="O4" s="8">
        <v>0.33543826395058157</v>
      </c>
      <c r="Q4" s="8" t="s">
        <v>1656</v>
      </c>
    </row>
    <row r="5" spans="1:17">
      <c r="C5" s="8" t="s">
        <v>87</v>
      </c>
      <c r="D5" s="8">
        <v>92</v>
      </c>
      <c r="E5" s="8">
        <v>129</v>
      </c>
      <c r="F5" s="8">
        <v>135</v>
      </c>
      <c r="G5" s="8">
        <v>356</v>
      </c>
      <c r="J5" s="8" t="s">
        <v>87</v>
      </c>
      <c r="K5" s="8">
        <v>84.016000000000005</v>
      </c>
      <c r="L5" s="8">
        <v>134.09333333333333</v>
      </c>
      <c r="M5" s="8">
        <v>137.89066666666668</v>
      </c>
    </row>
    <row r="6" spans="1:17">
      <c r="C6" s="8" t="s">
        <v>80</v>
      </c>
      <c r="D6" s="8">
        <v>79</v>
      </c>
      <c r="E6" s="8">
        <v>137</v>
      </c>
      <c r="F6" s="8">
        <v>135</v>
      </c>
      <c r="G6" s="8">
        <v>351</v>
      </c>
      <c r="J6" s="8" t="s">
        <v>80</v>
      </c>
      <c r="K6" s="8">
        <v>82.835999999999999</v>
      </c>
      <c r="L6" s="8">
        <v>132.21</v>
      </c>
      <c r="M6" s="8">
        <v>135.95400000000001</v>
      </c>
    </row>
    <row r="7" spans="1:17">
      <c r="C7" s="8" t="s">
        <v>54</v>
      </c>
      <c r="D7" s="8">
        <v>96</v>
      </c>
      <c r="E7" s="8">
        <v>126</v>
      </c>
      <c r="F7" s="8">
        <v>135</v>
      </c>
      <c r="G7" s="8">
        <v>357</v>
      </c>
      <c r="J7" s="8" t="s">
        <v>54</v>
      </c>
      <c r="K7" s="8">
        <v>84.251999999999995</v>
      </c>
      <c r="L7" s="8">
        <v>134.47</v>
      </c>
      <c r="M7" s="8">
        <v>138.27799999999999</v>
      </c>
    </row>
    <row r="8" spans="1:17">
      <c r="C8" s="8" t="s">
        <v>1654</v>
      </c>
      <c r="D8" s="8">
        <v>354</v>
      </c>
      <c r="E8" s="8">
        <v>565</v>
      </c>
      <c r="F8" s="8">
        <v>581</v>
      </c>
      <c r="G8" s="8">
        <v>1500</v>
      </c>
    </row>
    <row r="10" spans="1:17">
      <c r="A10" s="8" t="s">
        <v>1657</v>
      </c>
      <c r="C10" s="8" t="s">
        <v>34</v>
      </c>
      <c r="D10" s="8" t="s">
        <v>48</v>
      </c>
      <c r="E10" s="8" t="s">
        <v>63</v>
      </c>
      <c r="F10" s="8" t="s">
        <v>49</v>
      </c>
      <c r="G10" s="8" t="s">
        <v>1654</v>
      </c>
      <c r="K10" s="8" t="s">
        <v>48</v>
      </c>
      <c r="L10" s="8" t="s">
        <v>63</v>
      </c>
      <c r="M10" s="8" t="s">
        <v>49</v>
      </c>
    </row>
    <row r="11" spans="1:17">
      <c r="C11" s="8" t="s">
        <v>65</v>
      </c>
      <c r="D11" s="8">
        <v>182</v>
      </c>
      <c r="E11" s="8">
        <v>91</v>
      </c>
      <c r="F11" s="8">
        <v>163</v>
      </c>
      <c r="G11" s="8">
        <v>436</v>
      </c>
      <c r="J11" s="8" t="s">
        <v>65</v>
      </c>
      <c r="K11" s="8">
        <v>178.46933333333334</v>
      </c>
      <c r="L11" s="8">
        <v>86.61866666666667</v>
      </c>
      <c r="M11" s="8">
        <v>170.91200000000001</v>
      </c>
      <c r="O11" s="8">
        <v>0.85554041625274513</v>
      </c>
      <c r="Q11" s="8" t="s">
        <v>1656</v>
      </c>
    </row>
    <row r="12" spans="1:17">
      <c r="C12" s="8" t="s">
        <v>87</v>
      </c>
      <c r="D12" s="8">
        <v>141</v>
      </c>
      <c r="E12" s="8">
        <v>74</v>
      </c>
      <c r="F12" s="8">
        <v>141</v>
      </c>
      <c r="G12" s="8">
        <v>356</v>
      </c>
      <c r="J12" s="8" t="s">
        <v>87</v>
      </c>
      <c r="K12" s="8">
        <v>145.72266666666667</v>
      </c>
      <c r="L12" s="8">
        <v>70.725333333333339</v>
      </c>
      <c r="M12" s="8">
        <v>139.55199999999999</v>
      </c>
    </row>
    <row r="13" spans="1:17">
      <c r="C13" s="8" t="s">
        <v>80</v>
      </c>
      <c r="D13" s="8">
        <v>151</v>
      </c>
      <c r="E13" s="8">
        <v>64</v>
      </c>
      <c r="F13" s="8">
        <v>136</v>
      </c>
      <c r="G13" s="8">
        <v>351</v>
      </c>
      <c r="J13" s="8" t="s">
        <v>80</v>
      </c>
      <c r="K13" s="8">
        <v>143.67599999999999</v>
      </c>
      <c r="L13" s="8">
        <v>69.731999999999999</v>
      </c>
      <c r="M13" s="8">
        <v>137.59200000000001</v>
      </c>
    </row>
    <row r="14" spans="1:17">
      <c r="C14" s="8" t="s">
        <v>54</v>
      </c>
      <c r="D14" s="8">
        <v>140</v>
      </c>
      <c r="E14" s="8">
        <v>69</v>
      </c>
      <c r="F14" s="8">
        <v>148</v>
      </c>
      <c r="G14" s="8">
        <v>357</v>
      </c>
      <c r="J14" s="8" t="s">
        <v>54</v>
      </c>
      <c r="K14" s="8">
        <v>146.13200000000001</v>
      </c>
      <c r="L14" s="8">
        <v>70.924000000000007</v>
      </c>
      <c r="M14" s="8">
        <v>139.94399999999999</v>
      </c>
    </row>
    <row r="15" spans="1:17">
      <c r="C15" s="8" t="s">
        <v>1654</v>
      </c>
      <c r="D15" s="8">
        <v>614</v>
      </c>
      <c r="E15" s="8">
        <v>298</v>
      </c>
      <c r="F15" s="8">
        <v>588</v>
      </c>
      <c r="G15" s="8">
        <v>1500</v>
      </c>
    </row>
    <row r="17" spans="1:17">
      <c r="A17" s="8" t="s">
        <v>1663</v>
      </c>
      <c r="C17" s="8" t="s">
        <v>34</v>
      </c>
      <c r="D17" s="8" t="s">
        <v>47</v>
      </c>
      <c r="E17" s="8" t="s">
        <v>46</v>
      </c>
      <c r="F17" s="8" t="s">
        <v>1654</v>
      </c>
      <c r="K17" s="8" t="s">
        <v>47</v>
      </c>
      <c r="L17" s="8" t="s">
        <v>46</v>
      </c>
    </row>
    <row r="18" spans="1:17">
      <c r="C18" s="8" t="s">
        <v>65</v>
      </c>
      <c r="D18" s="8">
        <v>414</v>
      </c>
      <c r="E18" s="8">
        <v>22</v>
      </c>
      <c r="F18" s="8">
        <v>436</v>
      </c>
      <c r="J18" s="8" t="s">
        <v>65</v>
      </c>
      <c r="K18" s="8">
        <v>411.87466666666666</v>
      </c>
      <c r="L18" s="8">
        <v>24.125333333333334</v>
      </c>
      <c r="O18" s="8">
        <v>0.68483162456266311</v>
      </c>
      <c r="Q18" s="8" t="s">
        <v>1656</v>
      </c>
    </row>
    <row r="19" spans="1:17">
      <c r="C19" s="8" t="s">
        <v>87</v>
      </c>
      <c r="D19" s="8">
        <v>336</v>
      </c>
      <c r="E19" s="8">
        <v>20</v>
      </c>
      <c r="F19" s="8">
        <v>356</v>
      </c>
      <c r="J19" s="8" t="s">
        <v>87</v>
      </c>
      <c r="K19" s="8">
        <v>336.30133333333333</v>
      </c>
      <c r="L19" s="8">
        <v>19.698666666666668</v>
      </c>
    </row>
    <row r="20" spans="1:17">
      <c r="C20" s="8" t="s">
        <v>80</v>
      </c>
      <c r="D20" s="8">
        <v>334</v>
      </c>
      <c r="E20" s="8">
        <v>17</v>
      </c>
      <c r="F20" s="8">
        <v>351</v>
      </c>
      <c r="J20" s="8" t="s">
        <v>80</v>
      </c>
      <c r="K20" s="8">
        <v>331.57799999999997</v>
      </c>
      <c r="L20" s="8">
        <v>19.422000000000001</v>
      </c>
    </row>
    <row r="21" spans="1:17">
      <c r="C21" s="8" t="s">
        <v>54</v>
      </c>
      <c r="D21" s="8">
        <v>333</v>
      </c>
      <c r="E21" s="8">
        <v>24</v>
      </c>
      <c r="F21" s="8">
        <v>357</v>
      </c>
      <c r="J21" s="8" t="s">
        <v>54</v>
      </c>
      <c r="K21" s="8">
        <v>337.24599999999998</v>
      </c>
      <c r="L21" s="8">
        <v>19.754000000000001</v>
      </c>
    </row>
    <row r="22" spans="1:17">
      <c r="C22" s="8" t="s">
        <v>1654</v>
      </c>
      <c r="D22" s="8">
        <v>1417</v>
      </c>
      <c r="E22" s="8">
        <v>83</v>
      </c>
      <c r="F22" s="8">
        <v>1500</v>
      </c>
    </row>
    <row r="24" spans="1:17">
      <c r="A24" s="8" t="s">
        <v>1664</v>
      </c>
      <c r="C24" s="10" t="s">
        <v>34</v>
      </c>
      <c r="D24" s="6" t="s">
        <v>50</v>
      </c>
      <c r="E24" s="6" t="s">
        <v>48</v>
      </c>
      <c r="F24" s="6" t="s">
        <v>62</v>
      </c>
      <c r="G24" s="6" t="s">
        <v>1654</v>
      </c>
      <c r="H24" s="9"/>
      <c r="I24" s="9"/>
      <c r="J24" s="9"/>
      <c r="K24" s="9" t="s">
        <v>50</v>
      </c>
      <c r="L24" s="9" t="s">
        <v>48</v>
      </c>
      <c r="M24" s="9" t="s">
        <v>62</v>
      </c>
      <c r="N24" s="9"/>
      <c r="O24" s="9"/>
    </row>
    <row r="25" spans="1:17">
      <c r="C25" s="10" t="s">
        <v>65</v>
      </c>
      <c r="D25" s="6">
        <v>169</v>
      </c>
      <c r="E25" s="6">
        <v>157</v>
      </c>
      <c r="F25" s="6">
        <v>110</v>
      </c>
      <c r="G25" s="6">
        <v>436</v>
      </c>
      <c r="H25" s="9"/>
      <c r="I25" s="9"/>
      <c r="J25" s="9" t="s">
        <v>65</v>
      </c>
      <c r="K25" s="9">
        <v>165.38933299999999</v>
      </c>
      <c r="L25" s="9">
        <v>156.37866700000001</v>
      </c>
      <c r="M25" s="9">
        <v>114.232</v>
      </c>
      <c r="N25" s="9"/>
      <c r="O25" s="9">
        <v>0.97971907493656429</v>
      </c>
      <c r="Q25" s="8" t="s">
        <v>1656</v>
      </c>
    </row>
    <row r="26" spans="1:17">
      <c r="C26" s="10" t="s">
        <v>87</v>
      </c>
      <c r="D26" s="6">
        <v>134</v>
      </c>
      <c r="E26" s="6">
        <v>127</v>
      </c>
      <c r="F26" s="6">
        <v>95</v>
      </c>
      <c r="G26" s="6">
        <v>356</v>
      </c>
      <c r="H26" s="9"/>
      <c r="I26" s="9"/>
      <c r="J26" s="9" t="s">
        <v>87</v>
      </c>
      <c r="K26" s="9">
        <v>135.04266699999999</v>
      </c>
      <c r="L26" s="9">
        <v>127.685333</v>
      </c>
      <c r="M26" s="9">
        <v>93.272000000000006</v>
      </c>
      <c r="N26" s="9"/>
      <c r="O26" s="9"/>
    </row>
    <row r="27" spans="1:17">
      <c r="C27" s="10" t="s">
        <v>80</v>
      </c>
      <c r="D27" s="6">
        <v>134</v>
      </c>
      <c r="E27" s="6">
        <v>129</v>
      </c>
      <c r="F27" s="6">
        <v>88</v>
      </c>
      <c r="G27" s="6">
        <v>351</v>
      </c>
      <c r="H27" s="9"/>
      <c r="I27" s="9"/>
      <c r="J27" s="9" t="s">
        <v>80</v>
      </c>
      <c r="K27" s="9">
        <v>133.14599999999999</v>
      </c>
      <c r="L27" s="9">
        <v>125.892</v>
      </c>
      <c r="M27" s="9">
        <v>91.962000000000003</v>
      </c>
      <c r="N27" s="9"/>
      <c r="O27" s="9"/>
    </row>
    <row r="28" spans="1:17">
      <c r="C28" s="10" t="s">
        <v>54</v>
      </c>
      <c r="D28" s="6">
        <v>132</v>
      </c>
      <c r="E28" s="6">
        <v>125</v>
      </c>
      <c r="F28" s="6">
        <v>100</v>
      </c>
      <c r="G28" s="6">
        <v>357</v>
      </c>
      <c r="H28" s="9"/>
      <c r="I28" s="9"/>
      <c r="J28" s="9" t="s">
        <v>54</v>
      </c>
      <c r="K28" s="9">
        <v>135.422</v>
      </c>
      <c r="L28" s="9">
        <v>128.04400000000001</v>
      </c>
      <c r="M28" s="9">
        <v>93.534000000000006</v>
      </c>
      <c r="N28" s="9"/>
      <c r="O28" s="9"/>
    </row>
    <row r="29" spans="1:17">
      <c r="C29" s="10" t="s">
        <v>1654</v>
      </c>
      <c r="D29" s="6">
        <v>569</v>
      </c>
      <c r="E29" s="6">
        <v>538</v>
      </c>
      <c r="F29" s="6">
        <v>393</v>
      </c>
      <c r="G29" s="6">
        <v>1500</v>
      </c>
      <c r="H29" s="9"/>
      <c r="I29" s="9"/>
      <c r="J29" s="9"/>
      <c r="K29" s="9"/>
      <c r="L29" s="9"/>
      <c r="M29" s="9"/>
      <c r="N29" s="9"/>
      <c r="O29" s="9"/>
    </row>
    <row r="31" spans="1:17">
      <c r="A31" s="8" t="s">
        <v>1665</v>
      </c>
      <c r="C31" s="8" t="s">
        <v>34</v>
      </c>
      <c r="D31" s="8" t="s">
        <v>47</v>
      </c>
      <c r="E31" s="8" t="s">
        <v>46</v>
      </c>
      <c r="F31" s="8" t="s">
        <v>1654</v>
      </c>
      <c r="K31" s="8" t="s">
        <v>47</v>
      </c>
      <c r="L31" s="8" t="s">
        <v>46</v>
      </c>
    </row>
    <row r="32" spans="1:17">
      <c r="C32" s="8" t="s">
        <v>65</v>
      </c>
      <c r="D32" s="8">
        <v>336</v>
      </c>
      <c r="E32" s="8">
        <v>100</v>
      </c>
      <c r="F32" s="8">
        <v>436</v>
      </c>
      <c r="J32" s="8" t="s">
        <v>65</v>
      </c>
      <c r="K32" s="8">
        <v>325.25599999999997</v>
      </c>
      <c r="L32" s="8">
        <v>110.744</v>
      </c>
      <c r="O32" s="8">
        <v>0.47940700760688926</v>
      </c>
      <c r="Q32" s="8" t="s">
        <v>1656</v>
      </c>
    </row>
    <row r="33" spans="1:21">
      <c r="C33" s="8" t="s">
        <v>87</v>
      </c>
      <c r="D33" s="8">
        <v>258</v>
      </c>
      <c r="E33" s="8">
        <v>98</v>
      </c>
      <c r="F33" s="8">
        <v>356</v>
      </c>
      <c r="J33" s="8" t="s">
        <v>87</v>
      </c>
      <c r="K33" s="8">
        <v>265.57600000000002</v>
      </c>
      <c r="L33" s="8">
        <v>90.424000000000007</v>
      </c>
    </row>
    <row r="34" spans="1:21">
      <c r="C34" s="8" t="s">
        <v>80</v>
      </c>
      <c r="D34" s="8">
        <v>258</v>
      </c>
      <c r="E34" s="8">
        <v>93</v>
      </c>
      <c r="F34" s="8">
        <v>351</v>
      </c>
      <c r="J34" s="8" t="s">
        <v>80</v>
      </c>
      <c r="K34" s="8">
        <v>261.846</v>
      </c>
      <c r="L34" s="8">
        <v>89.153999999999996</v>
      </c>
    </row>
    <row r="35" spans="1:21">
      <c r="C35" s="8" t="s">
        <v>54</v>
      </c>
      <c r="D35" s="8">
        <v>267</v>
      </c>
      <c r="E35" s="8">
        <v>90</v>
      </c>
      <c r="F35" s="8">
        <v>357</v>
      </c>
      <c r="J35" s="8" t="s">
        <v>54</v>
      </c>
      <c r="K35" s="8">
        <v>266.322</v>
      </c>
      <c r="L35" s="8">
        <v>90.677999999999997</v>
      </c>
    </row>
    <row r="36" spans="1:21">
      <c r="C36" s="8" t="s">
        <v>1654</v>
      </c>
      <c r="D36" s="8">
        <v>1119</v>
      </c>
      <c r="E36" s="8">
        <v>381</v>
      </c>
      <c r="F36" s="8">
        <v>1500</v>
      </c>
    </row>
    <row r="38" spans="1:21">
      <c r="A38" s="8" t="s">
        <v>1666</v>
      </c>
      <c r="C38" s="8" t="s">
        <v>34</v>
      </c>
      <c r="D38" s="8" t="s">
        <v>44</v>
      </c>
      <c r="E38" s="8" t="s">
        <v>60</v>
      </c>
      <c r="F38" s="8" t="s">
        <v>1654</v>
      </c>
      <c r="K38" s="8" t="s">
        <v>44</v>
      </c>
      <c r="L38" s="8" t="s">
        <v>60</v>
      </c>
      <c r="O38" s="12">
        <f>_xlfn.CHISQ.TEST(D38:E41,K38:L41)</f>
        <v>5.1234705022753686E-2</v>
      </c>
      <c r="Q38" s="11" t="s">
        <v>1667</v>
      </c>
      <c r="S38" s="15" t="s">
        <v>1720</v>
      </c>
      <c r="T38" s="15" t="s">
        <v>44</v>
      </c>
      <c r="U38" s="15" t="s">
        <v>60</v>
      </c>
    </row>
    <row r="39" spans="1:21">
      <c r="C39" s="8" t="s">
        <v>65</v>
      </c>
      <c r="D39" s="8">
        <v>183</v>
      </c>
      <c r="E39" s="8">
        <v>253</v>
      </c>
      <c r="F39" s="8">
        <v>436</v>
      </c>
      <c r="J39" s="8" t="s">
        <v>65</v>
      </c>
      <c r="K39" s="8">
        <v>164.51733333333334</v>
      </c>
      <c r="L39" s="8">
        <v>271.48266666666666</v>
      </c>
      <c r="S39" t="s">
        <v>65</v>
      </c>
      <c r="T39">
        <v>1.44</v>
      </c>
      <c r="U39">
        <v>-1.44</v>
      </c>
    </row>
    <row r="40" spans="1:21">
      <c r="C40" s="8" t="s">
        <v>87</v>
      </c>
      <c r="D40" s="8">
        <v>148</v>
      </c>
      <c r="E40" s="8">
        <v>208</v>
      </c>
      <c r="F40" s="8">
        <v>356</v>
      </c>
      <c r="J40" s="8" t="s">
        <v>87</v>
      </c>
      <c r="K40" s="8">
        <v>134.33066666666667</v>
      </c>
      <c r="L40" s="8">
        <v>221.66933333333333</v>
      </c>
      <c r="S40" t="s">
        <v>87</v>
      </c>
      <c r="T40">
        <v>1.23</v>
      </c>
      <c r="U40">
        <v>-1.23</v>
      </c>
    </row>
    <row r="41" spans="1:21">
      <c r="C41" s="8" t="s">
        <v>80</v>
      </c>
      <c r="D41" s="8">
        <v>119</v>
      </c>
      <c r="E41" s="8">
        <v>232</v>
      </c>
      <c r="F41" s="8">
        <v>351</v>
      </c>
      <c r="J41" s="8" t="s">
        <v>80</v>
      </c>
      <c r="K41" s="8">
        <v>132.44399999999999</v>
      </c>
      <c r="L41" s="8">
        <v>218.55600000000001</v>
      </c>
      <c r="S41" t="s">
        <v>80</v>
      </c>
      <c r="T41">
        <v>-1.22</v>
      </c>
      <c r="U41">
        <v>1.22</v>
      </c>
    </row>
    <row r="42" spans="1:21">
      <c r="C42" s="8" t="s">
        <v>54</v>
      </c>
      <c r="D42" s="8">
        <v>116</v>
      </c>
      <c r="E42" s="8">
        <v>241</v>
      </c>
      <c r="F42" s="8">
        <v>357</v>
      </c>
      <c r="J42" s="8" t="s">
        <v>54</v>
      </c>
      <c r="K42" s="8">
        <v>134.708</v>
      </c>
      <c r="L42" s="8">
        <v>222.292</v>
      </c>
      <c r="S42" t="s">
        <v>54</v>
      </c>
      <c r="T42">
        <v>-1.38</v>
      </c>
      <c r="U42">
        <v>1.38</v>
      </c>
    </row>
    <row r="43" spans="1:21">
      <c r="C43" s="8" t="s">
        <v>1654</v>
      </c>
      <c r="D43" s="8">
        <v>566</v>
      </c>
      <c r="E43" s="8">
        <v>934</v>
      </c>
      <c r="F43" s="8">
        <v>1500</v>
      </c>
    </row>
    <row r="45" spans="1:21">
      <c r="A45" s="8" t="s">
        <v>1668</v>
      </c>
      <c r="C45" s="8" t="s">
        <v>34</v>
      </c>
      <c r="D45" s="8" t="s">
        <v>47</v>
      </c>
      <c r="E45" s="8" t="s">
        <v>46</v>
      </c>
      <c r="F45" s="8" t="s">
        <v>1654</v>
      </c>
      <c r="K45" s="8" t="s">
        <v>47</v>
      </c>
      <c r="L45" s="8" t="s">
        <v>46</v>
      </c>
    </row>
    <row r="46" spans="1:21">
      <c r="C46" s="8" t="s">
        <v>65</v>
      </c>
      <c r="D46" s="8">
        <v>345</v>
      </c>
      <c r="E46" s="8">
        <v>91</v>
      </c>
      <c r="F46" s="8">
        <v>436</v>
      </c>
      <c r="J46" s="8" t="s">
        <v>65</v>
      </c>
      <c r="K46" s="8">
        <v>342.98666666666668</v>
      </c>
      <c r="L46" s="8">
        <v>93.013333333333335</v>
      </c>
      <c r="O46" s="8">
        <v>0.62048923944022394</v>
      </c>
      <c r="Q46" s="8" t="s">
        <v>1656</v>
      </c>
    </row>
    <row r="47" spans="1:21">
      <c r="C47" s="8" t="s">
        <v>87</v>
      </c>
      <c r="D47" s="8">
        <v>272</v>
      </c>
      <c r="E47" s="8">
        <v>84</v>
      </c>
      <c r="F47" s="8">
        <v>356</v>
      </c>
      <c r="J47" s="8" t="s">
        <v>87</v>
      </c>
      <c r="K47" s="8">
        <v>280.05333333333334</v>
      </c>
      <c r="L47" s="8">
        <v>75.946666666666673</v>
      </c>
    </row>
    <row r="48" spans="1:21">
      <c r="C48" s="8" t="s">
        <v>80</v>
      </c>
      <c r="D48" s="8">
        <v>276</v>
      </c>
      <c r="E48" s="8">
        <v>75</v>
      </c>
      <c r="F48" s="8">
        <v>351</v>
      </c>
      <c r="J48" s="8" t="s">
        <v>80</v>
      </c>
      <c r="K48" s="8">
        <v>276.12</v>
      </c>
      <c r="L48" s="8">
        <v>74.88</v>
      </c>
    </row>
    <row r="49" spans="1:17">
      <c r="C49" s="8" t="s">
        <v>54</v>
      </c>
      <c r="D49" s="8">
        <v>287</v>
      </c>
      <c r="E49" s="8">
        <v>70</v>
      </c>
      <c r="F49" s="8">
        <v>357</v>
      </c>
      <c r="J49" s="8" t="s">
        <v>54</v>
      </c>
      <c r="K49" s="8">
        <v>280.83999999999997</v>
      </c>
      <c r="L49" s="8">
        <v>76.16</v>
      </c>
    </row>
    <row r="50" spans="1:17">
      <c r="C50" s="8" t="s">
        <v>1654</v>
      </c>
      <c r="D50" s="8">
        <v>1180</v>
      </c>
      <c r="E50" s="8">
        <v>320</v>
      </c>
      <c r="F50" s="8">
        <v>1500</v>
      </c>
    </row>
    <row r="52" spans="1:17">
      <c r="A52" s="8" t="s">
        <v>1669</v>
      </c>
      <c r="C52" s="8" t="s">
        <v>34</v>
      </c>
      <c r="D52" s="8" t="s">
        <v>47</v>
      </c>
      <c r="E52" s="8" t="s">
        <v>46</v>
      </c>
      <c r="F52" s="8" t="s">
        <v>1654</v>
      </c>
      <c r="K52" s="8" t="s">
        <v>47</v>
      </c>
      <c r="L52" s="8" t="s">
        <v>46</v>
      </c>
    </row>
    <row r="53" spans="1:17">
      <c r="C53" s="8" t="s">
        <v>65</v>
      </c>
      <c r="D53" s="8">
        <v>412</v>
      </c>
      <c r="E53" s="8">
        <v>24</v>
      </c>
      <c r="F53" s="8">
        <v>436</v>
      </c>
      <c r="J53" s="8" t="s">
        <v>65</v>
      </c>
      <c r="K53" s="8">
        <v>407.51466666666664</v>
      </c>
      <c r="L53" s="8">
        <v>28.485333333333333</v>
      </c>
      <c r="O53" s="8">
        <v>0.76198446741740578</v>
      </c>
      <c r="Q53" s="8" t="s">
        <v>1656</v>
      </c>
    </row>
    <row r="54" spans="1:17">
      <c r="C54" s="8" t="s">
        <v>87</v>
      </c>
      <c r="D54" s="8">
        <v>332</v>
      </c>
      <c r="E54" s="8">
        <v>24</v>
      </c>
      <c r="F54" s="8">
        <v>356</v>
      </c>
      <c r="J54" s="8" t="s">
        <v>87</v>
      </c>
      <c r="K54" s="8">
        <v>332.74133333333333</v>
      </c>
      <c r="L54" s="8">
        <v>23.258666666666667</v>
      </c>
    </row>
    <row r="55" spans="1:17">
      <c r="C55" s="8" t="s">
        <v>80</v>
      </c>
      <c r="D55" s="8">
        <v>327</v>
      </c>
      <c r="E55" s="8">
        <v>24</v>
      </c>
      <c r="F55" s="8">
        <v>351</v>
      </c>
      <c r="J55" s="8" t="s">
        <v>80</v>
      </c>
      <c r="K55" s="8">
        <v>328.06799999999998</v>
      </c>
      <c r="L55" s="8">
        <v>22.931999999999999</v>
      </c>
    </row>
    <row r="56" spans="1:17">
      <c r="C56" s="8" t="s">
        <v>54</v>
      </c>
      <c r="D56" s="8">
        <v>331</v>
      </c>
      <c r="E56" s="8">
        <v>26</v>
      </c>
      <c r="F56" s="8">
        <v>357</v>
      </c>
      <c r="J56" s="8" t="s">
        <v>54</v>
      </c>
      <c r="K56" s="8">
        <v>333.67599999999999</v>
      </c>
      <c r="L56" s="8">
        <v>23.324000000000002</v>
      </c>
    </row>
    <row r="57" spans="1:17">
      <c r="C57" s="8" t="s">
        <v>1654</v>
      </c>
      <c r="D57" s="8">
        <v>1402</v>
      </c>
      <c r="E57" s="8">
        <v>98</v>
      </c>
      <c r="F57" s="8">
        <v>1500</v>
      </c>
    </row>
    <row r="59" spans="1:17">
      <c r="A59" s="8" t="s">
        <v>1670</v>
      </c>
      <c r="C59" s="8" t="s">
        <v>34</v>
      </c>
      <c r="D59" s="8" t="s">
        <v>47</v>
      </c>
      <c r="E59" s="8" t="s">
        <v>46</v>
      </c>
      <c r="F59" s="8" t="s">
        <v>1654</v>
      </c>
      <c r="K59" s="8" t="s">
        <v>47</v>
      </c>
      <c r="L59" s="8" t="s">
        <v>46</v>
      </c>
    </row>
    <row r="60" spans="1:17">
      <c r="C60" s="8" t="s">
        <v>65</v>
      </c>
      <c r="D60" s="8">
        <v>395</v>
      </c>
      <c r="E60" s="8">
        <v>41</v>
      </c>
      <c r="F60" s="8">
        <v>436</v>
      </c>
      <c r="J60" s="8" t="s">
        <v>65</v>
      </c>
      <c r="K60" s="8">
        <v>403.15466666666669</v>
      </c>
      <c r="L60" s="8">
        <v>32.845333333333336</v>
      </c>
      <c r="O60" s="8">
        <v>0.17301873917366584</v>
      </c>
      <c r="Q60" s="8" t="s">
        <v>1656</v>
      </c>
    </row>
    <row r="61" spans="1:17">
      <c r="C61" s="8" t="s">
        <v>87</v>
      </c>
      <c r="D61" s="8">
        <v>327</v>
      </c>
      <c r="E61" s="8">
        <v>29</v>
      </c>
      <c r="F61" s="8">
        <v>356</v>
      </c>
      <c r="J61" s="8" t="s">
        <v>87</v>
      </c>
      <c r="K61" s="8">
        <v>329.18133333333333</v>
      </c>
      <c r="L61" s="8">
        <v>26.818666666666665</v>
      </c>
    </row>
    <row r="62" spans="1:17">
      <c r="C62" s="8" t="s">
        <v>80</v>
      </c>
      <c r="D62" s="8">
        <v>332</v>
      </c>
      <c r="E62" s="8">
        <v>19</v>
      </c>
      <c r="F62" s="8">
        <v>351</v>
      </c>
      <c r="J62" s="8" t="s">
        <v>80</v>
      </c>
      <c r="K62" s="8">
        <v>324.55799999999999</v>
      </c>
      <c r="L62" s="8">
        <v>26.442</v>
      </c>
    </row>
    <row r="63" spans="1:17">
      <c r="C63" s="8" t="s">
        <v>54</v>
      </c>
      <c r="D63" s="8">
        <v>333</v>
      </c>
      <c r="E63" s="8">
        <v>24</v>
      </c>
      <c r="F63" s="8">
        <v>357</v>
      </c>
      <c r="J63" s="8" t="s">
        <v>54</v>
      </c>
      <c r="K63" s="8">
        <v>330.10599999999999</v>
      </c>
      <c r="L63" s="8">
        <v>26.893999999999998</v>
      </c>
    </row>
    <row r="64" spans="1:17">
      <c r="C64" s="8" t="s">
        <v>1654</v>
      </c>
      <c r="D64" s="8">
        <v>1387</v>
      </c>
      <c r="E64" s="8">
        <v>113</v>
      </c>
      <c r="F64" s="8">
        <v>1500</v>
      </c>
    </row>
    <row r="66" spans="1:22">
      <c r="A66" s="8" t="s">
        <v>1671</v>
      </c>
      <c r="C66" s="8" t="s">
        <v>34</v>
      </c>
      <c r="D66" s="8" t="s">
        <v>45</v>
      </c>
      <c r="E66" s="8" t="s">
        <v>61</v>
      </c>
      <c r="F66" s="8" t="s">
        <v>70</v>
      </c>
      <c r="G66" s="8" t="s">
        <v>1654</v>
      </c>
      <c r="K66" s="8" t="s">
        <v>45</v>
      </c>
      <c r="L66" s="8" t="s">
        <v>61</v>
      </c>
      <c r="M66" s="8" t="s">
        <v>70</v>
      </c>
    </row>
    <row r="67" spans="1:22">
      <c r="C67" s="8" t="s">
        <v>65</v>
      </c>
      <c r="D67" s="8">
        <v>48</v>
      </c>
      <c r="E67" s="8">
        <v>36</v>
      </c>
      <c r="F67" s="8">
        <v>352</v>
      </c>
      <c r="G67" s="8">
        <v>436</v>
      </c>
      <c r="J67" s="8" t="s">
        <v>65</v>
      </c>
      <c r="K67" s="8">
        <v>105.80266666666667</v>
      </c>
      <c r="L67" s="8">
        <v>45.634666666666668</v>
      </c>
      <c r="M67" s="8">
        <v>284.56266666666664</v>
      </c>
      <c r="O67" s="8">
        <v>9.8432967955054318E-21</v>
      </c>
      <c r="Q67" s="11" t="s">
        <v>1667</v>
      </c>
      <c r="S67" s="16" t="s">
        <v>1720</v>
      </c>
      <c r="T67" s="16" t="s">
        <v>1721</v>
      </c>
      <c r="U67" s="16" t="s">
        <v>1722</v>
      </c>
      <c r="V67" s="16" t="s">
        <v>1701</v>
      </c>
    </row>
    <row r="68" spans="1:22">
      <c r="C68" s="8" t="s">
        <v>87</v>
      </c>
      <c r="D68" s="8">
        <v>70</v>
      </c>
      <c r="E68" s="8">
        <v>33</v>
      </c>
      <c r="F68" s="8">
        <v>253</v>
      </c>
      <c r="G68" s="8">
        <v>356</v>
      </c>
      <c r="J68" s="8" t="s">
        <v>87</v>
      </c>
      <c r="K68" s="8">
        <v>86.38933333333334</v>
      </c>
      <c r="L68" s="8">
        <v>37.261333333333333</v>
      </c>
      <c r="M68" s="8">
        <v>232.34933333333333</v>
      </c>
      <c r="S68" t="s">
        <v>65</v>
      </c>
      <c r="T68" t="s">
        <v>1723</v>
      </c>
      <c r="U68">
        <v>-5.0999999999999996</v>
      </c>
      <c r="V68" t="s">
        <v>1724</v>
      </c>
    </row>
    <row r="69" spans="1:22">
      <c r="C69" s="8" t="s">
        <v>80</v>
      </c>
      <c r="D69" s="8">
        <v>119</v>
      </c>
      <c r="E69" s="8">
        <v>44</v>
      </c>
      <c r="F69" s="8">
        <v>188</v>
      </c>
      <c r="G69" s="8">
        <v>351</v>
      </c>
      <c r="J69" s="8" t="s">
        <v>80</v>
      </c>
      <c r="K69" s="8">
        <v>85.176000000000002</v>
      </c>
      <c r="L69" s="8">
        <v>36.738</v>
      </c>
      <c r="M69" s="8">
        <v>229.08600000000001</v>
      </c>
      <c r="S69" t="s">
        <v>65</v>
      </c>
      <c r="T69" t="s">
        <v>1725</v>
      </c>
      <c r="U69">
        <v>3.88</v>
      </c>
      <c r="V69" t="s">
        <v>1726</v>
      </c>
    </row>
    <row r="70" spans="1:22">
      <c r="C70" s="8" t="s">
        <v>54</v>
      </c>
      <c r="D70" s="8">
        <v>127</v>
      </c>
      <c r="E70" s="8">
        <v>44</v>
      </c>
      <c r="F70" s="8">
        <v>186</v>
      </c>
      <c r="G70" s="8">
        <v>357</v>
      </c>
      <c r="J70" s="8" t="s">
        <v>54</v>
      </c>
      <c r="K70" s="8">
        <v>86.632000000000005</v>
      </c>
      <c r="L70" s="8">
        <v>37.366</v>
      </c>
      <c r="M70" s="8">
        <v>233.00200000000001</v>
      </c>
      <c r="S70" t="s">
        <v>80</v>
      </c>
      <c r="T70" t="s">
        <v>1723</v>
      </c>
      <c r="U70">
        <v>11.21</v>
      </c>
      <c r="V70" t="s">
        <v>1727</v>
      </c>
    </row>
    <row r="71" spans="1:22">
      <c r="C71" s="8" t="s">
        <v>1654</v>
      </c>
      <c r="D71" s="8">
        <v>364</v>
      </c>
      <c r="E71" s="8">
        <v>157</v>
      </c>
      <c r="F71" s="8">
        <v>979</v>
      </c>
      <c r="G71" s="8">
        <v>1500</v>
      </c>
      <c r="S71" t="s">
        <v>54</v>
      </c>
      <c r="T71" t="s">
        <v>1723</v>
      </c>
      <c r="U71">
        <v>13.37</v>
      </c>
      <c r="V71" t="s">
        <v>1727</v>
      </c>
    </row>
    <row r="72" spans="1:22">
      <c r="S72" t="s">
        <v>54</v>
      </c>
      <c r="T72" t="s">
        <v>1725</v>
      </c>
      <c r="U72">
        <v>-2.0699999999999998</v>
      </c>
      <c r="V72" t="s">
        <v>1728</v>
      </c>
    </row>
    <row r="73" spans="1:22">
      <c r="A73" s="8" t="s">
        <v>1672</v>
      </c>
      <c r="C73" s="8" t="s">
        <v>34</v>
      </c>
      <c r="D73" s="8" t="s">
        <v>47</v>
      </c>
      <c r="E73" s="8" t="s">
        <v>46</v>
      </c>
      <c r="F73" s="8" t="s">
        <v>1654</v>
      </c>
      <c r="K73" s="8" t="s">
        <v>47</v>
      </c>
      <c r="L73" s="8" t="s">
        <v>46</v>
      </c>
    </row>
    <row r="74" spans="1:22">
      <c r="C74" s="8" t="s">
        <v>65</v>
      </c>
      <c r="D74" s="8">
        <v>211</v>
      </c>
      <c r="E74" s="8">
        <v>225</v>
      </c>
      <c r="F74" s="8">
        <v>436</v>
      </c>
      <c r="J74" s="8" t="s">
        <v>65</v>
      </c>
      <c r="K74" s="8">
        <v>228.464</v>
      </c>
      <c r="L74" s="8">
        <v>207.536</v>
      </c>
      <c r="O74" s="8">
        <v>0.25978810400217622</v>
      </c>
      <c r="Q74" s="8" t="s">
        <v>1656</v>
      </c>
    </row>
    <row r="75" spans="1:22">
      <c r="C75" s="8" t="s">
        <v>87</v>
      </c>
      <c r="D75" s="8">
        <v>194</v>
      </c>
      <c r="E75" s="8">
        <v>162</v>
      </c>
      <c r="F75" s="8">
        <v>356</v>
      </c>
      <c r="J75" s="8" t="s">
        <v>87</v>
      </c>
      <c r="K75" s="8">
        <v>186.54400000000001</v>
      </c>
      <c r="L75" s="8">
        <v>169.45599999999999</v>
      </c>
    </row>
    <row r="76" spans="1:22">
      <c r="C76" s="8" t="s">
        <v>80</v>
      </c>
      <c r="D76" s="8">
        <v>188</v>
      </c>
      <c r="E76" s="8">
        <v>163</v>
      </c>
      <c r="F76" s="8">
        <v>351</v>
      </c>
      <c r="J76" s="8" t="s">
        <v>80</v>
      </c>
      <c r="K76" s="8">
        <v>183.92400000000001</v>
      </c>
      <c r="L76" s="8">
        <v>167.07599999999999</v>
      </c>
    </row>
    <row r="77" spans="1:22">
      <c r="C77" s="8" t="s">
        <v>54</v>
      </c>
      <c r="D77" s="8">
        <v>193</v>
      </c>
      <c r="E77" s="8">
        <v>164</v>
      </c>
      <c r="F77" s="8">
        <v>357</v>
      </c>
      <c r="J77" s="8" t="s">
        <v>54</v>
      </c>
      <c r="K77" s="8">
        <v>187.06800000000001</v>
      </c>
      <c r="L77" s="8">
        <v>169.93199999999999</v>
      </c>
    </row>
    <row r="78" spans="1:22">
      <c r="C78" s="8" t="s">
        <v>1654</v>
      </c>
      <c r="D78" s="8">
        <v>786</v>
      </c>
      <c r="E78" s="8">
        <v>714</v>
      </c>
      <c r="F78" s="8">
        <v>1500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7F74-5DE5-6446-9A8F-B66AF46C4995}">
  <dimension ref="A1:P172"/>
  <sheetViews>
    <sheetView workbookViewId="0">
      <selection activeCell="M1" sqref="M1:P172"/>
    </sheetView>
  </sheetViews>
  <sheetFormatPr baseColWidth="10" defaultRowHeight="16"/>
  <cols>
    <col min="12" max="12" width="15.1640625" customWidth="1"/>
    <col min="13" max="13" width="13.5" customWidth="1"/>
    <col min="17" max="17" width="15" customWidth="1"/>
  </cols>
  <sheetData>
    <row r="1" spans="1:16">
      <c r="C1" t="s">
        <v>1675</v>
      </c>
      <c r="D1" t="s">
        <v>1673</v>
      </c>
      <c r="I1" t="s">
        <v>1675</v>
      </c>
      <c r="J1" t="s">
        <v>1673</v>
      </c>
      <c r="M1" t="s">
        <v>1677</v>
      </c>
      <c r="N1" t="s">
        <v>1678</v>
      </c>
      <c r="O1" t="s">
        <v>1679</v>
      </c>
      <c r="P1" t="s">
        <v>1680</v>
      </c>
    </row>
    <row r="2" spans="1:16">
      <c r="A2" t="s">
        <v>1674</v>
      </c>
      <c r="B2" t="s">
        <v>65</v>
      </c>
      <c r="C2" cm="1">
        <f t="array" ref="C2">SKEW(_xlfn._xlws.FILTER(Age,Cancer_Stage="Stage I"))</f>
        <v>-6.0189754149370139E-2</v>
      </c>
      <c r="D2" cm="1">
        <f t="array" ref="D2">KURT(_xlfn._xlws.FILTER(Age,Cancer_Stage="Stage I"))</f>
        <v>-0.21805011257630058</v>
      </c>
      <c r="G2" t="s">
        <v>1674</v>
      </c>
      <c r="H2" t="s">
        <v>52</v>
      </c>
      <c r="I2" cm="1">
        <f t="array" ref="I2">SKEW(_xlfn._xlws.FILTER(Age,Cancer_Type="NSCLC"))</f>
        <v>1.4882742792427951E-2</v>
      </c>
      <c r="J2" cm="1">
        <f t="array" ref="J2">KURT(_xlfn._xlws.FILTER(Age,Cancer_Type="NSCLC"))</f>
        <v>-0.18983362907208967</v>
      </c>
      <c r="M2" cm="1">
        <f t="array" ref="M2:M85">_xlfn._xlws.FILTER(Cigarettes_Per_Day,(Cancer_Stage="Stage I")*(Cigarettes_Per_Day&gt;0))</f>
        <v>5</v>
      </c>
      <c r="N2" cm="1">
        <f t="array" ref="N2:N104">_xlfn._xlws.FILTER(Cigarettes_Per_Day,(Cancer_Stage="Stage II")*(Cigarettes_Per_Day&gt;0))</f>
        <v>17</v>
      </c>
      <c r="O2" cm="1">
        <f t="array" ref="O2:O164">_xlfn._xlws.FILTER(Cigarettes_Per_Day,(Cancer_Stage="Stage III")*(Cigarettes_Per_Day&gt;0))</f>
        <v>14</v>
      </c>
      <c r="P2" cm="1">
        <f t="array" ref="P2:P172">_xlfn._xlws.FILTER(Cigarettes_Per_Day,(Cancer_Stage="Stage IV")*(Cigarettes_Per_Day&gt;0))</f>
        <v>28</v>
      </c>
    </row>
    <row r="3" spans="1:16">
      <c r="B3" t="s">
        <v>87</v>
      </c>
      <c r="C3" cm="1">
        <f t="array" ref="C3">SKEW(_xlfn._xlws.FILTER(Age,Cancer_Stage="Stage II"))</f>
        <v>-2.1245699361485564E-2</v>
      </c>
      <c r="D3" cm="1">
        <f t="array" ref="D3">KURT(_xlfn._xlws.FILTER(Age,Cancer_Stage="Stage II"))</f>
        <v>5.8027042184037203E-2</v>
      </c>
      <c r="H3" t="s">
        <v>121</v>
      </c>
      <c r="I3" cm="1">
        <f t="array" ref="I3">SKEW(_xlfn._xlws.FILTER(Age,Cancer_Type="SCLC"))</f>
        <v>0.18047484065855973</v>
      </c>
      <c r="J3" cm="1">
        <f t="array" ref="J3">KURT(_xlfn._xlws.FILTER(Age,Cancer_Type="SCLC"))</f>
        <v>-5.2109285222988522E-2</v>
      </c>
      <c r="M3">
        <v>10</v>
      </c>
      <c r="N3">
        <v>16</v>
      </c>
      <c r="O3">
        <v>10</v>
      </c>
      <c r="P3">
        <v>21</v>
      </c>
    </row>
    <row r="4" spans="1:16">
      <c r="B4" t="s">
        <v>80</v>
      </c>
      <c r="C4" cm="1">
        <f t="array" ref="C4">SKEW(_xlfn._xlws.FILTER(Age,Cancer_Stage="Stage III"))</f>
        <v>9.2249168825236288E-2</v>
      </c>
      <c r="D4" cm="1">
        <f t="array" ref="D4">KURT(_xlfn._xlws.FILTER(Age,Cancer_Stage="Stage III"))</f>
        <v>-0.36818620179738959</v>
      </c>
      <c r="M4">
        <v>15</v>
      </c>
      <c r="N4">
        <v>39</v>
      </c>
      <c r="O4">
        <v>15</v>
      </c>
      <c r="P4">
        <v>5</v>
      </c>
    </row>
    <row r="5" spans="1:16">
      <c r="B5" t="s">
        <v>54</v>
      </c>
      <c r="C5" cm="1">
        <f t="array" ref="C5">SKEW(_xlfn._xlws.FILTER(Age,Cancer_Stage="Stage IV"))</f>
        <v>0.19895556888982707</v>
      </c>
      <c r="D5" cm="1">
        <f t="array" ref="D5">KURT(_xlfn._xlws.FILTER(Age,Cancer_Stage="Stage IV"))</f>
        <v>-0.21956393474340752</v>
      </c>
      <c r="M5">
        <v>5</v>
      </c>
      <c r="N5">
        <v>36</v>
      </c>
      <c r="O5">
        <v>15</v>
      </c>
      <c r="P5">
        <v>9</v>
      </c>
    </row>
    <row r="6" spans="1:16">
      <c r="M6">
        <v>15</v>
      </c>
      <c r="N6">
        <v>25</v>
      </c>
      <c r="O6">
        <v>30</v>
      </c>
      <c r="P6">
        <v>26</v>
      </c>
    </row>
    <row r="7" spans="1:16">
      <c r="C7" t="s">
        <v>1675</v>
      </c>
      <c r="D7" t="s">
        <v>1673</v>
      </c>
      <c r="I7" t="s">
        <v>1675</v>
      </c>
      <c r="J7" t="s">
        <v>1673</v>
      </c>
      <c r="M7">
        <v>16</v>
      </c>
      <c r="N7">
        <v>26</v>
      </c>
      <c r="O7">
        <v>22</v>
      </c>
      <c r="P7">
        <v>34</v>
      </c>
    </row>
    <row r="8" spans="1:16">
      <c r="A8" t="s">
        <v>15</v>
      </c>
      <c r="B8" t="s">
        <v>65</v>
      </c>
      <c r="C8" cm="1">
        <f t="array" ref="C8">SKEW(_xlfn._xlws.FILTER(BMI,Cancer_Stage="Stage I"))</f>
        <v>0.14731808218473413</v>
      </c>
      <c r="D8" cm="1">
        <f t="array" ref="D8">KURT(_xlfn._xlws.FILTER(BMI,Cancer_Stage="Stage I"))</f>
        <v>-0.18121473517774467</v>
      </c>
      <c r="G8" t="s">
        <v>15</v>
      </c>
      <c r="H8" t="s">
        <v>52</v>
      </c>
      <c r="I8" cm="1">
        <f t="array" ref="I8">SKEW(_xlfn._xlws.FILTER(BMI,Cancer_Type="NSCLC"))</f>
        <v>0.10350250999753284</v>
      </c>
      <c r="J8" cm="1">
        <f t="array" ref="J8">KURT(_xlfn._xlws.FILTER(BMI,Cancer_Type="NSCLC"))</f>
        <v>-6.8140311919134611E-2</v>
      </c>
      <c r="M8">
        <v>40</v>
      </c>
      <c r="N8">
        <v>29</v>
      </c>
      <c r="O8">
        <v>26</v>
      </c>
      <c r="P8">
        <v>3</v>
      </c>
    </row>
    <row r="9" spans="1:16">
      <c r="B9" t="s">
        <v>87</v>
      </c>
      <c r="C9" cm="1">
        <f t="array" ref="C9">SKEW(_xlfn._xlws.FILTER(BMI,Cancer_Stage="Stage II"))</f>
        <v>0.22708501108233733</v>
      </c>
      <c r="D9" cm="1">
        <f t="array" ref="D9">KURT(_xlfn._xlws.FILTER(BMI,Cancer_Stage="Stage II"))</f>
        <v>0.25362138867334272</v>
      </c>
      <c r="H9" t="s">
        <v>121</v>
      </c>
      <c r="I9" cm="1">
        <f t="array" ref="I9">SKEW(_xlfn._xlws.FILTER(BMI,Cancer_Type="SCLC"))</f>
        <v>8.5516140073882488E-3</v>
      </c>
      <c r="J9" cm="1">
        <f t="array" ref="J9">KURT(_xlfn._xlws.FILTER(BMI,Cancer_Type="SCLC"))</f>
        <v>-0.38753491558778164</v>
      </c>
      <c r="M9">
        <v>11</v>
      </c>
      <c r="N9">
        <v>34</v>
      </c>
      <c r="O9">
        <v>19</v>
      </c>
      <c r="P9">
        <v>17</v>
      </c>
    </row>
    <row r="10" spans="1:16">
      <c r="B10" t="s">
        <v>80</v>
      </c>
      <c r="C10" cm="1">
        <f t="array" ref="C10">SKEW(_xlfn._xlws.FILTER(BMI,Cancer_Stage="Stage III"))</f>
        <v>2.8352291334064739E-2</v>
      </c>
      <c r="D10" cm="1">
        <f t="array" ref="D10">KURT(_xlfn._xlws.FILTER(BMI,Cancer_Stage="Stage III"))</f>
        <v>-0.17174710296517048</v>
      </c>
      <c r="M10">
        <v>3</v>
      </c>
      <c r="N10">
        <v>5</v>
      </c>
      <c r="O10">
        <v>38</v>
      </c>
      <c r="P10">
        <v>9</v>
      </c>
    </row>
    <row r="11" spans="1:16">
      <c r="B11" t="s">
        <v>54</v>
      </c>
      <c r="C11" cm="1">
        <f t="array" ref="C11">SKEW(_xlfn._xlws.FILTER(BMI,Cancer_Stage="Stage IV"))</f>
        <v>-4.7183530282201971E-2</v>
      </c>
      <c r="D11" cm="1">
        <f t="array" ref="D11">KURT(_xlfn._xlws.FILTER(BMI,Cancer_Stage="Stage IV"))</f>
        <v>-0.39473809744902066</v>
      </c>
      <c r="M11">
        <v>14</v>
      </c>
      <c r="N11">
        <v>3</v>
      </c>
      <c r="O11">
        <v>25</v>
      </c>
      <c r="P11">
        <v>12</v>
      </c>
    </row>
    <row r="12" spans="1:16">
      <c r="M12">
        <v>38</v>
      </c>
      <c r="N12">
        <v>23</v>
      </c>
      <c r="O12">
        <v>28</v>
      </c>
      <c r="P12">
        <v>24</v>
      </c>
    </row>
    <row r="13" spans="1:16">
      <c r="A13" t="s">
        <v>1700</v>
      </c>
      <c r="C13" t="s">
        <v>1675</v>
      </c>
      <c r="D13" t="s">
        <v>1673</v>
      </c>
      <c r="G13" t="s">
        <v>1700</v>
      </c>
      <c r="I13" t="s">
        <v>1675</v>
      </c>
      <c r="J13" t="s">
        <v>1673</v>
      </c>
      <c r="M13">
        <v>7</v>
      </c>
      <c r="N13">
        <v>9</v>
      </c>
      <c r="O13">
        <v>23</v>
      </c>
      <c r="P13">
        <v>34</v>
      </c>
    </row>
    <row r="14" spans="1:16">
      <c r="B14" t="s">
        <v>65</v>
      </c>
      <c r="C14" cm="1">
        <f t="array" ref="C14">SKEW(_xlfn._xlws.FILTER(Cigarettes_Per_Day,(Cancer_Stage="Stage I")*(Cigarettes_Per_Day&gt;0)))</f>
        <v>0.53399201475360314</v>
      </c>
      <c r="D14" cm="1">
        <f t="array" ref="D14">KURT(_xlfn._xlws.FILTER(Cigarettes_Per_Day,(Cancer_Stage="Stage I")*(Cigarettes_Per_Day&gt;0)))</f>
        <v>-0.73169150596778287</v>
      </c>
      <c r="H14" t="s">
        <v>52</v>
      </c>
      <c r="I14" cm="1">
        <f t="array" ref="I14">SKEW(_xlfn._xlws.FILTER(Cigarettes_Per_Day,(Cancer_Type="NSCLC")*(Cigarettes_Per_Day&gt;0)))</f>
        <v>0.34904621510395267</v>
      </c>
      <c r="J14" cm="1">
        <f t="array" ref="J14">KURT(_xlfn._xlws.FILTER(Cigarettes_Per_Day,(Cancer_Type="NSCLC")*(Cigarettes_Per_Day&gt;0)))</f>
        <v>-0.31831555512002296</v>
      </c>
      <c r="M14">
        <v>44</v>
      </c>
      <c r="N14">
        <v>36</v>
      </c>
      <c r="O14">
        <v>30</v>
      </c>
      <c r="P14">
        <v>9</v>
      </c>
    </row>
    <row r="15" spans="1:16">
      <c r="B15" t="s">
        <v>87</v>
      </c>
      <c r="C15" cm="1">
        <f t="array" ref="C15">SKEW(_xlfn._xlws.FILTER(Cigarettes_Per_Day,(Cancer_Stage="Stage II")*(Cigarettes_Per_Day&gt;0)))</f>
        <v>-0.11822444754376851</v>
      </c>
      <c r="D15" cm="1">
        <f t="array" ref="D15">KURT(_xlfn._xlws.FILTER(Cigarettes_Per_Day,(Cancer_Stage="Stage II")*(Cigarettes_Per_Day&gt;0)))</f>
        <v>-0.56627319489639438</v>
      </c>
      <c r="H15" t="s">
        <v>121</v>
      </c>
      <c r="I15" cm="1">
        <f t="array" ref="I15">SKEW(_xlfn._xlws.FILTER(Cigarettes_Per_Day,(Cancer_Type="SCLC")*(Cigarettes_Per_Day&gt;0)))</f>
        <v>-0.10507638137829889</v>
      </c>
      <c r="J15" cm="1">
        <f t="array" ref="J15">KURT(_xlfn._xlws.FILTER(Cigarettes_Per_Day,(Cancer_Type="SCLC")*(Cigarettes_Per_Day&gt;0)))</f>
        <v>-0.81347174417066848</v>
      </c>
      <c r="M15">
        <v>31</v>
      </c>
      <c r="N15">
        <v>19</v>
      </c>
      <c r="O15">
        <v>22</v>
      </c>
      <c r="P15">
        <v>12</v>
      </c>
    </row>
    <row r="16" spans="1:16">
      <c r="B16" t="s">
        <v>80</v>
      </c>
      <c r="C16" cm="1">
        <f t="array" ref="C16">SKEW(_xlfn._xlws.FILTER(Cigarettes_Per_Day,(Cancer_Stage="Stage III")*(Cigarettes_Per_Day&gt;0)))</f>
        <v>0.47293783844899667</v>
      </c>
      <c r="D16" cm="1">
        <f t="array" ref="D16">KURT(_xlfn._xlws.FILTER(Cigarettes_Per_Day,(Cancer_Stage="Stage III")*(Cigarettes_Per_Day&gt;0)))</f>
        <v>-3.4623703564795605E-2</v>
      </c>
      <c r="M16">
        <v>14</v>
      </c>
      <c r="N16">
        <v>27</v>
      </c>
      <c r="O16">
        <v>53</v>
      </c>
      <c r="P16">
        <v>11</v>
      </c>
    </row>
    <row r="17" spans="1:16">
      <c r="B17" t="s">
        <v>54</v>
      </c>
      <c r="C17" cm="1">
        <f t="array" ref="C17">SKEW(_xlfn._xlws.FILTER(Cigarettes_Per_Day,(Cancer_Stage="Stage IV")*(Cigarettes_Per_Day&gt;0)))</f>
        <v>7.285961788460249E-2</v>
      </c>
      <c r="D17" cm="1">
        <f t="array" ref="D17">KURT(_xlfn._xlws.FILTER(Cigarettes_Per_Day,(Cancer_Stage="Stage IV")*(Cigarettes_Per_Day&gt;0)))</f>
        <v>-0.73992185660713528</v>
      </c>
      <c r="M17">
        <v>10</v>
      </c>
      <c r="N17">
        <v>29</v>
      </c>
      <c r="O17">
        <v>5</v>
      </c>
      <c r="P17">
        <v>17</v>
      </c>
    </row>
    <row r="18" spans="1:16">
      <c r="M18">
        <v>17</v>
      </c>
      <c r="N18">
        <v>25</v>
      </c>
      <c r="O18">
        <v>37</v>
      </c>
      <c r="P18">
        <v>24</v>
      </c>
    </row>
    <row r="19" spans="1:16">
      <c r="A19" t="s">
        <v>1718</v>
      </c>
      <c r="C19" t="s">
        <v>1675</v>
      </c>
      <c r="D19" t="s">
        <v>1673</v>
      </c>
      <c r="G19" t="s">
        <v>1718</v>
      </c>
      <c r="I19" t="s">
        <v>1675</v>
      </c>
      <c r="J19" t="s">
        <v>1673</v>
      </c>
      <c r="M19">
        <v>11</v>
      </c>
      <c r="N19">
        <v>10</v>
      </c>
      <c r="O19">
        <v>10</v>
      </c>
      <c r="P19">
        <v>8</v>
      </c>
    </row>
    <row r="20" spans="1:16">
      <c r="B20" t="s">
        <v>65</v>
      </c>
      <c r="C20" cm="1">
        <f t="array" ref="C20">SKEW(_xlfn._xlws.FILTER(Tumor_Size_cm,Cancer_Stage="Stage I"))</f>
        <v>2.2324978952752102E-2</v>
      </c>
      <c r="D20" cm="1">
        <f t="array" ref="D20">KURT(_xlfn._xlws.FILTER(Tumor_Size_cm,Cancer_Stage="Stage I"))</f>
        <v>-0.42168636263093351</v>
      </c>
      <c r="H20" t="s">
        <v>52</v>
      </c>
      <c r="I20" cm="1">
        <f t="array" ref="I20">SKEW(_xlfn._xlws.FILTER(Tumor_Size_cm,Cancer_Type="NSCLC"))</f>
        <v>0.56791602552584097</v>
      </c>
      <c r="J20" cm="1">
        <f t="array" ref="J20">KURT(_xlfn._xlws.FILTER(Tumor_Size_cm,Cancer_Type="NSCLC"))</f>
        <v>-0.19470037388137929</v>
      </c>
      <c r="M20">
        <v>10</v>
      </c>
      <c r="N20">
        <v>28</v>
      </c>
      <c r="O20">
        <v>13</v>
      </c>
      <c r="P20">
        <v>5</v>
      </c>
    </row>
    <row r="21" spans="1:16">
      <c r="B21" t="s">
        <v>87</v>
      </c>
      <c r="C21" cm="1">
        <f t="array" ref="C21">SKEW(_xlfn._xlws.FILTER(Tumor_Size_cm,Cancer_Stage="Stage II"))</f>
        <v>0.27334298096382958</v>
      </c>
      <c r="D21" cm="1">
        <f t="array" ref="D21">KURT(_xlfn._xlws.FILTER(Tumor_Size_cm,Cancer_Stage="Stage II"))</f>
        <v>-0.23748776906260938</v>
      </c>
      <c r="H21" t="s">
        <v>121</v>
      </c>
      <c r="I21" cm="1">
        <f t="array" ref="I21">SKEW(_xlfn._xlws.FILTER(Tumor_Size_cm,Cancer_Type="SCLC"))</f>
        <v>0.30265015711294446</v>
      </c>
      <c r="J21" cm="1">
        <f t="array" ref="J21">KURT(_xlfn._xlws.FILTER(Tumor_Size_cm,Cancer_Type="SCLC"))</f>
        <v>-0.62496118704283266</v>
      </c>
      <c r="M21">
        <v>21</v>
      </c>
      <c r="N21">
        <v>19</v>
      </c>
      <c r="O21">
        <v>20</v>
      </c>
      <c r="P21">
        <v>10</v>
      </c>
    </row>
    <row r="22" spans="1:16">
      <c r="B22" t="s">
        <v>80</v>
      </c>
      <c r="C22" cm="1">
        <f t="array" ref="C22">SKEW(_xlfn._xlws.FILTER(Tumor_Size_cm,Cancer_Stage="Stage III"))</f>
        <v>0.23213708329300045</v>
      </c>
      <c r="D22" cm="1">
        <f t="array" ref="D22">KURT(_xlfn._xlws.FILTER(Tumor_Size_cm,Cancer_Stage="Stage III"))</f>
        <v>-0.30013235542963779</v>
      </c>
      <c r="M22">
        <v>42</v>
      </c>
      <c r="N22">
        <v>3</v>
      </c>
      <c r="O22">
        <v>8</v>
      </c>
      <c r="P22">
        <v>22</v>
      </c>
    </row>
    <row r="23" spans="1:16">
      <c r="B23" t="s">
        <v>54</v>
      </c>
      <c r="C23" cm="1">
        <f t="array" ref="C23">SKEW(_xlfn._xlws.FILTER(Tumor_Size_cm,Cancer_Stage="Stage IV"))</f>
        <v>0.21865758031015253</v>
      </c>
      <c r="D23" cm="1">
        <f t="array" ref="D23">KURT(_xlfn._xlws.FILTER(Tumor_Size_cm,Cancer_Stage="Stage IV"))</f>
        <v>-0.36527619135531886</v>
      </c>
      <c r="M23">
        <v>5</v>
      </c>
      <c r="N23">
        <v>24</v>
      </c>
      <c r="O23">
        <v>24</v>
      </c>
      <c r="P23">
        <v>10</v>
      </c>
    </row>
    <row r="24" spans="1:16">
      <c r="M24">
        <v>9</v>
      </c>
      <c r="N24">
        <v>26</v>
      </c>
      <c r="O24">
        <v>16</v>
      </c>
      <c r="P24">
        <v>31</v>
      </c>
    </row>
    <row r="25" spans="1:16">
      <c r="A25" t="s">
        <v>1719</v>
      </c>
      <c r="C25" t="s">
        <v>1675</v>
      </c>
      <c r="D25" t="s">
        <v>1673</v>
      </c>
      <c r="G25" t="s">
        <v>1719</v>
      </c>
      <c r="I25" t="s">
        <v>1675</v>
      </c>
      <c r="J25" t="s">
        <v>1673</v>
      </c>
      <c r="M25">
        <v>24</v>
      </c>
      <c r="N25">
        <v>7</v>
      </c>
      <c r="O25">
        <v>28</v>
      </c>
      <c r="P25">
        <v>12</v>
      </c>
    </row>
    <row r="26" spans="1:16">
      <c r="B26" t="s">
        <v>65</v>
      </c>
      <c r="C26" cm="1">
        <f t="array" ref="C26">SKEW(_xlfn._xlws.FILTER(Years_Smoking,(Cancer_Stage="Stage I")*(Smoking_Status&lt;&gt;"Never Smoked")))</f>
        <v>0.59500603915361894</v>
      </c>
      <c r="D26" cm="1">
        <f t="array" ref="D26">KURT(_xlfn._xlws.FILTER(Years_Smoking,(Cancer_Stage="Stage I")*(Smoking_Status&lt;&gt;"Never Smoked")))</f>
        <v>0.10039786631863956</v>
      </c>
      <c r="H26" t="s">
        <v>52</v>
      </c>
      <c r="I26" cm="1">
        <f t="array" ref="I26">SKEW(_xlfn._xlws.FILTER(Years_Smoking,(Cancer_Type="NSCLC")*(Smoking_Status&lt;&gt;"Never Smoked")))</f>
        <v>0.26022454496845232</v>
      </c>
      <c r="J26" cm="1">
        <f t="array" ref="J26">KURT(_xlfn._xlws.FILTER(Years_Smoking,(Cancer_Type="NSCLC")*(Smoking_Status&lt;&gt;"Never Smoked")))</f>
        <v>-0.46493234066614431</v>
      </c>
      <c r="M26">
        <v>38</v>
      </c>
      <c r="N26">
        <v>27</v>
      </c>
      <c r="O26">
        <v>22</v>
      </c>
      <c r="P26">
        <v>23</v>
      </c>
    </row>
    <row r="27" spans="1:16">
      <c r="B27" t="s">
        <v>87</v>
      </c>
      <c r="C27" cm="1">
        <f t="array" ref="C27">SKEW(_xlfn._xlws.FILTER(Years_Smoking,(Cancer_Stage="Stage II")*(Smoking_Status&lt;&gt;"Never Smoked")))</f>
        <v>0.30291409629454752</v>
      </c>
      <c r="D27" cm="1">
        <f t="array" ref="D27">KURT(_xlfn._xlws.FILTER(Years_Smoking,(Cancer_Stage="Stage II")*(Smoking_Status&lt;&gt;"Never Smoked")))</f>
        <v>0.2114178917059597</v>
      </c>
      <c r="H27" t="s">
        <v>121</v>
      </c>
      <c r="I27" cm="1">
        <f t="array" ref="I27">SKEW(_xlfn._xlws.FILTER(Years_Smoking,(Cancer_Type="SCLC")*(Smoking_Status&lt;&gt;"Never Smoked")))</f>
        <v>0.29362944073697606</v>
      </c>
      <c r="J27" cm="1">
        <f t="array" ref="J27">KURT(_xlfn._xlws.FILTER(Years_Smoking,(Cancer_Type="SCLC")*(Smoking_Status&lt;&gt;"Never Smoked")))</f>
        <v>0.37521904768971925</v>
      </c>
      <c r="M27">
        <v>5</v>
      </c>
      <c r="N27">
        <v>29</v>
      </c>
      <c r="O27">
        <v>28</v>
      </c>
      <c r="P27">
        <v>15</v>
      </c>
    </row>
    <row r="28" spans="1:16">
      <c r="B28" t="s">
        <v>80</v>
      </c>
      <c r="C28" cm="1">
        <f t="array" ref="C28">SKEW(_xlfn._xlws.FILTER(Years_Smoking,(Cancer_Stage="Stage III")*(Smoking_Status&lt;&gt;"Never Smoked")))</f>
        <v>1.3957627125758831E-2</v>
      </c>
      <c r="D28" cm="1">
        <f t="array" ref="D28">KURT(_xlfn._xlws.FILTER(Years_Smoking,(Cancer_Stage="Stage III")*(Smoking_Status&lt;&gt;"Never Smoked")))</f>
        <v>-0.86402803370158709</v>
      </c>
      <c r="M28">
        <v>38</v>
      </c>
      <c r="N28">
        <v>27</v>
      </c>
      <c r="O28">
        <v>9</v>
      </c>
      <c r="P28">
        <v>27</v>
      </c>
    </row>
    <row r="29" spans="1:16">
      <c r="B29" t="s">
        <v>54</v>
      </c>
      <c r="C29" cm="1">
        <f t="array" ref="C29">SKEW(_xlfn._xlws.FILTER(Years_Smoking,(Cancer_Stage="Stage IV")*(Smoking_Status&lt;&gt;"Never Smoked")))</f>
        <v>0.30082220037292928</v>
      </c>
      <c r="D29" cm="1">
        <f t="array" ref="D29">KURT(_xlfn._xlws.FILTER(Years_Smoking,(Cancer_Stage="Stage IV")*(Smoking_Status&lt;&gt;"Never Smoked")))</f>
        <v>-0.23874660302922956</v>
      </c>
      <c r="M29">
        <v>14</v>
      </c>
      <c r="N29">
        <v>32</v>
      </c>
      <c r="O29">
        <v>21</v>
      </c>
      <c r="P29">
        <v>17</v>
      </c>
    </row>
    <row r="30" spans="1:16">
      <c r="M30">
        <v>19</v>
      </c>
      <c r="N30">
        <v>29</v>
      </c>
      <c r="O30">
        <v>16</v>
      </c>
      <c r="P30">
        <v>25</v>
      </c>
    </row>
    <row r="31" spans="1:16">
      <c r="M31">
        <v>15</v>
      </c>
      <c r="N31">
        <v>29</v>
      </c>
      <c r="O31">
        <v>26</v>
      </c>
      <c r="P31">
        <v>15</v>
      </c>
    </row>
    <row r="32" spans="1:16">
      <c r="M32">
        <v>12</v>
      </c>
      <c r="N32">
        <v>11</v>
      </c>
      <c r="O32">
        <v>17</v>
      </c>
      <c r="P32">
        <v>35</v>
      </c>
    </row>
    <row r="33" spans="13:16">
      <c r="M33">
        <v>34</v>
      </c>
      <c r="N33">
        <v>21</v>
      </c>
      <c r="O33">
        <v>12</v>
      </c>
      <c r="P33">
        <v>34</v>
      </c>
    </row>
    <row r="34" spans="13:16">
      <c r="M34">
        <v>33</v>
      </c>
      <c r="N34">
        <v>3</v>
      </c>
      <c r="O34">
        <v>56</v>
      </c>
      <c r="P34">
        <v>29</v>
      </c>
    </row>
    <row r="35" spans="13:16">
      <c r="M35">
        <v>20</v>
      </c>
      <c r="N35">
        <v>28</v>
      </c>
      <c r="O35">
        <v>15</v>
      </c>
      <c r="P35">
        <v>12</v>
      </c>
    </row>
    <row r="36" spans="13:16">
      <c r="M36">
        <v>22</v>
      </c>
      <c r="N36">
        <v>7</v>
      </c>
      <c r="O36">
        <v>19</v>
      </c>
      <c r="P36">
        <v>36</v>
      </c>
    </row>
    <row r="37" spans="13:16">
      <c r="M37">
        <v>30</v>
      </c>
      <c r="N37">
        <v>33</v>
      </c>
      <c r="O37">
        <v>36</v>
      </c>
      <c r="P37">
        <v>13</v>
      </c>
    </row>
    <row r="38" spans="13:16">
      <c r="M38">
        <v>12</v>
      </c>
      <c r="N38">
        <v>16</v>
      </c>
      <c r="O38">
        <v>22</v>
      </c>
      <c r="P38">
        <v>16</v>
      </c>
    </row>
    <row r="39" spans="13:16">
      <c r="M39">
        <v>18</v>
      </c>
      <c r="N39">
        <v>22</v>
      </c>
      <c r="O39">
        <v>18</v>
      </c>
      <c r="P39">
        <v>13</v>
      </c>
    </row>
    <row r="40" spans="13:16">
      <c r="M40">
        <v>11</v>
      </c>
      <c r="N40">
        <v>28</v>
      </c>
      <c r="O40">
        <v>36</v>
      </c>
      <c r="P40">
        <v>22</v>
      </c>
    </row>
    <row r="41" spans="13:16">
      <c r="M41">
        <v>20</v>
      </c>
      <c r="N41">
        <v>8</v>
      </c>
      <c r="O41">
        <v>24</v>
      </c>
      <c r="P41">
        <v>27</v>
      </c>
    </row>
    <row r="42" spans="13:16">
      <c r="M42">
        <v>26</v>
      </c>
      <c r="N42">
        <v>30</v>
      </c>
      <c r="O42">
        <v>19</v>
      </c>
      <c r="P42">
        <v>25</v>
      </c>
    </row>
    <row r="43" spans="13:16">
      <c r="M43">
        <v>30</v>
      </c>
      <c r="N43">
        <v>12</v>
      </c>
      <c r="O43">
        <v>19</v>
      </c>
      <c r="P43">
        <v>36</v>
      </c>
    </row>
    <row r="44" spans="13:16">
      <c r="M44">
        <v>11</v>
      </c>
      <c r="N44">
        <v>9</v>
      </c>
      <c r="O44">
        <v>22</v>
      </c>
      <c r="P44">
        <v>11</v>
      </c>
    </row>
    <row r="45" spans="13:16">
      <c r="M45">
        <v>13</v>
      </c>
      <c r="N45">
        <v>24</v>
      </c>
      <c r="O45">
        <v>17</v>
      </c>
      <c r="P45">
        <v>29</v>
      </c>
    </row>
    <row r="46" spans="13:16">
      <c r="M46">
        <v>16</v>
      </c>
      <c r="N46">
        <v>24</v>
      </c>
      <c r="O46">
        <v>27</v>
      </c>
      <c r="P46">
        <v>18</v>
      </c>
    </row>
    <row r="47" spans="13:16">
      <c r="M47">
        <v>12</v>
      </c>
      <c r="N47">
        <v>21</v>
      </c>
      <c r="O47">
        <v>23</v>
      </c>
      <c r="P47">
        <v>12</v>
      </c>
    </row>
    <row r="48" spans="13:16">
      <c r="M48">
        <v>12</v>
      </c>
      <c r="N48">
        <v>3</v>
      </c>
      <c r="O48">
        <v>28</v>
      </c>
      <c r="P48">
        <v>36</v>
      </c>
    </row>
    <row r="49" spans="13:16">
      <c r="M49">
        <v>16</v>
      </c>
      <c r="N49">
        <v>43</v>
      </c>
      <c r="O49">
        <v>33</v>
      </c>
      <c r="P49">
        <v>9</v>
      </c>
    </row>
    <row r="50" spans="13:16">
      <c r="M50">
        <v>33</v>
      </c>
      <c r="N50">
        <v>14</v>
      </c>
      <c r="O50">
        <v>41</v>
      </c>
      <c r="P50">
        <v>33</v>
      </c>
    </row>
    <row r="51" spans="13:16">
      <c r="M51">
        <v>21</v>
      </c>
      <c r="N51">
        <v>21</v>
      </c>
      <c r="O51">
        <v>22</v>
      </c>
      <c r="P51">
        <v>27</v>
      </c>
    </row>
    <row r="52" spans="13:16">
      <c r="M52">
        <v>10</v>
      </c>
      <c r="N52">
        <v>28</v>
      </c>
      <c r="O52">
        <v>29</v>
      </c>
      <c r="P52">
        <v>29</v>
      </c>
    </row>
    <row r="53" spans="13:16">
      <c r="M53">
        <v>16</v>
      </c>
      <c r="N53">
        <v>19</v>
      </c>
      <c r="O53">
        <v>13</v>
      </c>
      <c r="P53">
        <v>18</v>
      </c>
    </row>
    <row r="54" spans="13:16">
      <c r="M54">
        <v>14</v>
      </c>
      <c r="N54">
        <v>22</v>
      </c>
      <c r="O54">
        <v>20</v>
      </c>
      <c r="P54">
        <v>23</v>
      </c>
    </row>
    <row r="55" spans="13:16">
      <c r="M55">
        <v>27</v>
      </c>
      <c r="N55">
        <v>19</v>
      </c>
      <c r="O55">
        <v>15</v>
      </c>
      <c r="P55">
        <v>22</v>
      </c>
    </row>
    <row r="56" spans="13:16">
      <c r="M56">
        <v>12</v>
      </c>
      <c r="N56">
        <v>8</v>
      </c>
      <c r="O56">
        <v>25</v>
      </c>
      <c r="P56">
        <v>15</v>
      </c>
    </row>
    <row r="57" spans="13:16">
      <c r="M57">
        <v>14</v>
      </c>
      <c r="N57">
        <v>41</v>
      </c>
      <c r="O57">
        <v>28</v>
      </c>
      <c r="P57">
        <v>22</v>
      </c>
    </row>
    <row r="58" spans="13:16">
      <c r="M58">
        <v>24</v>
      </c>
      <c r="N58">
        <v>13</v>
      </c>
      <c r="O58">
        <v>28</v>
      </c>
      <c r="P58">
        <v>11</v>
      </c>
    </row>
    <row r="59" spans="13:16">
      <c r="M59">
        <v>3</v>
      </c>
      <c r="N59">
        <v>10</v>
      </c>
      <c r="O59">
        <v>15</v>
      </c>
      <c r="P59">
        <v>26</v>
      </c>
    </row>
    <row r="60" spans="13:16">
      <c r="M60">
        <v>25</v>
      </c>
      <c r="N60">
        <v>22</v>
      </c>
      <c r="O60">
        <v>26</v>
      </c>
      <c r="P60">
        <v>19</v>
      </c>
    </row>
    <row r="61" spans="13:16">
      <c r="M61">
        <v>22</v>
      </c>
      <c r="N61">
        <v>26</v>
      </c>
      <c r="O61">
        <v>35</v>
      </c>
      <c r="P61">
        <v>14</v>
      </c>
    </row>
    <row r="62" spans="13:16">
      <c r="M62">
        <v>10</v>
      </c>
      <c r="N62">
        <v>12</v>
      </c>
      <c r="O62">
        <v>12</v>
      </c>
      <c r="P62">
        <v>30</v>
      </c>
    </row>
    <row r="63" spans="13:16">
      <c r="M63">
        <v>34</v>
      </c>
      <c r="N63">
        <v>15</v>
      </c>
      <c r="O63">
        <v>15</v>
      </c>
      <c r="P63">
        <v>23</v>
      </c>
    </row>
    <row r="64" spans="13:16">
      <c r="M64">
        <v>26</v>
      </c>
      <c r="N64">
        <v>29</v>
      </c>
      <c r="O64">
        <v>36</v>
      </c>
      <c r="P64">
        <v>34</v>
      </c>
    </row>
    <row r="65" spans="13:16">
      <c r="M65">
        <v>21</v>
      </c>
      <c r="N65">
        <v>29</v>
      </c>
      <c r="O65">
        <v>27</v>
      </c>
      <c r="P65">
        <v>30</v>
      </c>
    </row>
    <row r="66" spans="13:16">
      <c r="M66">
        <v>19</v>
      </c>
      <c r="N66">
        <v>5</v>
      </c>
      <c r="O66">
        <v>5</v>
      </c>
      <c r="P66">
        <v>11</v>
      </c>
    </row>
    <row r="67" spans="13:16">
      <c r="M67">
        <v>34</v>
      </c>
      <c r="N67">
        <v>33</v>
      </c>
      <c r="O67">
        <v>20</v>
      </c>
      <c r="P67">
        <v>24</v>
      </c>
    </row>
    <row r="68" spans="13:16">
      <c r="M68">
        <v>32</v>
      </c>
      <c r="N68">
        <v>28</v>
      </c>
      <c r="O68">
        <v>38</v>
      </c>
      <c r="P68">
        <v>19</v>
      </c>
    </row>
    <row r="69" spans="13:16">
      <c r="M69">
        <v>10</v>
      </c>
      <c r="N69">
        <v>26</v>
      </c>
      <c r="O69">
        <v>23</v>
      </c>
      <c r="P69">
        <v>18</v>
      </c>
    </row>
    <row r="70" spans="13:16">
      <c r="M70">
        <v>27</v>
      </c>
      <c r="N70">
        <v>25</v>
      </c>
      <c r="O70">
        <v>17</v>
      </c>
      <c r="P70">
        <v>16</v>
      </c>
    </row>
    <row r="71" spans="13:16">
      <c r="M71">
        <v>23</v>
      </c>
      <c r="N71">
        <v>22</v>
      </c>
      <c r="O71">
        <v>27</v>
      </c>
      <c r="P71">
        <v>15</v>
      </c>
    </row>
    <row r="72" spans="13:16">
      <c r="M72">
        <v>32</v>
      </c>
      <c r="N72">
        <v>38</v>
      </c>
      <c r="O72">
        <v>20</v>
      </c>
      <c r="P72">
        <v>27</v>
      </c>
    </row>
    <row r="73" spans="13:16">
      <c r="M73">
        <v>19</v>
      </c>
      <c r="N73">
        <v>25</v>
      </c>
      <c r="O73">
        <v>16</v>
      </c>
      <c r="P73">
        <v>7</v>
      </c>
    </row>
    <row r="74" spans="13:16">
      <c r="M74">
        <v>12</v>
      </c>
      <c r="N74">
        <v>30</v>
      </c>
      <c r="O74">
        <v>18</v>
      </c>
      <c r="P74">
        <v>6</v>
      </c>
    </row>
    <row r="75" spans="13:16">
      <c r="M75">
        <v>37</v>
      </c>
      <c r="N75">
        <v>5</v>
      </c>
      <c r="O75">
        <v>31</v>
      </c>
      <c r="P75">
        <v>3</v>
      </c>
    </row>
    <row r="76" spans="13:16">
      <c r="M76">
        <v>15</v>
      </c>
      <c r="N76">
        <v>24</v>
      </c>
      <c r="O76">
        <v>11</v>
      </c>
      <c r="P76">
        <v>25</v>
      </c>
    </row>
    <row r="77" spans="13:16">
      <c r="M77">
        <v>5</v>
      </c>
      <c r="N77">
        <v>9</v>
      </c>
      <c r="O77">
        <v>16</v>
      </c>
      <c r="P77">
        <v>7</v>
      </c>
    </row>
    <row r="78" spans="13:16">
      <c r="M78">
        <v>16</v>
      </c>
      <c r="N78">
        <v>27</v>
      </c>
      <c r="O78">
        <v>16</v>
      </c>
      <c r="P78">
        <v>16</v>
      </c>
    </row>
    <row r="79" spans="13:16">
      <c r="M79">
        <v>24</v>
      </c>
      <c r="N79">
        <v>34</v>
      </c>
      <c r="O79">
        <v>38</v>
      </c>
      <c r="P79">
        <v>25</v>
      </c>
    </row>
    <row r="80" spans="13:16">
      <c r="M80">
        <v>35</v>
      </c>
      <c r="N80">
        <v>35</v>
      </c>
      <c r="O80">
        <v>28</v>
      </c>
      <c r="P80">
        <v>18</v>
      </c>
    </row>
    <row r="81" spans="13:16">
      <c r="M81">
        <v>11</v>
      </c>
      <c r="N81">
        <v>31</v>
      </c>
      <c r="O81">
        <v>13</v>
      </c>
      <c r="P81">
        <v>19</v>
      </c>
    </row>
    <row r="82" spans="13:16">
      <c r="M82">
        <v>20</v>
      </c>
      <c r="N82">
        <v>33</v>
      </c>
      <c r="O82">
        <v>48</v>
      </c>
      <c r="P82">
        <v>24</v>
      </c>
    </row>
    <row r="83" spans="13:16">
      <c r="M83">
        <v>37</v>
      </c>
      <c r="N83">
        <v>50</v>
      </c>
      <c r="O83">
        <v>39</v>
      </c>
      <c r="P83">
        <v>26</v>
      </c>
    </row>
    <row r="84" spans="13:16">
      <c r="M84">
        <v>9</v>
      </c>
      <c r="N84">
        <v>29</v>
      </c>
      <c r="O84">
        <v>22</v>
      </c>
      <c r="P84">
        <v>21</v>
      </c>
    </row>
    <row r="85" spans="13:16">
      <c r="M85">
        <v>41</v>
      </c>
      <c r="N85">
        <v>13</v>
      </c>
      <c r="O85">
        <v>15</v>
      </c>
      <c r="P85">
        <v>18</v>
      </c>
    </row>
    <row r="86" spans="13:16">
      <c r="N86">
        <v>24</v>
      </c>
      <c r="O86">
        <v>5</v>
      </c>
      <c r="P86">
        <v>24</v>
      </c>
    </row>
    <row r="87" spans="13:16">
      <c r="N87">
        <v>31</v>
      </c>
      <c r="O87">
        <v>13</v>
      </c>
      <c r="P87">
        <v>31</v>
      </c>
    </row>
    <row r="88" spans="13:16">
      <c r="N88">
        <v>34</v>
      </c>
      <c r="O88">
        <v>31</v>
      </c>
      <c r="P88">
        <v>42</v>
      </c>
    </row>
    <row r="89" spans="13:16">
      <c r="N89">
        <v>13</v>
      </c>
      <c r="O89">
        <v>19</v>
      </c>
      <c r="P89">
        <v>18</v>
      </c>
    </row>
    <row r="90" spans="13:16">
      <c r="N90">
        <v>9</v>
      </c>
      <c r="O90">
        <v>28</v>
      </c>
      <c r="P90">
        <v>3</v>
      </c>
    </row>
    <row r="91" spans="13:16">
      <c r="N91">
        <v>40</v>
      </c>
      <c r="O91">
        <v>34</v>
      </c>
      <c r="P91">
        <v>7</v>
      </c>
    </row>
    <row r="92" spans="13:16">
      <c r="N92">
        <v>18</v>
      </c>
      <c r="O92">
        <v>5</v>
      </c>
      <c r="P92">
        <v>25</v>
      </c>
    </row>
    <row r="93" spans="13:16">
      <c r="N93">
        <v>31</v>
      </c>
      <c r="O93">
        <v>25</v>
      </c>
      <c r="P93">
        <v>37</v>
      </c>
    </row>
    <row r="94" spans="13:16">
      <c r="N94">
        <v>9</v>
      </c>
      <c r="O94">
        <v>38</v>
      </c>
      <c r="P94">
        <v>16</v>
      </c>
    </row>
    <row r="95" spans="13:16">
      <c r="N95">
        <v>16</v>
      </c>
      <c r="O95">
        <v>5</v>
      </c>
      <c r="P95">
        <v>9</v>
      </c>
    </row>
    <row r="96" spans="13:16">
      <c r="N96">
        <v>28</v>
      </c>
      <c r="O96">
        <v>18</v>
      </c>
      <c r="P96">
        <v>30</v>
      </c>
    </row>
    <row r="97" spans="14:16">
      <c r="N97">
        <v>3</v>
      </c>
      <c r="O97">
        <v>20</v>
      </c>
      <c r="P97">
        <v>25</v>
      </c>
    </row>
    <row r="98" spans="14:16">
      <c r="N98">
        <v>21</v>
      </c>
      <c r="O98">
        <v>41</v>
      </c>
      <c r="P98">
        <v>12</v>
      </c>
    </row>
    <row r="99" spans="14:16">
      <c r="N99">
        <v>25</v>
      </c>
      <c r="O99">
        <v>5</v>
      </c>
      <c r="P99">
        <v>32</v>
      </c>
    </row>
    <row r="100" spans="14:16">
      <c r="N100">
        <v>35</v>
      </c>
      <c r="O100">
        <v>27</v>
      </c>
      <c r="P100">
        <v>39</v>
      </c>
    </row>
    <row r="101" spans="14:16">
      <c r="N101">
        <v>11</v>
      </c>
      <c r="O101">
        <v>13</v>
      </c>
      <c r="P101">
        <v>5</v>
      </c>
    </row>
    <row r="102" spans="14:16">
      <c r="N102">
        <v>24</v>
      </c>
      <c r="O102">
        <v>14</v>
      </c>
      <c r="P102">
        <v>28</v>
      </c>
    </row>
    <row r="103" spans="14:16">
      <c r="N103">
        <v>5</v>
      </c>
      <c r="O103">
        <v>37</v>
      </c>
      <c r="P103">
        <v>19</v>
      </c>
    </row>
    <row r="104" spans="14:16">
      <c r="N104">
        <v>25</v>
      </c>
      <c r="O104">
        <v>46</v>
      </c>
      <c r="P104">
        <v>20</v>
      </c>
    </row>
    <row r="105" spans="14:16">
      <c r="O105">
        <v>18</v>
      </c>
      <c r="P105">
        <v>18</v>
      </c>
    </row>
    <row r="106" spans="14:16">
      <c r="O106">
        <v>23</v>
      </c>
      <c r="P106">
        <v>25</v>
      </c>
    </row>
    <row r="107" spans="14:16">
      <c r="O107">
        <v>44</v>
      </c>
      <c r="P107">
        <v>14</v>
      </c>
    </row>
    <row r="108" spans="14:16">
      <c r="O108">
        <v>35</v>
      </c>
      <c r="P108">
        <v>25</v>
      </c>
    </row>
    <row r="109" spans="14:16">
      <c r="O109">
        <v>5</v>
      </c>
      <c r="P109">
        <v>12</v>
      </c>
    </row>
    <row r="110" spans="14:16">
      <c r="O110">
        <v>10</v>
      </c>
      <c r="P110">
        <v>25</v>
      </c>
    </row>
    <row r="111" spans="14:16">
      <c r="O111">
        <v>15</v>
      </c>
      <c r="P111">
        <v>22</v>
      </c>
    </row>
    <row r="112" spans="14:16">
      <c r="O112">
        <v>8</v>
      </c>
      <c r="P112">
        <v>29</v>
      </c>
    </row>
    <row r="113" spans="15:16">
      <c r="O113">
        <v>21</v>
      </c>
      <c r="P113">
        <v>31</v>
      </c>
    </row>
    <row r="114" spans="15:16">
      <c r="O114">
        <v>24</v>
      </c>
      <c r="P114">
        <v>37</v>
      </c>
    </row>
    <row r="115" spans="15:16">
      <c r="O115">
        <v>28</v>
      </c>
      <c r="P115">
        <v>33</v>
      </c>
    </row>
    <row r="116" spans="15:16">
      <c r="O116">
        <v>12</v>
      </c>
      <c r="P116">
        <v>5</v>
      </c>
    </row>
    <row r="117" spans="15:16">
      <c r="O117">
        <v>10</v>
      </c>
      <c r="P117">
        <v>25</v>
      </c>
    </row>
    <row r="118" spans="15:16">
      <c r="O118">
        <v>24</v>
      </c>
      <c r="P118">
        <v>28</v>
      </c>
    </row>
    <row r="119" spans="15:16">
      <c r="O119">
        <v>35</v>
      </c>
      <c r="P119">
        <v>16</v>
      </c>
    </row>
    <row r="120" spans="15:16">
      <c r="O120">
        <v>21</v>
      </c>
      <c r="P120">
        <v>22</v>
      </c>
    </row>
    <row r="121" spans="15:16">
      <c r="O121">
        <v>16</v>
      </c>
      <c r="P121">
        <v>30</v>
      </c>
    </row>
    <row r="122" spans="15:16">
      <c r="O122">
        <v>35</v>
      </c>
      <c r="P122">
        <v>18</v>
      </c>
    </row>
    <row r="123" spans="15:16">
      <c r="O123">
        <v>21</v>
      </c>
      <c r="P123">
        <v>16</v>
      </c>
    </row>
    <row r="124" spans="15:16">
      <c r="O124">
        <v>24</v>
      </c>
      <c r="P124">
        <v>15</v>
      </c>
    </row>
    <row r="125" spans="15:16">
      <c r="O125">
        <v>31</v>
      </c>
      <c r="P125">
        <v>21</v>
      </c>
    </row>
    <row r="126" spans="15:16">
      <c r="O126">
        <v>6</v>
      </c>
      <c r="P126">
        <v>13</v>
      </c>
    </row>
    <row r="127" spans="15:16">
      <c r="O127">
        <v>9</v>
      </c>
      <c r="P127">
        <v>14</v>
      </c>
    </row>
    <row r="128" spans="15:16">
      <c r="O128">
        <v>24</v>
      </c>
      <c r="P128">
        <v>16</v>
      </c>
    </row>
    <row r="129" spans="15:16">
      <c r="O129">
        <v>17</v>
      </c>
      <c r="P129">
        <v>24</v>
      </c>
    </row>
    <row r="130" spans="15:16">
      <c r="O130">
        <v>37</v>
      </c>
      <c r="P130">
        <v>9</v>
      </c>
    </row>
    <row r="131" spans="15:16">
      <c r="O131">
        <v>35</v>
      </c>
      <c r="P131">
        <v>29</v>
      </c>
    </row>
    <row r="132" spans="15:16">
      <c r="O132">
        <v>33</v>
      </c>
      <c r="P132">
        <v>5</v>
      </c>
    </row>
    <row r="133" spans="15:16">
      <c r="O133">
        <v>30</v>
      </c>
      <c r="P133">
        <v>6</v>
      </c>
    </row>
    <row r="134" spans="15:16">
      <c r="O134">
        <v>21</v>
      </c>
      <c r="P134">
        <v>5</v>
      </c>
    </row>
    <row r="135" spans="15:16">
      <c r="O135">
        <v>13</v>
      </c>
      <c r="P135">
        <v>30</v>
      </c>
    </row>
    <row r="136" spans="15:16">
      <c r="O136">
        <v>33</v>
      </c>
      <c r="P136">
        <v>3</v>
      </c>
    </row>
    <row r="137" spans="15:16">
      <c r="O137">
        <v>17</v>
      </c>
      <c r="P137">
        <v>33</v>
      </c>
    </row>
    <row r="138" spans="15:16">
      <c r="O138">
        <v>29</v>
      </c>
      <c r="P138">
        <v>26</v>
      </c>
    </row>
    <row r="139" spans="15:16">
      <c r="O139">
        <v>15</v>
      </c>
      <c r="P139">
        <v>37</v>
      </c>
    </row>
    <row r="140" spans="15:16">
      <c r="O140">
        <v>24</v>
      </c>
      <c r="P140">
        <v>35</v>
      </c>
    </row>
    <row r="141" spans="15:16">
      <c r="O141">
        <v>32</v>
      </c>
      <c r="P141">
        <v>23</v>
      </c>
    </row>
    <row r="142" spans="15:16">
      <c r="O142">
        <v>10</v>
      </c>
      <c r="P142">
        <v>22</v>
      </c>
    </row>
    <row r="143" spans="15:16">
      <c r="O143">
        <v>13</v>
      </c>
      <c r="P143">
        <v>37</v>
      </c>
    </row>
    <row r="144" spans="15:16">
      <c r="O144">
        <v>16</v>
      </c>
      <c r="P144">
        <v>16</v>
      </c>
    </row>
    <row r="145" spans="15:16">
      <c r="O145">
        <v>31</v>
      </c>
      <c r="P145">
        <v>9</v>
      </c>
    </row>
    <row r="146" spans="15:16">
      <c r="O146">
        <v>26</v>
      </c>
      <c r="P146">
        <v>27</v>
      </c>
    </row>
    <row r="147" spans="15:16">
      <c r="O147">
        <v>7</v>
      </c>
      <c r="P147">
        <v>12</v>
      </c>
    </row>
    <row r="148" spans="15:16">
      <c r="O148">
        <v>3</v>
      </c>
      <c r="P148">
        <v>13</v>
      </c>
    </row>
    <row r="149" spans="15:16">
      <c r="O149">
        <v>39</v>
      </c>
      <c r="P149">
        <v>13</v>
      </c>
    </row>
    <row r="150" spans="15:16">
      <c r="O150">
        <v>11</v>
      </c>
      <c r="P150">
        <v>12</v>
      </c>
    </row>
    <row r="151" spans="15:16">
      <c r="O151">
        <v>3</v>
      </c>
      <c r="P151">
        <v>19</v>
      </c>
    </row>
    <row r="152" spans="15:16">
      <c r="O152">
        <v>17</v>
      </c>
      <c r="P152">
        <v>24</v>
      </c>
    </row>
    <row r="153" spans="15:16">
      <c r="O153">
        <v>12</v>
      </c>
      <c r="P153">
        <v>33</v>
      </c>
    </row>
    <row r="154" spans="15:16">
      <c r="O154">
        <v>21</v>
      </c>
      <c r="P154">
        <v>10</v>
      </c>
    </row>
    <row r="155" spans="15:16">
      <c r="O155">
        <v>35</v>
      </c>
      <c r="P155">
        <v>25</v>
      </c>
    </row>
    <row r="156" spans="15:16">
      <c r="O156">
        <v>22</v>
      </c>
      <c r="P156">
        <v>33</v>
      </c>
    </row>
    <row r="157" spans="15:16">
      <c r="O157">
        <v>15</v>
      </c>
      <c r="P157">
        <v>14</v>
      </c>
    </row>
    <row r="158" spans="15:16">
      <c r="O158">
        <v>16</v>
      </c>
      <c r="P158">
        <v>32</v>
      </c>
    </row>
    <row r="159" spans="15:16">
      <c r="O159">
        <v>41</v>
      </c>
      <c r="P159">
        <v>22</v>
      </c>
    </row>
    <row r="160" spans="15:16">
      <c r="O160">
        <v>13</v>
      </c>
      <c r="P160">
        <v>25</v>
      </c>
    </row>
    <row r="161" spans="15:16">
      <c r="O161">
        <v>11</v>
      </c>
      <c r="P161">
        <v>24</v>
      </c>
    </row>
    <row r="162" spans="15:16">
      <c r="O162">
        <v>38</v>
      </c>
      <c r="P162">
        <v>24</v>
      </c>
    </row>
    <row r="163" spans="15:16">
      <c r="O163">
        <v>33</v>
      </c>
      <c r="P163">
        <v>22</v>
      </c>
    </row>
    <row r="164" spans="15:16">
      <c r="O164">
        <v>22</v>
      </c>
      <c r="P164">
        <v>26</v>
      </c>
    </row>
    <row r="165" spans="15:16">
      <c r="P165">
        <v>24</v>
      </c>
    </row>
    <row r="166" spans="15:16">
      <c r="P166">
        <v>7</v>
      </c>
    </row>
    <row r="167" spans="15:16">
      <c r="P167">
        <v>24</v>
      </c>
    </row>
    <row r="168" spans="15:16">
      <c r="P168">
        <v>44</v>
      </c>
    </row>
    <row r="169" spans="15:16">
      <c r="P169">
        <v>12</v>
      </c>
    </row>
    <row r="170" spans="15:16">
      <c r="P170">
        <v>26</v>
      </c>
    </row>
    <row r="171" spans="15:16">
      <c r="P171">
        <v>5</v>
      </c>
    </row>
    <row r="172" spans="15:16">
      <c r="P172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5224-CEC5-A047-A26C-7478CAEE7C41}">
  <dimension ref="A1:I78"/>
  <sheetViews>
    <sheetView tabSelected="1" topLeftCell="A50" workbookViewId="0">
      <selection activeCell="N63" sqref="N63"/>
    </sheetView>
  </sheetViews>
  <sheetFormatPr baseColWidth="10" defaultRowHeight="16"/>
  <cols>
    <col min="1" max="1" width="22" customWidth="1"/>
  </cols>
  <sheetData>
    <row r="1" spans="1:9">
      <c r="A1" s="9" t="s">
        <v>1718</v>
      </c>
      <c r="B1" t="s">
        <v>1746</v>
      </c>
      <c r="E1" s="9"/>
      <c r="F1" s="9"/>
      <c r="G1" t="s">
        <v>1756</v>
      </c>
    </row>
    <row r="2" spans="1:9" ht="17" thickBot="1">
      <c r="E2" s="9"/>
      <c r="F2" s="9"/>
    </row>
    <row r="3" spans="1:9">
      <c r="B3" s="14"/>
      <c r="C3" s="14" t="s">
        <v>52</v>
      </c>
      <c r="D3" s="14" t="s">
        <v>121</v>
      </c>
      <c r="E3" s="9"/>
      <c r="F3" s="9"/>
      <c r="G3" s="14"/>
      <c r="H3" s="14" t="s">
        <v>52</v>
      </c>
      <c r="I3" s="14" t="s">
        <v>121</v>
      </c>
    </row>
    <row r="4" spans="1:9">
      <c r="B4" t="s">
        <v>1747</v>
      </c>
      <c r="C4">
        <v>4.5402996254681618</v>
      </c>
      <c r="D4">
        <v>5.0224242424242425</v>
      </c>
      <c r="E4" s="17"/>
      <c r="F4" s="9"/>
      <c r="G4" t="s">
        <v>1747</v>
      </c>
      <c r="H4">
        <v>4.5402996254681618</v>
      </c>
      <c r="I4">
        <v>5.0224242424242425</v>
      </c>
    </row>
    <row r="5" spans="1:9">
      <c r="B5" t="s">
        <v>1687</v>
      </c>
      <c r="C5">
        <v>5.7736370915665827</v>
      </c>
      <c r="D5">
        <v>4.9641892091647986</v>
      </c>
      <c r="E5" s="9"/>
      <c r="F5" s="9"/>
      <c r="G5" t="s">
        <v>1687</v>
      </c>
      <c r="H5">
        <v>5.7736370915665827</v>
      </c>
      <c r="I5">
        <v>4.9641892091647986</v>
      </c>
    </row>
    <row r="6" spans="1:9">
      <c r="B6" t="s">
        <v>1748</v>
      </c>
      <c r="C6">
        <v>1335</v>
      </c>
      <c r="D6">
        <v>165</v>
      </c>
      <c r="E6" s="9"/>
      <c r="F6" s="9"/>
      <c r="G6" t="s">
        <v>1748</v>
      </c>
      <c r="H6">
        <v>1335</v>
      </c>
      <c r="I6">
        <v>165</v>
      </c>
    </row>
    <row r="7" spans="1:9">
      <c r="B7" t="s">
        <v>1749</v>
      </c>
      <c r="C7">
        <v>5.6850192993677222</v>
      </c>
      <c r="E7" s="9"/>
      <c r="F7" s="9"/>
      <c r="G7" t="s">
        <v>1750</v>
      </c>
      <c r="H7">
        <v>0</v>
      </c>
    </row>
    <row r="8" spans="1:9">
      <c r="B8" t="s">
        <v>1750</v>
      </c>
      <c r="C8">
        <v>0</v>
      </c>
      <c r="E8" s="9"/>
      <c r="F8" s="9"/>
      <c r="G8" t="s">
        <v>1691</v>
      </c>
      <c r="H8">
        <v>214</v>
      </c>
    </row>
    <row r="9" spans="1:9">
      <c r="B9" t="s">
        <v>1691</v>
      </c>
      <c r="C9">
        <v>1498</v>
      </c>
      <c r="E9" s="9"/>
      <c r="F9" s="9"/>
      <c r="G9" t="s">
        <v>1751</v>
      </c>
      <c r="H9">
        <v>-2.5990331260148567</v>
      </c>
    </row>
    <row r="10" spans="1:9">
      <c r="B10" t="s">
        <v>1751</v>
      </c>
      <c r="C10">
        <v>-2.4503623482974488</v>
      </c>
      <c r="E10" s="17"/>
      <c r="F10" s="17"/>
      <c r="G10" t="s">
        <v>1752</v>
      </c>
      <c r="H10">
        <v>4.9995041712328761E-3</v>
      </c>
    </row>
    <row r="11" spans="1:9">
      <c r="B11" t="s">
        <v>1752</v>
      </c>
      <c r="C11">
        <v>7.19247796513099E-3</v>
      </c>
      <c r="E11" s="9"/>
      <c r="F11" s="9"/>
      <c r="G11" t="s">
        <v>1753</v>
      </c>
      <c r="H11">
        <v>1.652005155546155</v>
      </c>
    </row>
    <row r="12" spans="1:9">
      <c r="B12" t="s">
        <v>1753</v>
      </c>
      <c r="C12">
        <v>1.6458714625000035</v>
      </c>
      <c r="E12" s="9"/>
      <c r="F12" s="9"/>
      <c r="G12" t="s">
        <v>1754</v>
      </c>
      <c r="H12">
        <v>9.9990083424657521E-3</v>
      </c>
    </row>
    <row r="13" spans="1:9" ht="17" thickBot="1">
      <c r="B13" t="s">
        <v>1754</v>
      </c>
      <c r="C13">
        <v>1.438495593026198E-2</v>
      </c>
      <c r="E13" s="9"/>
      <c r="F13" s="9"/>
      <c r="G13" s="13" t="s">
        <v>1755</v>
      </c>
      <c r="H13" s="13">
        <v>1.9711112576623084</v>
      </c>
      <c r="I13" s="13"/>
    </row>
    <row r="14" spans="1:9" ht="17" thickBot="1">
      <c r="B14" s="13" t="s">
        <v>1755</v>
      </c>
      <c r="C14" s="13">
        <v>1.96154886875086</v>
      </c>
      <c r="D14" s="13"/>
      <c r="E14" s="9"/>
      <c r="F14" s="9"/>
      <c r="G14" s="9"/>
    </row>
    <row r="17" spans="1:9">
      <c r="A17" t="s">
        <v>5</v>
      </c>
      <c r="B17" t="s">
        <v>1746</v>
      </c>
      <c r="G17" t="s">
        <v>1756</v>
      </c>
    </row>
    <row r="18" spans="1:9" ht="17" thickBot="1"/>
    <row r="19" spans="1:9">
      <c r="B19" s="14"/>
      <c r="C19" s="14" t="s">
        <v>52</v>
      </c>
      <c r="D19" s="14" t="s">
        <v>121</v>
      </c>
      <c r="G19" s="14"/>
      <c r="H19" s="14" t="s">
        <v>52</v>
      </c>
      <c r="I19" s="14" t="s">
        <v>121</v>
      </c>
    </row>
    <row r="20" spans="1:9">
      <c r="B20" t="s">
        <v>1747</v>
      </c>
      <c r="C20">
        <v>60.650936329588014</v>
      </c>
      <c r="D20">
        <v>60.715151515151518</v>
      </c>
      <c r="G20" t="s">
        <v>1747</v>
      </c>
      <c r="H20">
        <v>60.650936329588014</v>
      </c>
      <c r="I20">
        <v>60.715151515151518</v>
      </c>
    </row>
    <row r="21" spans="1:9">
      <c r="B21" t="s">
        <v>1687</v>
      </c>
      <c r="C21">
        <v>105.06247101168496</v>
      </c>
      <c r="D21">
        <v>114.76592756836624</v>
      </c>
      <c r="G21" t="s">
        <v>1687</v>
      </c>
      <c r="H21">
        <v>105.06247101168496</v>
      </c>
      <c r="I21">
        <v>114.76592756836624</v>
      </c>
    </row>
    <row r="22" spans="1:9">
      <c r="A22" s="18"/>
      <c r="B22" t="s">
        <v>1748</v>
      </c>
      <c r="C22">
        <v>1335</v>
      </c>
      <c r="D22">
        <v>165</v>
      </c>
      <c r="E22" s="18"/>
      <c r="G22" t="s">
        <v>1748</v>
      </c>
      <c r="H22">
        <v>1335</v>
      </c>
      <c r="I22">
        <v>165</v>
      </c>
    </row>
    <row r="23" spans="1:9">
      <c r="B23" t="s">
        <v>1749</v>
      </c>
      <c r="C23">
        <v>106.12479869879826</v>
      </c>
      <c r="G23" t="s">
        <v>1750</v>
      </c>
      <c r="H23">
        <v>0</v>
      </c>
    </row>
    <row r="24" spans="1:9">
      <c r="B24" t="s">
        <v>1750</v>
      </c>
      <c r="C24">
        <v>0</v>
      </c>
      <c r="G24" t="s">
        <v>1691</v>
      </c>
      <c r="H24">
        <v>203</v>
      </c>
    </row>
    <row r="25" spans="1:9">
      <c r="B25" t="s">
        <v>1691</v>
      </c>
      <c r="C25">
        <v>1498</v>
      </c>
      <c r="G25" t="s">
        <v>1751</v>
      </c>
      <c r="H25">
        <v>-7.2978890971856905E-2</v>
      </c>
    </row>
    <row r="26" spans="1:9">
      <c r="B26" t="s">
        <v>1751</v>
      </c>
      <c r="C26">
        <v>-7.5538138386598799E-2</v>
      </c>
      <c r="G26" t="s">
        <v>1752</v>
      </c>
      <c r="H26">
        <v>0.47094738551517273</v>
      </c>
    </row>
    <row r="27" spans="1:9">
      <c r="B27" t="s">
        <v>1752</v>
      </c>
      <c r="C27">
        <v>0.469898320208604</v>
      </c>
      <c r="G27" t="s">
        <v>1753</v>
      </c>
      <c r="H27">
        <v>1.6523944600914158</v>
      </c>
    </row>
    <row r="28" spans="1:9">
      <c r="A28" s="18"/>
      <c r="B28" t="s">
        <v>1753</v>
      </c>
      <c r="C28">
        <v>1.6458714625000035</v>
      </c>
      <c r="E28" s="18"/>
      <c r="F28" s="18"/>
      <c r="G28" t="s">
        <v>1754</v>
      </c>
      <c r="H28">
        <v>0.94189477103034547</v>
      </c>
    </row>
    <row r="29" spans="1:9" ht="17" thickBot="1">
      <c r="B29" t="s">
        <v>1754</v>
      </c>
      <c r="C29">
        <v>0.93979664041720801</v>
      </c>
      <c r="G29" s="13" t="s">
        <v>1755</v>
      </c>
      <c r="H29" s="13">
        <v>1.9717188484634527</v>
      </c>
      <c r="I29" s="13"/>
    </row>
    <row r="30" spans="1:9" ht="17" thickBot="1">
      <c r="B30" s="13" t="s">
        <v>1755</v>
      </c>
      <c r="C30" s="13">
        <v>1.96154886875086</v>
      </c>
      <c r="D30" s="13"/>
    </row>
    <row r="33" spans="1:9">
      <c r="A33" t="s">
        <v>15</v>
      </c>
      <c r="B33" t="s">
        <v>1746</v>
      </c>
      <c r="G33" t="s">
        <v>1756</v>
      </c>
    </row>
    <row r="34" spans="1:9" ht="17" thickBot="1"/>
    <row r="35" spans="1:9">
      <c r="B35" s="14"/>
      <c r="C35" s="14" t="s">
        <v>52</v>
      </c>
      <c r="D35" s="14" t="s">
        <v>121</v>
      </c>
      <c r="G35" s="14"/>
      <c r="H35" s="14" t="s">
        <v>52</v>
      </c>
      <c r="I35" s="14" t="s">
        <v>121</v>
      </c>
    </row>
    <row r="36" spans="1:9">
      <c r="B36" t="s">
        <v>1747</v>
      </c>
      <c r="C36">
        <v>26.564344569288394</v>
      </c>
      <c r="D36">
        <v>26.318181818181817</v>
      </c>
      <c r="G36" t="s">
        <v>1747</v>
      </c>
      <c r="H36">
        <v>26.564344569288394</v>
      </c>
      <c r="I36">
        <v>26.318181818181817</v>
      </c>
    </row>
    <row r="37" spans="1:9">
      <c r="B37" t="s">
        <v>1687</v>
      </c>
      <c r="C37">
        <v>15.85928245989396</v>
      </c>
      <c r="D37">
        <v>15.527228381374544</v>
      </c>
      <c r="G37" t="s">
        <v>1687</v>
      </c>
      <c r="H37">
        <v>15.85928245989396</v>
      </c>
      <c r="I37">
        <v>15.527228381374544</v>
      </c>
    </row>
    <row r="38" spans="1:9">
      <c r="B38" t="s">
        <v>1748</v>
      </c>
      <c r="C38">
        <v>1335</v>
      </c>
      <c r="D38">
        <v>165</v>
      </c>
      <c r="G38" t="s">
        <v>1748</v>
      </c>
      <c r="H38">
        <v>1335</v>
      </c>
      <c r="I38">
        <v>165</v>
      </c>
    </row>
    <row r="39" spans="1:9">
      <c r="B39" t="s">
        <v>1749</v>
      </c>
      <c r="C39">
        <v>15.822929409909191</v>
      </c>
      <c r="G39" t="s">
        <v>1750</v>
      </c>
      <c r="H39">
        <v>0</v>
      </c>
    </row>
    <row r="40" spans="1:9">
      <c r="B40" t="s">
        <v>1750</v>
      </c>
      <c r="C40">
        <v>0</v>
      </c>
      <c r="G40" t="s">
        <v>1691</v>
      </c>
      <c r="H40">
        <v>208</v>
      </c>
    </row>
    <row r="41" spans="1:9">
      <c r="B41" t="s">
        <v>1691</v>
      </c>
      <c r="C41">
        <v>1498</v>
      </c>
      <c r="G41" t="s">
        <v>1751</v>
      </c>
      <c r="H41">
        <v>0.75613985360886737</v>
      </c>
    </row>
    <row r="42" spans="1:9">
      <c r="B42" t="s">
        <v>1751</v>
      </c>
      <c r="C42">
        <v>0.74992160741280378</v>
      </c>
      <c r="G42" t="s">
        <v>1752</v>
      </c>
      <c r="H42">
        <v>0.22521043189053108</v>
      </c>
    </row>
    <row r="43" spans="1:9">
      <c r="B43" t="s">
        <v>1752</v>
      </c>
      <c r="C43">
        <v>0.22670983946156487</v>
      </c>
      <c r="G43" t="s">
        <v>1753</v>
      </c>
      <c r="H43">
        <v>1.6522123760661407</v>
      </c>
    </row>
    <row r="44" spans="1:9">
      <c r="B44" t="s">
        <v>1753</v>
      </c>
      <c r="C44">
        <v>1.6458714625000035</v>
      </c>
      <c r="G44" t="s">
        <v>1754</v>
      </c>
      <c r="H44">
        <v>0.45042086378106216</v>
      </c>
    </row>
    <row r="45" spans="1:9" ht="17" thickBot="1">
      <c r="B45" t="s">
        <v>1754</v>
      </c>
      <c r="C45">
        <v>0.45341967892312973</v>
      </c>
      <c r="G45" s="13" t="s">
        <v>1755</v>
      </c>
      <c r="H45" s="13">
        <v>1.9714346585202402</v>
      </c>
      <c r="I45" s="13"/>
    </row>
    <row r="46" spans="1:9" ht="17" thickBot="1">
      <c r="B46" s="13" t="s">
        <v>1755</v>
      </c>
      <c r="C46" s="13">
        <v>1.96154886875086</v>
      </c>
      <c r="D46" s="13"/>
    </row>
    <row r="49" spans="1:9">
      <c r="A49" t="s">
        <v>1757</v>
      </c>
      <c r="B49" t="s">
        <v>1746</v>
      </c>
      <c r="G49" t="s">
        <v>1756</v>
      </c>
    </row>
    <row r="50" spans="1:9" ht="17" thickBot="1"/>
    <row r="51" spans="1:9">
      <c r="B51" s="14"/>
      <c r="C51" s="14" t="s">
        <v>52</v>
      </c>
      <c r="D51" s="14" t="s">
        <v>121</v>
      </c>
      <c r="G51" s="14"/>
      <c r="H51" s="14" t="s">
        <v>52</v>
      </c>
      <c r="I51" s="14" t="s">
        <v>121</v>
      </c>
    </row>
    <row r="52" spans="1:9">
      <c r="B52" t="s">
        <v>1747</v>
      </c>
      <c r="C52">
        <v>21.106888361045129</v>
      </c>
      <c r="D52">
        <v>22.21</v>
      </c>
      <c r="G52" t="s">
        <v>1747</v>
      </c>
      <c r="H52">
        <v>21.106888361045129</v>
      </c>
      <c r="I52">
        <v>22.21</v>
      </c>
    </row>
    <row r="53" spans="1:9">
      <c r="B53" t="s">
        <v>1687</v>
      </c>
      <c r="C53">
        <v>106.86235719941185</v>
      </c>
      <c r="D53">
        <v>94.369595959595927</v>
      </c>
      <c r="G53" t="s">
        <v>1687</v>
      </c>
      <c r="H53">
        <v>106.86235719941185</v>
      </c>
      <c r="I53">
        <v>94.369595959595927</v>
      </c>
    </row>
    <row r="54" spans="1:9">
      <c r="B54" t="s">
        <v>1748</v>
      </c>
      <c r="C54">
        <v>421</v>
      </c>
      <c r="D54">
        <v>100</v>
      </c>
      <c r="G54" t="s">
        <v>1748</v>
      </c>
      <c r="H54">
        <v>421</v>
      </c>
      <c r="I54">
        <v>100</v>
      </c>
    </row>
    <row r="55" spans="1:9">
      <c r="B55" t="s">
        <v>1749</v>
      </c>
      <c r="C55">
        <v>104.47934493979379</v>
      </c>
      <c r="G55" t="s">
        <v>1750</v>
      </c>
      <c r="H55">
        <v>0</v>
      </c>
    </row>
    <row r="56" spans="1:9">
      <c r="B56" t="s">
        <v>1750</v>
      </c>
      <c r="C56">
        <v>0</v>
      </c>
      <c r="G56" t="s">
        <v>1691</v>
      </c>
      <c r="H56">
        <v>157</v>
      </c>
    </row>
    <row r="57" spans="1:9">
      <c r="B57" t="s">
        <v>1691</v>
      </c>
      <c r="C57">
        <v>519</v>
      </c>
      <c r="G57" t="s">
        <v>1751</v>
      </c>
      <c r="H57">
        <v>-1.0080382921351825</v>
      </c>
    </row>
    <row r="58" spans="1:9">
      <c r="B58" t="s">
        <v>1751</v>
      </c>
      <c r="C58">
        <v>-0.97012217688416491</v>
      </c>
      <c r="G58" t="s">
        <v>1752</v>
      </c>
      <c r="H58">
        <v>0.15749357172641795</v>
      </c>
    </row>
    <row r="59" spans="1:9">
      <c r="B59" t="s">
        <v>1752</v>
      </c>
      <c r="C59">
        <v>0.16621873901441986</v>
      </c>
      <c r="G59" t="s">
        <v>1753</v>
      </c>
      <c r="H59">
        <v>1.6546170347148881</v>
      </c>
    </row>
    <row r="60" spans="1:9">
      <c r="B60" t="s">
        <v>1753</v>
      </c>
      <c r="C60">
        <v>1.6477948778608913</v>
      </c>
      <c r="G60" t="s">
        <v>1754</v>
      </c>
      <c r="H60">
        <v>0.3149871434528359</v>
      </c>
    </row>
    <row r="61" spans="1:9" ht="17" thickBot="1">
      <c r="B61" t="s">
        <v>1754</v>
      </c>
      <c r="C61">
        <v>0.33243747802883972</v>
      </c>
      <c r="G61" s="13" t="s">
        <v>1755</v>
      </c>
      <c r="H61" s="13">
        <v>1.9751891630765959</v>
      </c>
      <c r="I61" s="13"/>
    </row>
    <row r="62" spans="1:9" ht="17" thickBot="1">
      <c r="B62" s="13" t="s">
        <v>1755</v>
      </c>
      <c r="C62" s="13">
        <v>1.9645453314967853</v>
      </c>
      <c r="D62" s="13"/>
    </row>
    <row r="65" spans="1:9">
      <c r="A65" t="s">
        <v>1719</v>
      </c>
      <c r="B65" t="s">
        <v>1746</v>
      </c>
      <c r="G65" t="s">
        <v>1756</v>
      </c>
    </row>
    <row r="66" spans="1:9" ht="17" thickBot="1"/>
    <row r="67" spans="1:9">
      <c r="B67" s="14"/>
      <c r="C67" s="14" t="s">
        <v>52</v>
      </c>
      <c r="D67" s="14" t="s">
        <v>121</v>
      </c>
      <c r="G67" s="14"/>
      <c r="H67" s="14" t="s">
        <v>52</v>
      </c>
      <c r="I67" s="14" t="s">
        <v>121</v>
      </c>
    </row>
    <row r="68" spans="1:9">
      <c r="B68" t="s">
        <v>1747</v>
      </c>
      <c r="C68">
        <v>22.957244655581949</v>
      </c>
      <c r="D68">
        <v>26.57</v>
      </c>
      <c r="G68" t="s">
        <v>1747</v>
      </c>
      <c r="H68">
        <v>22.957244655581949</v>
      </c>
      <c r="I68">
        <v>26.57</v>
      </c>
    </row>
    <row r="69" spans="1:9">
      <c r="B69" t="s">
        <v>1687</v>
      </c>
      <c r="C69">
        <v>101.26483429476302</v>
      </c>
      <c r="D69">
        <v>109.88393939393934</v>
      </c>
      <c r="G69" t="s">
        <v>1687</v>
      </c>
      <c r="H69">
        <v>101.26483429476302</v>
      </c>
      <c r="I69">
        <v>109.88393939393934</v>
      </c>
    </row>
    <row r="70" spans="1:9">
      <c r="B70" t="s">
        <v>1748</v>
      </c>
      <c r="C70">
        <v>421</v>
      </c>
      <c r="D70">
        <v>100</v>
      </c>
      <c r="G70" t="s">
        <v>1748</v>
      </c>
      <c r="H70">
        <v>421</v>
      </c>
      <c r="I70">
        <v>100</v>
      </c>
    </row>
    <row r="71" spans="1:9">
      <c r="B71" t="s">
        <v>1749</v>
      </c>
      <c r="C71">
        <v>102.90894104778509</v>
      </c>
      <c r="G71" t="s">
        <v>1750</v>
      </c>
      <c r="H71">
        <v>0</v>
      </c>
    </row>
    <row r="72" spans="1:9">
      <c r="B72" t="s">
        <v>1750</v>
      </c>
      <c r="C72">
        <v>0</v>
      </c>
      <c r="G72" t="s">
        <v>1691</v>
      </c>
      <c r="H72">
        <v>145</v>
      </c>
    </row>
    <row r="73" spans="1:9">
      <c r="B73" t="s">
        <v>1691</v>
      </c>
      <c r="C73">
        <v>519</v>
      </c>
      <c r="G73" t="s">
        <v>1751</v>
      </c>
      <c r="H73">
        <v>-3.1216751739263864</v>
      </c>
    </row>
    <row r="74" spans="1:9">
      <c r="B74" t="s">
        <v>1751</v>
      </c>
      <c r="C74">
        <v>-3.2013575640834695</v>
      </c>
      <c r="G74" t="s">
        <v>1752</v>
      </c>
      <c r="H74">
        <v>1.0854717499371531E-3</v>
      </c>
    </row>
    <row r="75" spans="1:9">
      <c r="B75" t="s">
        <v>1752</v>
      </c>
      <c r="C75">
        <v>7.2580244453689417E-4</v>
      </c>
      <c r="G75" t="s">
        <v>1753</v>
      </c>
      <c r="H75">
        <v>1.6554302514176737</v>
      </c>
    </row>
    <row r="76" spans="1:9">
      <c r="B76" t="s">
        <v>1753</v>
      </c>
      <c r="C76">
        <v>1.6477948778608913</v>
      </c>
      <c r="G76" t="s">
        <v>1754</v>
      </c>
      <c r="H76">
        <v>2.1709434998743063E-3</v>
      </c>
    </row>
    <row r="77" spans="1:9" ht="17" thickBot="1">
      <c r="B77" t="s">
        <v>1754</v>
      </c>
      <c r="C77">
        <v>1.4516048890737883E-3</v>
      </c>
      <c r="G77" s="13" t="s">
        <v>1755</v>
      </c>
      <c r="H77" s="13">
        <v>1.9764595626329151</v>
      </c>
      <c r="I77" s="13"/>
    </row>
    <row r="78" spans="1:9" ht="17" thickBot="1">
      <c r="B78" s="13" t="s">
        <v>1755</v>
      </c>
      <c r="C78" s="13">
        <v>1.9645453314967853</v>
      </c>
      <c r="D78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1E665-B460-4145-A60B-ADFEC9474FB9}">
  <dimension ref="A1:L117"/>
  <sheetViews>
    <sheetView topLeftCell="A37" workbookViewId="0">
      <selection activeCell="O46" sqref="O46"/>
    </sheetView>
  </sheetViews>
  <sheetFormatPr baseColWidth="10" defaultRowHeight="16"/>
  <cols>
    <col min="1" max="1" width="25.33203125" customWidth="1"/>
    <col min="5" max="5" width="18.33203125" customWidth="1"/>
    <col min="9" max="9" width="15.6640625" customWidth="1"/>
    <col min="15" max="15" width="10.83203125" customWidth="1"/>
  </cols>
  <sheetData>
    <row r="1" spans="1:7">
      <c r="A1" t="s">
        <v>1681</v>
      </c>
      <c r="B1" t="s">
        <v>1699</v>
      </c>
    </row>
    <row r="3" spans="1:7" ht="17" thickBot="1">
      <c r="A3" t="s">
        <v>1682</v>
      </c>
    </row>
    <row r="4" spans="1:7">
      <c r="A4" s="14" t="s">
        <v>1683</v>
      </c>
      <c r="B4" s="14" t="s">
        <v>1684</v>
      </c>
      <c r="C4" s="14" t="s">
        <v>1685</v>
      </c>
      <c r="D4" s="14" t="s">
        <v>1686</v>
      </c>
      <c r="E4" s="14" t="s">
        <v>1687</v>
      </c>
    </row>
    <row r="5" spans="1:7">
      <c r="A5" t="s">
        <v>1677</v>
      </c>
      <c r="B5">
        <v>436</v>
      </c>
      <c r="C5">
        <v>26286</v>
      </c>
      <c r="D5">
        <v>60.288990825688074</v>
      </c>
      <c r="E5">
        <v>110.80824633554781</v>
      </c>
    </row>
    <row r="6" spans="1:7">
      <c r="A6" t="s">
        <v>1678</v>
      </c>
      <c r="B6">
        <v>356</v>
      </c>
      <c r="C6">
        <v>21506</v>
      </c>
      <c r="D6">
        <v>60.41011235955056</v>
      </c>
      <c r="E6">
        <v>109.30175660705837</v>
      </c>
    </row>
    <row r="7" spans="1:7">
      <c r="A7" t="s">
        <v>1679</v>
      </c>
      <c r="B7">
        <v>351</v>
      </c>
      <c r="C7">
        <v>21582</v>
      </c>
      <c r="D7">
        <v>61.487179487179489</v>
      </c>
      <c r="E7">
        <v>96.959120879120732</v>
      </c>
    </row>
    <row r="8" spans="1:7" ht="17" thickBot="1">
      <c r="A8" s="13" t="s">
        <v>1680</v>
      </c>
      <c r="B8" s="13">
        <v>357</v>
      </c>
      <c r="C8" s="13">
        <v>21613</v>
      </c>
      <c r="D8" s="13">
        <v>60.540616246498601</v>
      </c>
      <c r="E8" s="13">
        <v>105.92320523715088</v>
      </c>
    </row>
    <row r="11" spans="1:7" ht="17" thickBot="1">
      <c r="A11" t="s">
        <v>1688</v>
      </c>
    </row>
    <row r="12" spans="1:7">
      <c r="A12" s="14" t="s">
        <v>1689</v>
      </c>
      <c r="B12" s="14" t="s">
        <v>1690</v>
      </c>
      <c r="C12" s="14" t="s">
        <v>1691</v>
      </c>
      <c r="D12" s="14" t="s">
        <v>1692</v>
      </c>
      <c r="E12" s="14" t="s">
        <v>1693</v>
      </c>
      <c r="F12" s="14" t="s">
        <v>1694</v>
      </c>
      <c r="G12" s="14" t="s">
        <v>1695</v>
      </c>
    </row>
    <row r="13" spans="1:7">
      <c r="A13" t="s">
        <v>1696</v>
      </c>
      <c r="B13">
        <v>327.48987641304848</v>
      </c>
      <c r="C13">
        <v>3</v>
      </c>
      <c r="D13">
        <v>109.16329213768283</v>
      </c>
      <c r="E13">
        <v>1.0293745841787036</v>
      </c>
      <c r="F13">
        <v>0.37855907872577543</v>
      </c>
      <c r="G13">
        <v>2.6108505918501939</v>
      </c>
    </row>
    <row r="14" spans="1:7">
      <c r="A14" t="s">
        <v>1697</v>
      </c>
      <c r="B14">
        <v>158648.06412358684</v>
      </c>
      <c r="C14">
        <v>1496</v>
      </c>
      <c r="D14">
        <v>106.04817120560618</v>
      </c>
    </row>
    <row r="16" spans="1:7" ht="17" thickBot="1">
      <c r="A16" s="13" t="s">
        <v>1698</v>
      </c>
      <c r="B16" s="13">
        <v>158975.55399999989</v>
      </c>
      <c r="C16" s="13">
        <v>1499</v>
      </c>
      <c r="D16" s="13"/>
      <c r="E16" s="13"/>
      <c r="F16" s="13"/>
      <c r="G16" s="13"/>
    </row>
    <row r="20" spans="1:7">
      <c r="A20" t="s">
        <v>1681</v>
      </c>
      <c r="B20" t="s">
        <v>15</v>
      </c>
    </row>
    <row r="22" spans="1:7" ht="17" thickBot="1">
      <c r="A22" t="s">
        <v>1682</v>
      </c>
    </row>
    <row r="23" spans="1:7">
      <c r="A23" s="14" t="s">
        <v>1683</v>
      </c>
      <c r="B23" s="14" t="s">
        <v>1684</v>
      </c>
      <c r="C23" s="14" t="s">
        <v>1685</v>
      </c>
      <c r="D23" s="14" t="s">
        <v>1686</v>
      </c>
      <c r="E23" s="14" t="s">
        <v>1687</v>
      </c>
    </row>
    <row r="24" spans="1:7">
      <c r="A24" t="s">
        <v>1677</v>
      </c>
      <c r="B24">
        <v>436</v>
      </c>
      <c r="C24">
        <v>11558.599999999986</v>
      </c>
      <c r="D24">
        <v>26.510550458715564</v>
      </c>
      <c r="E24">
        <v>14.35032521354171</v>
      </c>
    </row>
    <row r="25" spans="1:7">
      <c r="A25" t="s">
        <v>1678</v>
      </c>
      <c r="B25">
        <v>356</v>
      </c>
      <c r="C25">
        <v>9404.1000000000113</v>
      </c>
      <c r="D25">
        <v>26.416011235955089</v>
      </c>
      <c r="E25">
        <v>17.292672495646109</v>
      </c>
    </row>
    <row r="26" spans="1:7">
      <c r="A26" t="s">
        <v>1679</v>
      </c>
      <c r="B26">
        <v>351</v>
      </c>
      <c r="C26">
        <v>9337.9000000000069</v>
      </c>
      <c r="D26">
        <v>26.603703703703722</v>
      </c>
      <c r="E26">
        <v>17.123729100528873</v>
      </c>
    </row>
    <row r="27" spans="1:7" ht="17" thickBot="1">
      <c r="A27" s="13" t="s">
        <v>1680</v>
      </c>
      <c r="B27" s="13">
        <v>357</v>
      </c>
      <c r="C27" s="13">
        <v>9505.2999999999902</v>
      </c>
      <c r="D27" s="13">
        <v>26.625490196078403</v>
      </c>
      <c r="E27" s="13">
        <v>14.963983256225454</v>
      </c>
    </row>
    <row r="30" spans="1:7" ht="17" thickBot="1">
      <c r="A30" t="s">
        <v>1688</v>
      </c>
    </row>
    <row r="31" spans="1:7">
      <c r="A31" s="14" t="s">
        <v>1689</v>
      </c>
      <c r="B31" s="14" t="s">
        <v>1690</v>
      </c>
      <c r="C31" s="14" t="s">
        <v>1691</v>
      </c>
      <c r="D31" s="14" t="s">
        <v>1692</v>
      </c>
      <c r="E31" s="14" t="s">
        <v>1693</v>
      </c>
      <c r="F31" s="14" t="s">
        <v>1694</v>
      </c>
      <c r="G31" s="14" t="s">
        <v>1695</v>
      </c>
    </row>
    <row r="32" spans="1:7">
      <c r="A32" t="s">
        <v>1696</v>
      </c>
      <c r="B32">
        <v>9.8733650874928571</v>
      </c>
      <c r="C32">
        <v>3</v>
      </c>
      <c r="D32">
        <v>3.2911216958309524</v>
      </c>
      <c r="E32">
        <v>0.20772783403184755</v>
      </c>
      <c r="F32">
        <v>0.89108704771143366</v>
      </c>
      <c r="G32">
        <v>2.6108505918501939</v>
      </c>
    </row>
    <row r="33" spans="1:7">
      <c r="A33" t="s">
        <v>1697</v>
      </c>
      <c r="B33">
        <v>23701.773428245833</v>
      </c>
      <c r="C33">
        <v>1496</v>
      </c>
      <c r="D33">
        <v>15.843431435993203</v>
      </c>
    </row>
    <row r="35" spans="1:7" ht="17" thickBot="1">
      <c r="A35" s="13" t="s">
        <v>1698</v>
      </c>
      <c r="B35" s="13">
        <v>23711.646793333326</v>
      </c>
      <c r="C35" s="13">
        <v>1499</v>
      </c>
      <c r="D35" s="13"/>
      <c r="E35" s="13"/>
      <c r="F35" s="13"/>
      <c r="G35" s="13"/>
    </row>
    <row r="37" spans="1:7">
      <c r="A37" t="s">
        <v>1681</v>
      </c>
      <c r="B37" t="s">
        <v>1702</v>
      </c>
    </row>
    <row r="39" spans="1:7" ht="17" thickBot="1">
      <c r="A39" t="s">
        <v>1682</v>
      </c>
    </row>
    <row r="40" spans="1:7">
      <c r="A40" s="14" t="s">
        <v>1683</v>
      </c>
      <c r="B40" s="14" t="s">
        <v>1684</v>
      </c>
      <c r="C40" s="14" t="s">
        <v>1685</v>
      </c>
      <c r="D40" s="14" t="s">
        <v>1686</v>
      </c>
      <c r="E40" s="14" t="s">
        <v>1687</v>
      </c>
    </row>
    <row r="41" spans="1:7">
      <c r="A41" t="s">
        <v>1677</v>
      </c>
      <c r="B41">
        <v>84</v>
      </c>
      <c r="C41">
        <v>1664</v>
      </c>
      <c r="D41">
        <v>19.80952380952381</v>
      </c>
      <c r="E41">
        <v>113.2403901319564</v>
      </c>
    </row>
    <row r="42" spans="1:7">
      <c r="A42" t="s">
        <v>1678</v>
      </c>
      <c r="B42">
        <v>84</v>
      </c>
      <c r="C42">
        <v>1881</v>
      </c>
      <c r="D42">
        <v>22.392857142857142</v>
      </c>
      <c r="E42">
        <v>109.73537005163514</v>
      </c>
    </row>
    <row r="43" spans="1:7">
      <c r="A43" t="s">
        <v>1679</v>
      </c>
      <c r="B43">
        <v>84</v>
      </c>
      <c r="C43">
        <v>1944</v>
      </c>
      <c r="D43">
        <v>23.142857142857142</v>
      </c>
      <c r="E43">
        <v>101.30464716006888</v>
      </c>
    </row>
    <row r="44" spans="1:7" ht="17" thickBot="1">
      <c r="A44" s="13" t="s">
        <v>1680</v>
      </c>
      <c r="B44" s="13">
        <v>84</v>
      </c>
      <c r="C44" s="13">
        <v>1649</v>
      </c>
      <c r="D44" s="13">
        <v>19.63095238095238</v>
      </c>
      <c r="E44" s="13">
        <v>77.609150889271362</v>
      </c>
    </row>
    <row r="47" spans="1:7" ht="17" thickBot="1">
      <c r="A47" t="s">
        <v>1688</v>
      </c>
    </row>
    <row r="48" spans="1:7">
      <c r="A48" s="14" t="s">
        <v>1689</v>
      </c>
      <c r="B48" s="14" t="s">
        <v>1690</v>
      </c>
      <c r="C48" s="14" t="s">
        <v>1691</v>
      </c>
      <c r="D48" s="14" t="s">
        <v>1692</v>
      </c>
      <c r="E48" s="14" t="s">
        <v>1693</v>
      </c>
      <c r="F48" s="14" t="s">
        <v>1694</v>
      </c>
      <c r="G48" s="14" t="s">
        <v>1695</v>
      </c>
    </row>
    <row r="49" spans="1:12">
      <c r="A49" t="s">
        <v>1696</v>
      </c>
      <c r="B49">
        <v>805.15476190477784</v>
      </c>
      <c r="C49">
        <v>3</v>
      </c>
      <c r="D49">
        <v>268.38492063492595</v>
      </c>
      <c r="E49">
        <v>2.6712305919565336</v>
      </c>
      <c r="F49">
        <v>4.7472423058527821E-2</v>
      </c>
      <c r="G49">
        <v>2.6318113605828897</v>
      </c>
    </row>
    <row r="50" spans="1:12">
      <c r="A50" t="s">
        <v>1697</v>
      </c>
      <c r="B50">
        <v>33356.833333333328</v>
      </c>
      <c r="C50">
        <v>332</v>
      </c>
      <c r="D50">
        <v>100.47238955823292</v>
      </c>
    </row>
    <row r="52" spans="1:12" ht="17" thickBot="1">
      <c r="A52" s="13" t="s">
        <v>1698</v>
      </c>
      <c r="B52" s="13">
        <v>34161.988095238106</v>
      </c>
      <c r="C52" s="13">
        <v>335</v>
      </c>
      <c r="D52" s="13"/>
      <c r="E52" s="13"/>
      <c r="F52" s="13"/>
      <c r="G52" s="13"/>
    </row>
    <row r="54" spans="1:12">
      <c r="A54" t="s">
        <v>1703</v>
      </c>
      <c r="I54" t="s">
        <v>1717</v>
      </c>
    </row>
    <row r="55" spans="1:12">
      <c r="B55" t="s">
        <v>1710</v>
      </c>
      <c r="C55" t="s">
        <v>1711</v>
      </c>
      <c r="E55" t="s">
        <v>1712</v>
      </c>
      <c r="F55">
        <v>0.05</v>
      </c>
      <c r="I55" s="15" t="s">
        <v>1714</v>
      </c>
      <c r="J55" s="15" t="s">
        <v>1715</v>
      </c>
      <c r="K55" s="15" t="s">
        <v>1716</v>
      </c>
      <c r="L55" s="15" t="s">
        <v>1711</v>
      </c>
    </row>
    <row r="56" spans="1:12">
      <c r="A56" t="s">
        <v>1704</v>
      </c>
      <c r="B56">
        <v>0.13082465630345461</v>
      </c>
      <c r="C56" t="s">
        <v>47</v>
      </c>
      <c r="E56" t="s">
        <v>1713</v>
      </c>
      <c r="F56">
        <f>F55/6</f>
        <v>8.3333333333333332E-3</v>
      </c>
      <c r="I56" t="s">
        <v>1704</v>
      </c>
      <c r="J56">
        <v>-0.72</v>
      </c>
      <c r="K56">
        <v>0.79</v>
      </c>
      <c r="L56" t="s">
        <v>47</v>
      </c>
    </row>
    <row r="57" spans="1:12">
      <c r="A57" t="s">
        <v>1705</v>
      </c>
      <c r="B57">
        <v>6.6061892345652143E-2</v>
      </c>
      <c r="C57" t="s">
        <v>47</v>
      </c>
      <c r="I57" t="s">
        <v>1705</v>
      </c>
      <c r="J57">
        <v>-0.06</v>
      </c>
      <c r="K57">
        <v>0.99</v>
      </c>
      <c r="L57" t="s">
        <v>47</v>
      </c>
    </row>
    <row r="58" spans="1:12">
      <c r="A58" t="s">
        <v>1706</v>
      </c>
      <c r="B58">
        <v>0.60835345438847965</v>
      </c>
      <c r="C58" t="s">
        <v>47</v>
      </c>
      <c r="I58" t="s">
        <v>1706</v>
      </c>
      <c r="J58">
        <v>4.1500000000000004</v>
      </c>
      <c r="K58">
        <v>0.04</v>
      </c>
      <c r="L58" s="15" t="s">
        <v>46</v>
      </c>
    </row>
    <row r="59" spans="1:12">
      <c r="A59" t="s">
        <v>1707</v>
      </c>
      <c r="B59">
        <v>0.83524438191690931</v>
      </c>
      <c r="C59" t="s">
        <v>47</v>
      </c>
      <c r="I59" t="s">
        <v>1707</v>
      </c>
      <c r="J59">
        <v>0.66</v>
      </c>
      <c r="K59">
        <v>0.87</v>
      </c>
      <c r="L59" t="s">
        <v>47</v>
      </c>
    </row>
    <row r="60" spans="1:12">
      <c r="A60" t="s">
        <v>1708</v>
      </c>
      <c r="B60">
        <v>0.16907572653382816</v>
      </c>
      <c r="C60" t="s">
        <v>47</v>
      </c>
      <c r="I60" t="s">
        <v>1708</v>
      </c>
      <c r="J60">
        <v>4.87</v>
      </c>
      <c r="K60">
        <v>0.01</v>
      </c>
      <c r="L60" s="15" t="s">
        <v>46</v>
      </c>
    </row>
    <row r="61" spans="1:12">
      <c r="A61" t="s">
        <v>1709</v>
      </c>
      <c r="B61">
        <v>7.3577689396374144E-2</v>
      </c>
      <c r="C61" t="s">
        <v>47</v>
      </c>
      <c r="I61" t="s">
        <v>1709</v>
      </c>
      <c r="J61">
        <v>4.21</v>
      </c>
      <c r="K61">
        <v>0.02</v>
      </c>
      <c r="L61" s="15" t="s">
        <v>46</v>
      </c>
    </row>
    <row r="69" spans="1:7">
      <c r="A69" t="s">
        <v>1681</v>
      </c>
      <c r="B69" t="s">
        <v>1718</v>
      </c>
    </row>
    <row r="71" spans="1:7" ht="17" thickBot="1">
      <c r="A71" t="s">
        <v>1682</v>
      </c>
    </row>
    <row r="72" spans="1:7">
      <c r="A72" s="14" t="s">
        <v>1683</v>
      </c>
      <c r="B72" s="14" t="s">
        <v>1684</v>
      </c>
      <c r="C72" s="14" t="s">
        <v>1685</v>
      </c>
      <c r="D72" s="14" t="s">
        <v>1686</v>
      </c>
      <c r="E72" s="14" t="s">
        <v>1687</v>
      </c>
    </row>
    <row r="73" spans="1:7">
      <c r="A73" t="s">
        <v>1677</v>
      </c>
      <c r="B73">
        <v>436</v>
      </c>
      <c r="C73">
        <v>888.4000000000002</v>
      </c>
      <c r="D73">
        <v>2.0376146788990832</v>
      </c>
      <c r="E73">
        <v>0.56368533164610179</v>
      </c>
    </row>
    <row r="74" spans="1:7">
      <c r="A74" t="s">
        <v>1678</v>
      </c>
      <c r="B74">
        <v>356</v>
      </c>
      <c r="C74">
        <v>1449.4000000000003</v>
      </c>
      <c r="D74">
        <v>4.0713483146067428</v>
      </c>
      <c r="E74">
        <v>1.2493739515746174</v>
      </c>
    </row>
    <row r="75" spans="1:7">
      <c r="A75" t="s">
        <v>1679</v>
      </c>
      <c r="B75">
        <v>351</v>
      </c>
      <c r="C75">
        <v>1986.8000000000011</v>
      </c>
      <c r="D75">
        <v>5.6603988603988631</v>
      </c>
      <c r="E75">
        <v>2.0723415547415112</v>
      </c>
    </row>
    <row r="76" spans="1:7" ht="17" thickBot="1">
      <c r="A76" s="13" t="s">
        <v>1680</v>
      </c>
      <c r="B76" s="13">
        <v>357</v>
      </c>
      <c r="C76" s="13">
        <v>2565.3999999999987</v>
      </c>
      <c r="D76" s="13">
        <v>7.1859943977591003</v>
      </c>
      <c r="E76" s="13">
        <v>3.9102527303056673</v>
      </c>
    </row>
    <row r="79" spans="1:7" ht="17" thickBot="1">
      <c r="A79" t="s">
        <v>1688</v>
      </c>
    </row>
    <row r="80" spans="1:7">
      <c r="A80" s="14" t="s">
        <v>1689</v>
      </c>
      <c r="B80" s="14" t="s">
        <v>1690</v>
      </c>
      <c r="C80" s="14" t="s">
        <v>1691</v>
      </c>
      <c r="D80" s="14" t="s">
        <v>1692</v>
      </c>
      <c r="E80" s="14" t="s">
        <v>1693</v>
      </c>
      <c r="F80" s="14" t="s">
        <v>1694</v>
      </c>
      <c r="G80" s="14" t="s">
        <v>1695</v>
      </c>
    </row>
    <row r="81" spans="1:7">
      <c r="A81" t="s">
        <v>1696</v>
      </c>
      <c r="B81">
        <v>5744.192945109944</v>
      </c>
      <c r="C81">
        <v>3</v>
      </c>
      <c r="D81">
        <v>1914.7309817033147</v>
      </c>
      <c r="E81">
        <v>1020.7894060560359</v>
      </c>
      <c r="F81">
        <v>0</v>
      </c>
      <c r="G81">
        <v>2.6108505918501939</v>
      </c>
    </row>
    <row r="82" spans="1:7">
      <c r="A82" t="s">
        <v>1697</v>
      </c>
      <c r="B82">
        <v>2806.1003882233831</v>
      </c>
      <c r="C82">
        <v>1496</v>
      </c>
      <c r="D82">
        <v>1.875735553625256</v>
      </c>
    </row>
    <row r="84" spans="1:7" ht="17" thickBot="1">
      <c r="A84" s="13" t="s">
        <v>1698</v>
      </c>
      <c r="B84" s="13">
        <v>8550.2933333333276</v>
      </c>
      <c r="C84" s="13">
        <v>1499</v>
      </c>
      <c r="D84" s="13"/>
      <c r="E84" s="13"/>
      <c r="F84" s="13"/>
      <c r="G84" s="13"/>
    </row>
    <row r="87" spans="1:7">
      <c r="A87" t="s">
        <v>1703</v>
      </c>
    </row>
    <row r="88" spans="1:7">
      <c r="B88" t="s">
        <v>1710</v>
      </c>
      <c r="C88" t="s">
        <v>1711</v>
      </c>
      <c r="E88" t="s">
        <v>1712</v>
      </c>
      <c r="F88">
        <v>0.05</v>
      </c>
    </row>
    <row r="89" spans="1:7">
      <c r="A89" t="s">
        <v>1704</v>
      </c>
      <c r="B89">
        <v>7.4259232535901719E-33</v>
      </c>
      <c r="C89" t="s">
        <v>46</v>
      </c>
      <c r="E89" t="s">
        <v>1713</v>
      </c>
      <c r="F89">
        <f>F88/6</f>
        <v>8.3333333333333332E-3</v>
      </c>
    </row>
    <row r="90" spans="1:7">
      <c r="A90" t="s">
        <v>1705</v>
      </c>
      <c r="B90">
        <v>5.986579826552606E-222</v>
      </c>
      <c r="C90" t="s">
        <v>46</v>
      </c>
    </row>
    <row r="91" spans="1:7">
      <c r="A91" t="s">
        <v>1706</v>
      </c>
      <c r="B91">
        <v>8.5722314395017106E-248</v>
      </c>
      <c r="C91" t="s">
        <v>46</v>
      </c>
    </row>
    <row r="92" spans="1:7">
      <c r="A92" t="s">
        <v>1707</v>
      </c>
      <c r="B92">
        <v>1.7643069338496481E-51</v>
      </c>
      <c r="C92" t="s">
        <v>46</v>
      </c>
    </row>
    <row r="93" spans="1:7">
      <c r="A93" t="s">
        <v>1708</v>
      </c>
      <c r="B93">
        <v>1.4316509598926638E-104</v>
      </c>
      <c r="C93" t="s">
        <v>46</v>
      </c>
    </row>
    <row r="94" spans="1:7">
      <c r="A94" t="s">
        <v>1709</v>
      </c>
      <c r="B94">
        <v>4.127131811721637E-29</v>
      </c>
      <c r="C94" t="s">
        <v>46</v>
      </c>
    </row>
    <row r="102" spans="1:5">
      <c r="A102" t="s">
        <v>1681</v>
      </c>
      <c r="B102" t="s">
        <v>1719</v>
      </c>
    </row>
    <row r="104" spans="1:5" ht="17" thickBot="1">
      <c r="A104" t="s">
        <v>1682</v>
      </c>
    </row>
    <row r="105" spans="1:5">
      <c r="A105" s="14" t="s">
        <v>1683</v>
      </c>
      <c r="B105" s="14" t="s">
        <v>1684</v>
      </c>
      <c r="C105" s="14" t="s">
        <v>1685</v>
      </c>
      <c r="D105" s="14" t="s">
        <v>1686</v>
      </c>
      <c r="E105" s="14" t="s">
        <v>1687</v>
      </c>
    </row>
    <row r="106" spans="1:5">
      <c r="A106" t="s">
        <v>1677</v>
      </c>
      <c r="B106">
        <v>84</v>
      </c>
      <c r="C106">
        <v>2047</v>
      </c>
      <c r="D106">
        <v>24.36904761904762</v>
      </c>
      <c r="E106">
        <v>116.91035570854851</v>
      </c>
    </row>
    <row r="107" spans="1:5">
      <c r="A107" t="s">
        <v>1678</v>
      </c>
      <c r="B107">
        <v>103</v>
      </c>
      <c r="C107">
        <v>2336</v>
      </c>
      <c r="D107">
        <v>22.679611650485437</v>
      </c>
      <c r="E107">
        <v>103.45516847515704</v>
      </c>
    </row>
    <row r="108" spans="1:5">
      <c r="A108" t="s">
        <v>1679</v>
      </c>
      <c r="B108">
        <v>163</v>
      </c>
      <c r="C108">
        <v>3900</v>
      </c>
      <c r="D108">
        <v>23.926380368098158</v>
      </c>
      <c r="E108">
        <v>97.364917064303611</v>
      </c>
    </row>
    <row r="109" spans="1:5" ht="17" thickBot="1">
      <c r="A109" s="13" t="s">
        <v>1680</v>
      </c>
      <c r="B109" s="13">
        <v>171</v>
      </c>
      <c r="C109" s="13">
        <v>4039</v>
      </c>
      <c r="D109" s="13">
        <v>23.619883040935672</v>
      </c>
      <c r="E109" s="13">
        <v>107.54289645682832</v>
      </c>
    </row>
    <row r="112" spans="1:5" ht="17" thickBot="1">
      <c r="A112" t="s">
        <v>1688</v>
      </c>
    </row>
    <row r="113" spans="1:7">
      <c r="A113" s="14" t="s">
        <v>1689</v>
      </c>
      <c r="B113" s="14" t="s">
        <v>1690</v>
      </c>
      <c r="C113" s="14" t="s">
        <v>1691</v>
      </c>
      <c r="D113" s="14" t="s">
        <v>1692</v>
      </c>
      <c r="E113" s="14" t="s">
        <v>1693</v>
      </c>
      <c r="F113" s="14" t="s">
        <v>1694</v>
      </c>
      <c r="G113" s="14" t="s">
        <v>1695</v>
      </c>
    </row>
    <row r="114" spans="1:7">
      <c r="A114" t="s">
        <v>1696</v>
      </c>
      <c r="B114">
        <v>153.02659452163061</v>
      </c>
      <c r="C114">
        <v>3</v>
      </c>
      <c r="D114">
        <v>51.008864840543538</v>
      </c>
      <c r="E114">
        <v>0.48556261162252212</v>
      </c>
      <c r="F114">
        <v>0.69245166359081178</v>
      </c>
      <c r="G114">
        <v>2.6221462947890113</v>
      </c>
    </row>
    <row r="115" spans="1:7">
      <c r="A115" t="s">
        <v>1697</v>
      </c>
      <c r="B115">
        <v>54311.395670353551</v>
      </c>
      <c r="C115">
        <v>517</v>
      </c>
      <c r="D115">
        <v>105.0510554552293</v>
      </c>
    </row>
    <row r="117" spans="1:7" ht="17" thickBot="1">
      <c r="A117" s="13" t="s">
        <v>1698</v>
      </c>
      <c r="B117" s="13">
        <v>54464.422264875182</v>
      </c>
      <c r="C117" s="13">
        <v>520</v>
      </c>
      <c r="D117" s="13"/>
      <c r="E117" s="13"/>
      <c r="F117" s="13"/>
      <c r="G117" s="1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C0F16E-B0AD-7B40-B616-50474BF1B2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41</vt:i4>
      </vt:variant>
    </vt:vector>
  </HeadingPairs>
  <TitlesOfParts>
    <vt:vector size="49" baseType="lpstr">
      <vt:lpstr>lung_cancer_dataset</vt:lpstr>
      <vt:lpstr>Pivot</vt:lpstr>
      <vt:lpstr>Chi-Square Test</vt:lpstr>
      <vt:lpstr>Chi-Sqaure Results Cancer Types</vt:lpstr>
      <vt:lpstr>Chi-Sqaure Results Cancer Stage</vt:lpstr>
      <vt:lpstr>Normality Stages &amp; Types</vt:lpstr>
      <vt:lpstr>Results T-test Cancer Types</vt:lpstr>
      <vt:lpstr>Results ANOVA Cancer Stage</vt:lpstr>
      <vt:lpstr>Age</vt:lpstr>
      <vt:lpstr>Air_Pollution_Exposure</vt:lpstr>
      <vt:lpstr>Alcohol_Use</vt:lpstr>
      <vt:lpstr>Asbestos_Exposure</vt:lpstr>
      <vt:lpstr>BMI</vt:lpstr>
      <vt:lpstr>Cancer_Stage</vt:lpstr>
      <vt:lpstr>Cancer_Type</vt:lpstr>
      <vt:lpstr>Chest_Pain</vt:lpstr>
      <vt:lpstr>Chronic_Lung_Disease</vt:lpstr>
      <vt:lpstr>Cigarettes_Per_Day</vt:lpstr>
      <vt:lpstr>Coughing</vt:lpstr>
      <vt:lpstr>Coughing_Blood</vt:lpstr>
      <vt:lpstr>Country</vt:lpstr>
      <vt:lpstr>Diagnosis_Date</vt:lpstr>
      <vt:lpstr>Diagnosis_Method</vt:lpstr>
      <vt:lpstr>Diagnosis_Year</vt:lpstr>
      <vt:lpstr>Exercise_Frequency</vt:lpstr>
      <vt:lpstr>Family_History</vt:lpstr>
      <vt:lpstr>Fatigue</vt:lpstr>
      <vt:lpstr>Finger_Clubbing</vt:lpstr>
      <vt:lpstr>Gender</vt:lpstr>
      <vt:lpstr>Genetic_Mutation</vt:lpstr>
      <vt:lpstr>Metastasis</vt:lpstr>
      <vt:lpstr>NSCLC_Subtype</vt:lpstr>
      <vt:lpstr>Occupational_Hazard</vt:lpstr>
      <vt:lpstr>Patient_ID</vt:lpstr>
      <vt:lpstr>Previous_Cancer_History</vt:lpstr>
      <vt:lpstr>Radon_Exposure</vt:lpstr>
      <vt:lpstr>Recurrent_Infections</vt:lpstr>
      <vt:lpstr>Secondhand_Smoke</vt:lpstr>
      <vt:lpstr>Shortness_of_Breath</vt:lpstr>
      <vt:lpstr>Smoking_Status</vt:lpstr>
      <vt:lpstr>Survival_Months</vt:lpstr>
      <vt:lpstr>Survived</vt:lpstr>
      <vt:lpstr>Swallowing_Difficulty</vt:lpstr>
      <vt:lpstr>Treatment</vt:lpstr>
      <vt:lpstr>Tumor_Size_cm</vt:lpstr>
      <vt:lpstr>Weight_Loss</vt:lpstr>
      <vt:lpstr>Wheezing</vt:lpstr>
      <vt:lpstr>WHO_Region</vt:lpstr>
      <vt:lpstr>Years_Smoking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mohammad.aataout@gmail.com</dc:creator>
  <cp:lastModifiedBy>mohammad.aataout@gmail.com</cp:lastModifiedBy>
  <dcterms:created xsi:type="dcterms:W3CDTF">2026-03-17T14:43:26Z</dcterms:created>
  <dcterms:modified xsi:type="dcterms:W3CDTF">2026-03-30T13:55:22Z</dcterms:modified>
</cp:coreProperties>
</file>